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Kim\Documents\카카오톡 받은 파일\"/>
    </mc:Choice>
  </mc:AlternateContent>
  <xr:revisionPtr revIDLastSave="0" documentId="13_ncr:1_{B1AC5C3C-4C2F-46E9-A1CA-B1D8D6101971}" xr6:coauthVersionLast="47" xr6:coauthVersionMax="47" xr10:uidLastSave="{00000000-0000-0000-0000-000000000000}"/>
  <workbookProtection workbookAlgorithmName="SHA-512" workbookHashValue="KyNsbIBYSSb7BvtXgai/JC/O+7xLyG41IqAmYHBHUKLC4FQPW4DOuBI0xQVvMH07X4sVusvQq0qj495JwYwSQg==" workbookSaltValue="RPLTOvBBZzaB4yzKwQOzaQ==" workbookSpinCount="100000" lockStructure="1"/>
  <bookViews>
    <workbookView xWindow="-120" yWindow="-120" windowWidth="38640" windowHeight="21240" tabRatio="776" xr2:uid="{00000000-000D-0000-FFFF-FFFF00000000}"/>
  </bookViews>
  <sheets>
    <sheet name="사용설명서" sheetId="1" r:id="rId1"/>
    <sheet name="학생상담(남)" sheetId="2" r:id="rId2"/>
    <sheet name="학생상담(여)" sheetId="3" r:id="rId3"/>
    <sheet name="상담(남)" sheetId="4" state="veryHidden" r:id="rId4"/>
    <sheet name="상담(여)" sheetId="5" state="veryHidden" r:id="rId5"/>
    <sheet name="내신(남)" sheetId="6" r:id="rId6"/>
    <sheet name="내신(여)" sheetId="7" r:id="rId7"/>
    <sheet name="개인실기(남)" sheetId="8" r:id="rId8"/>
    <sheet name="개인실기(여)" sheetId="9" r:id="rId9"/>
    <sheet name="대학별점수" sheetId="10" state="veryHidden" r:id="rId10"/>
    <sheet name="배점표" sheetId="11" state="veryHidden" r:id="rId11"/>
    <sheet name="실기환산(남)" sheetId="12" state="veryHidden" r:id="rId12"/>
    <sheet name="실기환산(여)" sheetId="13" state="veryHidden" r:id="rId13"/>
  </sheets>
  <definedNames>
    <definedName name="_xlnm._FilterDatabase" localSheetId="5" hidden="1">#REF!</definedName>
    <definedName name="_xlnm._FilterDatabase" localSheetId="6" hidden="1">#REF!</definedName>
    <definedName name="_xlnm._FilterDatabase" localSheetId="9" hidden="1">대학별점수!$A$2:$P$74</definedName>
    <definedName name="_xlnm._FilterDatabase" localSheetId="3" hidden="1">'상담(남)'!$A$4:$U$66</definedName>
    <definedName name="_xlnm._FilterDatabase" localSheetId="4" hidden="1">'상담(여)'!$A$4:$U$69</definedName>
    <definedName name="_xlnm._FilterDatabase" localSheetId="11" hidden="1">'실기환산(남)'!$A$1:$A$39</definedName>
    <definedName name="_xlnm._FilterDatabase" localSheetId="1" hidden="1">'학생상담(남)'!$A$4:$U$66</definedName>
    <definedName name="_xlnm._FilterDatabase" localSheetId="2" hidden="1">'학생상담(여)'!$A$4:$U$69</definedName>
    <definedName name="_xlnm._FilterDatabase" hidden="1">#REF!</definedName>
    <definedName name="_xlnm.Consolidate_Area" localSheetId="3" hidden="1">'상담(남)'!$B$4:$U$57</definedName>
    <definedName name="_xlnm.Consolidate_Area" localSheetId="1" hidden="1">'학생상담(남)'!$B$4:$U$66</definedName>
    <definedName name="_xlnm.Print_Area" localSheetId="3">'상담(남)'!$A$2:$U$73</definedName>
    <definedName name="_xlnm.Print_Area" localSheetId="4">'상담(여)'!$A$2:$U$76</definedName>
    <definedName name="_xlnm.Print_Area" localSheetId="1">'학생상담(남)'!$A$2:$U$72</definedName>
    <definedName name="_xlnm.Print_Area" localSheetId="2">'학생상담(여)'!$A$2:$U$75</definedName>
    <definedName name="개인별실기남">'개인실기(남)'!$B$4:$CQ$66</definedName>
    <definedName name="개인별실기남자">'개인실기(남)'!$B$4:$CQ$66</definedName>
    <definedName name="개인별실기여자">'개인실기(여)'!$B$4:$CS$65</definedName>
    <definedName name="고려대">배점표!$B$70:$I$70</definedName>
    <definedName name="내신성적">#REF!</definedName>
    <definedName name="내신성적여">#REF!</definedName>
    <definedName name="농구남">배점표!#REF!</definedName>
    <definedName name="농구여">배점표!#REF!</definedName>
    <definedName name="높뛰남">배점표!#REF!</definedName>
    <definedName name="높뛰여">배점표!#REF!</definedName>
    <definedName name="변환점수" localSheetId="3">#REF!</definedName>
    <definedName name="변환점수" localSheetId="1">#REF!</definedName>
    <definedName name="수능성적" localSheetId="3">#REF!</definedName>
    <definedName name="수능성적" localSheetId="4">#REF!</definedName>
    <definedName name="수능성적" localSheetId="1">#REF!</definedName>
    <definedName name="수능성적" localSheetId="2">#REF!</definedName>
    <definedName name="수능성적">#REF!</definedName>
    <definedName name="수능성적목록">#REF!</definedName>
    <definedName name="체조남">배점표!#REF!</definedName>
    <definedName name="체조여" localSheetId="5">배점표!#REF!</definedName>
    <definedName name="체조여" localSheetId="6">배점표!#REF!</definedName>
    <definedName name="체조여">배점표!#REF!</definedName>
  </definedNames>
  <calcPr calcId="191029"/>
</workbook>
</file>

<file path=xl/calcChain.xml><?xml version="1.0" encoding="utf-8"?>
<calcChain xmlns="http://schemas.openxmlformats.org/spreadsheetml/2006/main">
  <c r="F61" i="10" l="1"/>
  <c r="E61" i="10"/>
  <c r="E60" i="10"/>
  <c r="E58" i="10"/>
  <c r="F57" i="10"/>
  <c r="E57" i="10"/>
  <c r="F56" i="10"/>
  <c r="E56" i="10"/>
  <c r="F55" i="10"/>
  <c r="E55" i="10"/>
  <c r="F54" i="10"/>
  <c r="E54" i="10"/>
  <c r="F53" i="10"/>
  <c r="E53" i="10"/>
  <c r="F49" i="10"/>
  <c r="E49" i="10"/>
  <c r="F48" i="10"/>
  <c r="F47" i="10"/>
  <c r="E47" i="10"/>
  <c r="E46" i="10"/>
  <c r="E44" i="10"/>
  <c r="F39" i="10"/>
  <c r="E38" i="10"/>
  <c r="F37" i="10"/>
  <c r="E37" i="10"/>
  <c r="F34" i="10"/>
  <c r="E34" i="10"/>
  <c r="F33" i="10"/>
  <c r="E33" i="10"/>
  <c r="E32" i="10"/>
  <c r="F31" i="10"/>
  <c r="F29" i="10"/>
  <c r="F27" i="10"/>
  <c r="E27" i="10"/>
  <c r="F26" i="10"/>
  <c r="E26" i="10"/>
  <c r="F25" i="10"/>
  <c r="E25" i="10"/>
  <c r="F24" i="10"/>
  <c r="E24" i="10"/>
  <c r="F20" i="10"/>
  <c r="E20" i="10"/>
  <c r="F19" i="10"/>
  <c r="E19" i="10"/>
  <c r="E18" i="10"/>
  <c r="F16" i="10"/>
  <c r="E16" i="10"/>
  <c r="E15" i="10"/>
  <c r="E12" i="10"/>
  <c r="F11" i="10"/>
  <c r="E11" i="10"/>
  <c r="E8" i="10"/>
  <c r="E6" i="10"/>
  <c r="E5" i="10"/>
  <c r="E4" i="10"/>
  <c r="S17" i="5"/>
  <c r="S17" i="3" s="1"/>
  <c r="T17" i="5"/>
  <c r="T17" i="3" s="1"/>
  <c r="S29" i="5"/>
  <c r="S29" i="3" s="1"/>
  <c r="T29" i="5"/>
  <c r="T29" i="3" s="1"/>
  <c r="S32" i="5"/>
  <c r="S32" i="3" s="1"/>
  <c r="T32" i="5"/>
  <c r="T32" i="3" s="1"/>
  <c r="S48" i="5"/>
  <c r="S48" i="3" s="1"/>
  <c r="T48" i="5"/>
  <c r="T48" i="3" s="1"/>
  <c r="S51" i="5"/>
  <c r="S51" i="3" s="1"/>
  <c r="T51" i="5"/>
  <c r="T51" i="3" s="1"/>
  <c r="K29" i="5" l="1"/>
  <c r="K29" i="3" s="1"/>
  <c r="L29" i="5"/>
  <c r="L29" i="3" s="1"/>
  <c r="M29" i="5"/>
  <c r="M29" i="3" s="1"/>
  <c r="N29" i="5"/>
  <c r="N29" i="3" s="1"/>
  <c r="O29" i="5"/>
  <c r="O29" i="3" s="1"/>
  <c r="P29" i="5"/>
  <c r="P29" i="3" s="1"/>
  <c r="Q29" i="5"/>
  <c r="Q29" i="3" s="1"/>
  <c r="R29" i="5"/>
  <c r="R29" i="3" s="1"/>
  <c r="K32" i="5"/>
  <c r="K32" i="3" s="1"/>
  <c r="L32" i="5"/>
  <c r="L32" i="3" s="1"/>
  <c r="M32" i="5"/>
  <c r="M32" i="3" s="1"/>
  <c r="N32" i="5"/>
  <c r="N32" i="3" s="1"/>
  <c r="O32" i="5"/>
  <c r="O32" i="3" s="1"/>
  <c r="P32" i="5"/>
  <c r="P32" i="3" s="1"/>
  <c r="Q32" i="5"/>
  <c r="Q32" i="3" s="1"/>
  <c r="R32" i="5"/>
  <c r="R32" i="3" s="1"/>
  <c r="K48" i="5"/>
  <c r="K48" i="3" s="1"/>
  <c r="L48" i="5"/>
  <c r="L48" i="3" s="1"/>
  <c r="M48" i="5"/>
  <c r="M48" i="3" s="1"/>
  <c r="N48" i="5"/>
  <c r="N48" i="3" s="1"/>
  <c r="O48" i="5"/>
  <c r="O48" i="3" s="1"/>
  <c r="P48" i="5"/>
  <c r="P48" i="3" s="1"/>
  <c r="Q48" i="5"/>
  <c r="Q48" i="3" s="1"/>
  <c r="R48" i="5"/>
  <c r="R48" i="3" s="1"/>
  <c r="K51" i="5"/>
  <c r="K51" i="3" s="1"/>
  <c r="L51" i="5"/>
  <c r="L51" i="3" s="1"/>
  <c r="M51" i="5"/>
  <c r="M51" i="3" s="1"/>
  <c r="N51" i="5"/>
  <c r="N51" i="3" s="1"/>
  <c r="O51" i="5"/>
  <c r="O51" i="3" s="1"/>
  <c r="P51" i="5"/>
  <c r="P51" i="3" s="1"/>
  <c r="Q51" i="5"/>
  <c r="Q51" i="3" s="1"/>
  <c r="R51" i="5"/>
  <c r="R51" i="3" s="1"/>
  <c r="K17" i="5"/>
  <c r="K17" i="3" s="1"/>
  <c r="L17" i="5"/>
  <c r="L17" i="3" s="1"/>
  <c r="M17" i="5"/>
  <c r="M17" i="3" s="1"/>
  <c r="N17" i="5"/>
  <c r="N17" i="3" s="1"/>
  <c r="O17" i="5"/>
  <c r="O17" i="3" s="1"/>
  <c r="P17" i="5"/>
  <c r="P17" i="3" s="1"/>
  <c r="Q17" i="5"/>
  <c r="Q17" i="3" s="1"/>
  <c r="R17" i="5"/>
  <c r="R17" i="3" s="1"/>
  <c r="C74" i="7"/>
  <c r="E73" i="7"/>
  <c r="C73" i="7"/>
  <c r="C72" i="7"/>
  <c r="C71" i="7"/>
  <c r="C70" i="7"/>
  <c r="C69" i="7"/>
  <c r="E68" i="7"/>
  <c r="C68" i="7"/>
  <c r="E67" i="7"/>
  <c r="C67" i="7"/>
  <c r="E66" i="7"/>
  <c r="C66" i="7"/>
  <c r="E65" i="7"/>
  <c r="C65" i="7"/>
  <c r="E64" i="7"/>
  <c r="C64" i="7"/>
  <c r="E63" i="7"/>
  <c r="C63" i="7"/>
  <c r="C61" i="7"/>
  <c r="C60" i="7"/>
  <c r="C58" i="7"/>
  <c r="C57" i="7"/>
  <c r="E56" i="7"/>
  <c r="C56" i="7"/>
  <c r="E55" i="7"/>
  <c r="C55" i="7"/>
  <c r="E54" i="7"/>
  <c r="C54" i="7"/>
  <c r="E53" i="7"/>
  <c r="C53" i="7"/>
  <c r="C52" i="7"/>
  <c r="C51" i="7"/>
  <c r="C49" i="7"/>
  <c r="C48" i="7"/>
  <c r="E44" i="7"/>
  <c r="C44" i="7"/>
  <c r="E43" i="7"/>
  <c r="C43" i="7"/>
  <c r="E42" i="7"/>
  <c r="C42" i="7"/>
  <c r="E40" i="7"/>
  <c r="C40" i="7"/>
  <c r="E39" i="7"/>
  <c r="C39" i="7"/>
  <c r="E38" i="7"/>
  <c r="C38" i="7"/>
  <c r="C36" i="7"/>
  <c r="C34" i="7"/>
  <c r="E33" i="7"/>
  <c r="C33" i="7"/>
  <c r="E30" i="7"/>
  <c r="C30" i="7"/>
  <c r="E29" i="7"/>
  <c r="C29" i="7"/>
  <c r="E26" i="7"/>
  <c r="C26" i="7"/>
  <c r="E25" i="7"/>
  <c r="C25" i="7"/>
  <c r="E22" i="7"/>
  <c r="C22" i="7"/>
  <c r="E21" i="7"/>
  <c r="C21" i="7"/>
  <c r="E20" i="7"/>
  <c r="C20" i="7"/>
  <c r="E19" i="7"/>
  <c r="C19" i="7"/>
  <c r="E13" i="7"/>
  <c r="C13" i="7"/>
  <c r="E12" i="7"/>
  <c r="C12" i="7"/>
  <c r="E9" i="7"/>
  <c r="C9" i="7"/>
  <c r="E8" i="7"/>
  <c r="C8" i="7"/>
  <c r="E7" i="7"/>
  <c r="C7" i="7"/>
  <c r="E6" i="7"/>
  <c r="C6" i="7"/>
  <c r="E5" i="7"/>
  <c r="C5" i="7"/>
  <c r="E4" i="7"/>
  <c r="C4" i="7"/>
  <c r="U76" i="5"/>
  <c r="B76" i="5"/>
  <c r="U75" i="5"/>
  <c r="B75" i="5"/>
  <c r="U74" i="5"/>
  <c r="U73" i="3" s="1"/>
  <c r="B74" i="5"/>
  <c r="B73" i="3" s="1"/>
  <c r="U73" i="5"/>
  <c r="U72" i="3" s="1"/>
  <c r="B73" i="5"/>
  <c r="U72" i="5"/>
  <c r="U71" i="3" s="1"/>
  <c r="B72" i="5"/>
  <c r="U71" i="5"/>
  <c r="U70" i="3" s="1"/>
  <c r="B71" i="5"/>
  <c r="U69" i="5"/>
  <c r="U69" i="3" s="1"/>
  <c r="B69" i="5"/>
  <c r="U68" i="5"/>
  <c r="U68" i="3" s="1"/>
  <c r="B68" i="5"/>
  <c r="U67" i="5"/>
  <c r="U67" i="3" s="1"/>
  <c r="B67" i="5"/>
  <c r="U66" i="5"/>
  <c r="U66" i="3" s="1"/>
  <c r="B66" i="5"/>
  <c r="U65" i="5"/>
  <c r="U65" i="3" s="1"/>
  <c r="B65" i="5"/>
  <c r="U64" i="5"/>
  <c r="U64" i="3" s="1"/>
  <c r="B64" i="5"/>
  <c r="U63" i="5"/>
  <c r="U63" i="3" s="1"/>
  <c r="B63" i="5"/>
  <c r="U62" i="5"/>
  <c r="B62" i="5"/>
  <c r="U61" i="5"/>
  <c r="U61" i="3" s="1"/>
  <c r="B61" i="5"/>
  <c r="U60" i="5"/>
  <c r="U60" i="3" s="1"/>
  <c r="B60" i="5"/>
  <c r="U59" i="5"/>
  <c r="U59" i="3" s="1"/>
  <c r="B59" i="5"/>
  <c r="U58" i="5"/>
  <c r="U58" i="3" s="1"/>
  <c r="B58" i="5"/>
  <c r="U57" i="5"/>
  <c r="U57" i="3" s="1"/>
  <c r="B57" i="5"/>
  <c r="U56" i="5"/>
  <c r="U56" i="3" s="1"/>
  <c r="B56" i="5"/>
  <c r="U55" i="5"/>
  <c r="B55" i="5"/>
  <c r="U54" i="5"/>
  <c r="U54" i="3" s="1"/>
  <c r="B54" i="5"/>
  <c r="U53" i="5"/>
  <c r="U53" i="3" s="1"/>
  <c r="B53" i="5"/>
  <c r="U52" i="5"/>
  <c r="U52" i="3" s="1"/>
  <c r="B52" i="5"/>
  <c r="J51" i="5"/>
  <c r="J51" i="3" s="1"/>
  <c r="I51" i="5"/>
  <c r="I51" i="3" s="1"/>
  <c r="E51" i="5"/>
  <c r="E51" i="3" s="1"/>
  <c r="D51" i="5"/>
  <c r="D51" i="3" s="1"/>
  <c r="C51" i="5"/>
  <c r="C51" i="3" s="1"/>
  <c r="U50" i="5"/>
  <c r="U50" i="3" s="1"/>
  <c r="B50" i="5"/>
  <c r="U49" i="5"/>
  <c r="U49" i="3" s="1"/>
  <c r="B49" i="5"/>
  <c r="J48" i="5"/>
  <c r="J48" i="3" s="1"/>
  <c r="I48" i="5"/>
  <c r="I48" i="3" s="1"/>
  <c r="E48" i="5"/>
  <c r="E48" i="3" s="1"/>
  <c r="D48" i="5"/>
  <c r="D48" i="3" s="1"/>
  <c r="C48" i="5"/>
  <c r="C48" i="3" s="1"/>
  <c r="U47" i="5"/>
  <c r="U47" i="3" s="1"/>
  <c r="B47" i="5"/>
  <c r="U46" i="5"/>
  <c r="B46" i="5"/>
  <c r="U45" i="5"/>
  <c r="B45" i="5"/>
  <c r="U44" i="5"/>
  <c r="U44" i="3" s="1"/>
  <c r="B44" i="5"/>
  <c r="U43" i="5"/>
  <c r="U43" i="3" s="1"/>
  <c r="B43" i="5"/>
  <c r="B42" i="5"/>
  <c r="U41" i="5"/>
  <c r="U41" i="3" s="1"/>
  <c r="B41" i="5"/>
  <c r="U40" i="5"/>
  <c r="U40" i="3" s="1"/>
  <c r="B40" i="5"/>
  <c r="U39" i="5"/>
  <c r="B39" i="5"/>
  <c r="U38" i="5"/>
  <c r="U38" i="3" s="1"/>
  <c r="B38" i="5"/>
  <c r="U37" i="5"/>
  <c r="U37" i="3" s="1"/>
  <c r="B37" i="5"/>
  <c r="U36" i="5"/>
  <c r="U36" i="3" s="1"/>
  <c r="B36" i="5"/>
  <c r="U35" i="5"/>
  <c r="U35" i="3" s="1"/>
  <c r="B35" i="5"/>
  <c r="U34" i="5"/>
  <c r="U34" i="3" s="1"/>
  <c r="B34" i="5"/>
  <c r="B33" i="5"/>
  <c r="J32" i="5"/>
  <c r="J32" i="3" s="1"/>
  <c r="I32" i="5"/>
  <c r="I32" i="3" s="1"/>
  <c r="E32" i="5"/>
  <c r="E32" i="3" s="1"/>
  <c r="D32" i="5"/>
  <c r="D32" i="3" s="1"/>
  <c r="C32" i="5"/>
  <c r="C32" i="3" s="1"/>
  <c r="U31" i="5"/>
  <c r="U31" i="3" s="1"/>
  <c r="B31" i="5"/>
  <c r="U30" i="5"/>
  <c r="U30" i="3" s="1"/>
  <c r="B30" i="5"/>
  <c r="J29" i="5"/>
  <c r="J29" i="3" s="1"/>
  <c r="I29" i="5"/>
  <c r="I29" i="3" s="1"/>
  <c r="E29" i="5"/>
  <c r="E29" i="3" s="1"/>
  <c r="D29" i="5"/>
  <c r="D29" i="3" s="1"/>
  <c r="U28" i="5"/>
  <c r="U28" i="3" s="1"/>
  <c r="B28" i="5"/>
  <c r="U27" i="5"/>
  <c r="B27" i="5"/>
  <c r="U26" i="5"/>
  <c r="U26" i="3" s="1"/>
  <c r="B26" i="5"/>
  <c r="U25" i="5"/>
  <c r="U25" i="3" s="1"/>
  <c r="B25" i="5"/>
  <c r="B24" i="5"/>
  <c r="U23" i="5"/>
  <c r="U23" i="3" s="1"/>
  <c r="B23" i="5"/>
  <c r="U22" i="5"/>
  <c r="B22" i="5"/>
  <c r="U21" i="5"/>
  <c r="U21" i="3" s="1"/>
  <c r="B21" i="5"/>
  <c r="U20" i="5"/>
  <c r="U20" i="3" s="1"/>
  <c r="B20" i="5"/>
  <c r="U19" i="5"/>
  <c r="U19" i="3" s="1"/>
  <c r="B19" i="5"/>
  <c r="U18" i="5"/>
  <c r="B18" i="5"/>
  <c r="J17" i="5"/>
  <c r="J17" i="3" s="1"/>
  <c r="I17" i="5"/>
  <c r="I17" i="3" s="1"/>
  <c r="E17" i="5"/>
  <c r="E17" i="3" s="1"/>
  <c r="D17" i="5"/>
  <c r="D17" i="3" s="1"/>
  <c r="C17" i="5"/>
  <c r="C17" i="3" s="1"/>
  <c r="U16" i="5"/>
  <c r="U16" i="3" s="1"/>
  <c r="B16" i="5"/>
  <c r="U15" i="5"/>
  <c r="U15" i="3" s="1"/>
  <c r="B15" i="5"/>
  <c r="U14" i="5"/>
  <c r="U14" i="3" s="1"/>
  <c r="B14" i="5"/>
  <c r="U13" i="5"/>
  <c r="U13" i="3" s="1"/>
  <c r="B13" i="5"/>
  <c r="U12" i="5"/>
  <c r="U12" i="3" s="1"/>
  <c r="B12" i="5"/>
  <c r="U11" i="5"/>
  <c r="U11" i="3" s="1"/>
  <c r="B11" i="5"/>
  <c r="U10" i="5"/>
  <c r="U10" i="3" s="1"/>
  <c r="B10" i="5"/>
  <c r="U9" i="5"/>
  <c r="U9" i="3" s="1"/>
  <c r="B9" i="5"/>
  <c r="U8" i="5"/>
  <c r="B8" i="5"/>
  <c r="B8" i="3" s="1"/>
  <c r="U7" i="5"/>
  <c r="U7" i="3" s="1"/>
  <c r="B7" i="5"/>
  <c r="U6" i="5"/>
  <c r="U6" i="3" s="1"/>
  <c r="B6" i="5"/>
  <c r="U5" i="5"/>
  <c r="U5" i="3" s="1"/>
  <c r="B5" i="5"/>
  <c r="E2" i="5"/>
  <c r="B73" i="4"/>
  <c r="B72" i="4"/>
  <c r="B71" i="4"/>
  <c r="B70" i="4"/>
  <c r="B69" i="4"/>
  <c r="B68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E2" i="4"/>
  <c r="U75" i="3"/>
  <c r="A75" i="3"/>
  <c r="U74" i="3"/>
  <c r="A74" i="3"/>
  <c r="A73" i="3"/>
  <c r="A72" i="3"/>
  <c r="A71" i="3"/>
  <c r="A70" i="3"/>
  <c r="A69" i="3"/>
  <c r="A68" i="3"/>
  <c r="A67" i="3"/>
  <c r="A66" i="3"/>
  <c r="A65" i="3"/>
  <c r="A64" i="3"/>
  <c r="A63" i="3"/>
  <c r="U62" i="3"/>
  <c r="A62" i="3"/>
  <c r="A61" i="3"/>
  <c r="A60" i="3"/>
  <c r="A59" i="3"/>
  <c r="A58" i="3"/>
  <c r="A57" i="3"/>
  <c r="A56" i="3"/>
  <c r="U55" i="3"/>
  <c r="A55" i="3"/>
  <c r="A54" i="3"/>
  <c r="A53" i="3"/>
  <c r="A52" i="3"/>
  <c r="B51" i="3"/>
  <c r="A51" i="3"/>
  <c r="A50" i="3"/>
  <c r="A49" i="3"/>
  <c r="B48" i="3"/>
  <c r="A48" i="3"/>
  <c r="A47" i="3"/>
  <c r="U46" i="3"/>
  <c r="A46" i="3"/>
  <c r="U45" i="3"/>
  <c r="A45" i="3"/>
  <c r="A44" i="3"/>
  <c r="A43" i="3"/>
  <c r="U42" i="3"/>
  <c r="A42" i="3"/>
  <c r="A41" i="3"/>
  <c r="A40" i="3"/>
  <c r="U39" i="3"/>
  <c r="A39" i="3"/>
  <c r="A38" i="3"/>
  <c r="A37" i="3"/>
  <c r="A36" i="3"/>
  <c r="A35" i="3"/>
  <c r="A34" i="3"/>
  <c r="U33" i="3"/>
  <c r="A33" i="3"/>
  <c r="B32" i="3"/>
  <c r="A32" i="3"/>
  <c r="A31" i="3"/>
  <c r="A30" i="3"/>
  <c r="B29" i="3"/>
  <c r="A29" i="3"/>
  <c r="A28" i="3"/>
  <c r="U27" i="3"/>
  <c r="A27" i="3"/>
  <c r="A26" i="3"/>
  <c r="A25" i="3"/>
  <c r="U24" i="3"/>
  <c r="A24" i="3"/>
  <c r="A23" i="3"/>
  <c r="U22" i="3"/>
  <c r="A22" i="3"/>
  <c r="A21" i="3"/>
  <c r="A20" i="3"/>
  <c r="A19" i="3"/>
  <c r="U18" i="3"/>
  <c r="A18" i="3"/>
  <c r="B17" i="3"/>
  <c r="A17" i="3"/>
  <c r="A16" i="3"/>
  <c r="A15" i="3"/>
  <c r="A14" i="3"/>
  <c r="A13" i="3"/>
  <c r="A12" i="3"/>
  <c r="A11" i="3"/>
  <c r="A10" i="3"/>
  <c r="A9" i="3"/>
  <c r="U8" i="3"/>
  <c r="A8" i="3"/>
  <c r="A7" i="3"/>
  <c r="A6" i="3"/>
  <c r="A5" i="3"/>
  <c r="U72" i="2"/>
  <c r="A72" i="2"/>
  <c r="U71" i="2"/>
  <c r="A71" i="2"/>
  <c r="U70" i="2"/>
  <c r="A70" i="2"/>
  <c r="U69" i="2"/>
  <c r="A69" i="2"/>
  <c r="U68" i="2"/>
  <c r="A68" i="2"/>
  <c r="U67" i="2"/>
  <c r="A67" i="2"/>
  <c r="U66" i="2"/>
  <c r="A66" i="2"/>
  <c r="U65" i="2"/>
  <c r="A65" i="2"/>
  <c r="U64" i="2"/>
  <c r="A64" i="2"/>
  <c r="U63" i="2"/>
  <c r="A63" i="2"/>
  <c r="U62" i="2"/>
  <c r="A62" i="2"/>
  <c r="U61" i="2"/>
  <c r="B61" i="2"/>
  <c r="A61" i="2"/>
  <c r="U60" i="2"/>
  <c r="A60" i="2"/>
  <c r="U59" i="2"/>
  <c r="A59" i="2"/>
  <c r="U58" i="2"/>
  <c r="A58" i="2"/>
  <c r="U57" i="2"/>
  <c r="A57" i="2"/>
  <c r="U56" i="2"/>
  <c r="A56" i="2"/>
  <c r="U55" i="2"/>
  <c r="A55" i="2"/>
  <c r="U54" i="2"/>
  <c r="A54" i="2"/>
  <c r="U53" i="2"/>
  <c r="A53" i="2"/>
  <c r="U52" i="2"/>
  <c r="A52" i="2"/>
  <c r="U51" i="2"/>
  <c r="A51" i="2"/>
  <c r="U50" i="2"/>
  <c r="A50" i="2"/>
  <c r="U49" i="2"/>
  <c r="A49" i="2"/>
  <c r="A48" i="2"/>
  <c r="U47" i="2"/>
  <c r="A47" i="2"/>
  <c r="U46" i="2"/>
  <c r="A46" i="2"/>
  <c r="A45" i="2"/>
  <c r="U44" i="2"/>
  <c r="A44" i="2"/>
  <c r="U43" i="2"/>
  <c r="A43" i="2"/>
  <c r="U42" i="2"/>
  <c r="A42" i="2"/>
  <c r="U41" i="2"/>
  <c r="A41" i="2"/>
  <c r="U40" i="2"/>
  <c r="A40" i="2"/>
  <c r="U39" i="2"/>
  <c r="A39" i="2"/>
  <c r="U38" i="2"/>
  <c r="A38" i="2"/>
  <c r="U37" i="2"/>
  <c r="A37" i="2"/>
  <c r="U36" i="2"/>
  <c r="A36" i="2"/>
  <c r="U35" i="2"/>
  <c r="A35" i="2"/>
  <c r="U34" i="2"/>
  <c r="A34" i="2"/>
  <c r="U33" i="2"/>
  <c r="A33" i="2"/>
  <c r="U32" i="2"/>
  <c r="A32" i="2"/>
  <c r="A31" i="2"/>
  <c r="U30" i="2"/>
  <c r="A30" i="2"/>
  <c r="U29" i="2"/>
  <c r="A29" i="2"/>
  <c r="A28" i="2"/>
  <c r="U27" i="2"/>
  <c r="A27" i="2"/>
  <c r="U26" i="2"/>
  <c r="A26" i="2"/>
  <c r="U25" i="2"/>
  <c r="A25" i="2"/>
  <c r="U24" i="2"/>
  <c r="A24" i="2"/>
  <c r="U23" i="2"/>
  <c r="A23" i="2"/>
  <c r="U22" i="2"/>
  <c r="A22" i="2"/>
  <c r="U21" i="2"/>
  <c r="A21" i="2"/>
  <c r="U20" i="2"/>
  <c r="A20" i="2"/>
  <c r="U19" i="2"/>
  <c r="A19" i="2"/>
  <c r="U18" i="2"/>
  <c r="A18" i="2"/>
  <c r="A17" i="2"/>
  <c r="U16" i="2"/>
  <c r="A16" i="2"/>
  <c r="U15" i="2"/>
  <c r="A15" i="2"/>
  <c r="U14" i="2"/>
  <c r="A14" i="2"/>
  <c r="U13" i="2"/>
  <c r="A13" i="2"/>
  <c r="U12" i="2"/>
  <c r="A12" i="2"/>
  <c r="U11" i="2"/>
  <c r="A11" i="2"/>
  <c r="U10" i="2"/>
  <c r="A10" i="2"/>
  <c r="U9" i="2"/>
  <c r="A9" i="2"/>
  <c r="U8" i="2"/>
  <c r="A8" i="2"/>
  <c r="U7" i="2"/>
  <c r="A7" i="2"/>
  <c r="U6" i="2"/>
  <c r="A6" i="2"/>
  <c r="U5" i="2"/>
  <c r="A5" i="2"/>
  <c r="S59" i="4" l="1"/>
  <c r="T59" i="4"/>
  <c r="S52" i="4"/>
  <c r="T52" i="4"/>
  <c r="T52" i="2" s="1"/>
  <c r="S5" i="4"/>
  <c r="T5" i="4"/>
  <c r="T5" i="2" s="1"/>
  <c r="T13" i="4"/>
  <c r="T13" i="2" s="1"/>
  <c r="S13" i="4"/>
  <c r="S13" i="2" s="1"/>
  <c r="T21" i="4"/>
  <c r="S21" i="4"/>
  <c r="S29" i="4"/>
  <c r="T29" i="4"/>
  <c r="B37" i="2"/>
  <c r="S37" i="4"/>
  <c r="S37" i="2" s="1"/>
  <c r="T37" i="4"/>
  <c r="T37" i="2" s="1"/>
  <c r="S45" i="4"/>
  <c r="S45" i="2" s="1"/>
  <c r="T45" i="4"/>
  <c r="T53" i="4"/>
  <c r="S53" i="4"/>
  <c r="T61" i="4"/>
  <c r="S61" i="4"/>
  <c r="S61" i="2" s="1"/>
  <c r="T70" i="4"/>
  <c r="T69" i="2" s="1"/>
  <c r="S70" i="4"/>
  <c r="S69" i="2" s="1"/>
  <c r="S11" i="4"/>
  <c r="S11" i="2" s="1"/>
  <c r="T11" i="4"/>
  <c r="S27" i="4"/>
  <c r="T27" i="4"/>
  <c r="S43" i="4"/>
  <c r="S43" i="2" s="1"/>
  <c r="T43" i="4"/>
  <c r="T43" i="2" s="1"/>
  <c r="S12" i="4"/>
  <c r="S12" i="2" s="1"/>
  <c r="T12" i="4"/>
  <c r="T12" i="2" s="1"/>
  <c r="S60" i="4"/>
  <c r="S60" i="2" s="1"/>
  <c r="T60" i="4"/>
  <c r="S6" i="4"/>
  <c r="T6" i="4"/>
  <c r="S14" i="4"/>
  <c r="S14" i="2" s="1"/>
  <c r="T14" i="4"/>
  <c r="T14" i="2" s="1"/>
  <c r="S22" i="4"/>
  <c r="S22" i="2" s="1"/>
  <c r="T22" i="4"/>
  <c r="T22" i="2" s="1"/>
  <c r="S30" i="4"/>
  <c r="S30" i="2" s="1"/>
  <c r="T30" i="4"/>
  <c r="S38" i="4"/>
  <c r="T38" i="4"/>
  <c r="S46" i="4"/>
  <c r="T46" i="4"/>
  <c r="T46" i="2" s="1"/>
  <c r="S54" i="4"/>
  <c r="S54" i="2" s="1"/>
  <c r="T54" i="4"/>
  <c r="T54" i="2" s="1"/>
  <c r="S62" i="4"/>
  <c r="S62" i="2" s="1"/>
  <c r="T62" i="4"/>
  <c r="S71" i="4"/>
  <c r="T71" i="4"/>
  <c r="S19" i="4"/>
  <c r="S19" i="2" s="1"/>
  <c r="T19" i="4"/>
  <c r="T19" i="2" s="1"/>
  <c r="S35" i="4"/>
  <c r="S35" i="2" s="1"/>
  <c r="T35" i="4"/>
  <c r="T35" i="2" s="1"/>
  <c r="S51" i="4"/>
  <c r="S51" i="2" s="1"/>
  <c r="T51" i="4"/>
  <c r="S44" i="4"/>
  <c r="T44" i="4"/>
  <c r="S7" i="4"/>
  <c r="T7" i="4"/>
  <c r="T7" i="2" s="1"/>
  <c r="S15" i="4"/>
  <c r="S15" i="2" s="1"/>
  <c r="T15" i="4"/>
  <c r="T15" i="2" s="1"/>
  <c r="S23" i="4"/>
  <c r="S23" i="2" s="1"/>
  <c r="T23" i="4"/>
  <c r="S31" i="4"/>
  <c r="T31" i="4"/>
  <c r="S39" i="4"/>
  <c r="T39" i="4"/>
  <c r="T39" i="2" s="1"/>
  <c r="S47" i="4"/>
  <c r="S47" i="2" s="1"/>
  <c r="T47" i="4"/>
  <c r="T47" i="2" s="1"/>
  <c r="S55" i="4"/>
  <c r="S55" i="2" s="1"/>
  <c r="T55" i="4"/>
  <c r="S63" i="4"/>
  <c r="T63" i="4"/>
  <c r="S72" i="4"/>
  <c r="T72" i="4"/>
  <c r="T71" i="2" s="1"/>
  <c r="S68" i="4"/>
  <c r="S67" i="2" s="1"/>
  <c r="T68" i="4"/>
  <c r="T67" i="2" s="1"/>
  <c r="S20" i="4"/>
  <c r="S20" i="2" s="1"/>
  <c r="T20" i="4"/>
  <c r="S36" i="4"/>
  <c r="T36" i="4"/>
  <c r="S69" i="4"/>
  <c r="S68" i="2" s="1"/>
  <c r="T69" i="4"/>
  <c r="T68" i="2" s="1"/>
  <c r="S8" i="4"/>
  <c r="S8" i="2" s="1"/>
  <c r="T8" i="4"/>
  <c r="T8" i="2" s="1"/>
  <c r="S16" i="4"/>
  <c r="S16" i="2" s="1"/>
  <c r="T16" i="4"/>
  <c r="S24" i="4"/>
  <c r="T24" i="4"/>
  <c r="S32" i="4"/>
  <c r="S32" i="2" s="1"/>
  <c r="T32" i="4"/>
  <c r="T32" i="2" s="1"/>
  <c r="S40" i="4"/>
  <c r="S40" i="2" s="1"/>
  <c r="T40" i="4"/>
  <c r="T40" i="2" s="1"/>
  <c r="S48" i="4"/>
  <c r="S48" i="2" s="1"/>
  <c r="T48" i="4"/>
  <c r="S56" i="4"/>
  <c r="T56" i="4"/>
  <c r="S64" i="4"/>
  <c r="S64" i="2" s="1"/>
  <c r="T64" i="4"/>
  <c r="T64" i="2" s="1"/>
  <c r="S73" i="4"/>
  <c r="S72" i="2" s="1"/>
  <c r="T73" i="4"/>
  <c r="T72" i="2" s="1"/>
  <c r="S9" i="4"/>
  <c r="S9" i="2" s="1"/>
  <c r="T9" i="4"/>
  <c r="S17" i="4"/>
  <c r="T17" i="4"/>
  <c r="S25" i="4"/>
  <c r="T25" i="4"/>
  <c r="T25" i="2" s="1"/>
  <c r="S33" i="4"/>
  <c r="S33" i="2" s="1"/>
  <c r="T33" i="4"/>
  <c r="T33" i="2" s="1"/>
  <c r="T41" i="4"/>
  <c r="T41" i="2" s="1"/>
  <c r="S41" i="4"/>
  <c r="T49" i="4"/>
  <c r="S49" i="4"/>
  <c r="S57" i="4"/>
  <c r="T57" i="4"/>
  <c r="T57" i="2" s="1"/>
  <c r="T65" i="4"/>
  <c r="T65" i="2" s="1"/>
  <c r="S65" i="4"/>
  <c r="S65" i="2" s="1"/>
  <c r="S28" i="4"/>
  <c r="S28" i="2" s="1"/>
  <c r="T28" i="4"/>
  <c r="S10" i="4"/>
  <c r="T10" i="4"/>
  <c r="S18" i="4"/>
  <c r="S18" i="2" s="1"/>
  <c r="T18" i="4"/>
  <c r="T18" i="2" s="1"/>
  <c r="S26" i="4"/>
  <c r="S26" i="2" s="1"/>
  <c r="T26" i="4"/>
  <c r="T26" i="2" s="1"/>
  <c r="S34" i="4"/>
  <c r="S34" i="2" s="1"/>
  <c r="T34" i="4"/>
  <c r="S42" i="4"/>
  <c r="T42" i="4"/>
  <c r="S50" i="4"/>
  <c r="T50" i="4"/>
  <c r="T50" i="2" s="1"/>
  <c r="S58" i="4"/>
  <c r="S58" i="2" s="1"/>
  <c r="T58" i="4"/>
  <c r="T58" i="2" s="1"/>
  <c r="S66" i="4"/>
  <c r="S66" i="2" s="1"/>
  <c r="T66" i="4"/>
  <c r="Q50" i="5"/>
  <c r="S50" i="5"/>
  <c r="S50" i="3" s="1"/>
  <c r="T50" i="5"/>
  <c r="T50" i="3" s="1"/>
  <c r="S5" i="2"/>
  <c r="O13" i="4"/>
  <c r="O13" i="2" s="1"/>
  <c r="J21" i="4"/>
  <c r="J21" i="2" s="1"/>
  <c r="S21" i="2"/>
  <c r="T21" i="2"/>
  <c r="L29" i="4"/>
  <c r="S29" i="2"/>
  <c r="T29" i="2"/>
  <c r="N37" i="4"/>
  <c r="N37" i="2" s="1"/>
  <c r="E45" i="4"/>
  <c r="E45" i="2" s="1"/>
  <c r="T45" i="2"/>
  <c r="K53" i="4"/>
  <c r="K53" i="2" s="1"/>
  <c r="S53" i="2"/>
  <c r="T53" i="2"/>
  <c r="L61" i="4"/>
  <c r="L61" i="2" s="1"/>
  <c r="T61" i="2"/>
  <c r="N70" i="4"/>
  <c r="N69" i="2" s="1"/>
  <c r="N21" i="5"/>
  <c r="N21" i="3" s="1"/>
  <c r="T21" i="5"/>
  <c r="T21" i="3" s="1"/>
  <c r="S21" i="5"/>
  <c r="S21" i="3" s="1"/>
  <c r="Q44" i="5"/>
  <c r="Q44" i="3" s="1"/>
  <c r="S44" i="5"/>
  <c r="S44" i="3" s="1"/>
  <c r="T44" i="5"/>
  <c r="T44" i="3" s="1"/>
  <c r="Q53" i="5"/>
  <c r="Q53" i="3" s="1"/>
  <c r="T53" i="5"/>
  <c r="T53" i="3" s="1"/>
  <c r="S53" i="5"/>
  <c r="S53" i="3" s="1"/>
  <c r="P57" i="5"/>
  <c r="P57" i="3" s="1"/>
  <c r="T57" i="5"/>
  <c r="T57" i="3" s="1"/>
  <c r="S57" i="5"/>
  <c r="S57" i="3" s="1"/>
  <c r="B61" i="3"/>
  <c r="T61" i="5"/>
  <c r="T61" i="3" s="1"/>
  <c r="S61" i="5"/>
  <c r="S61" i="3" s="1"/>
  <c r="P65" i="5"/>
  <c r="P65" i="3" s="1"/>
  <c r="T65" i="5"/>
  <c r="T65" i="3" s="1"/>
  <c r="S65" i="5"/>
  <c r="S65" i="3" s="1"/>
  <c r="N69" i="5"/>
  <c r="N69" i="3" s="1"/>
  <c r="T69" i="5"/>
  <c r="T69" i="3" s="1"/>
  <c r="S69" i="5"/>
  <c r="S69" i="3" s="1"/>
  <c r="P74" i="5"/>
  <c r="P73" i="3" s="1"/>
  <c r="T74" i="5"/>
  <c r="T73" i="3" s="1"/>
  <c r="S74" i="5"/>
  <c r="S73" i="3" s="1"/>
  <c r="Q11" i="4"/>
  <c r="Q11" i="2" s="1"/>
  <c r="T11" i="2"/>
  <c r="L43" i="4"/>
  <c r="L43" i="2" s="1"/>
  <c r="P59" i="4"/>
  <c r="P59" i="2" s="1"/>
  <c r="S59" i="2"/>
  <c r="T59" i="2"/>
  <c r="N24" i="5"/>
  <c r="N24" i="3" s="1"/>
  <c r="S24" i="5"/>
  <c r="S24" i="3" s="1"/>
  <c r="T24" i="5"/>
  <c r="T24" i="3" s="1"/>
  <c r="S43" i="5"/>
  <c r="S43" i="3" s="1"/>
  <c r="T43" i="5"/>
  <c r="T43" i="3" s="1"/>
  <c r="N60" i="5"/>
  <c r="N60" i="3" s="1"/>
  <c r="S60" i="5"/>
  <c r="S60" i="3" s="1"/>
  <c r="T60" i="5"/>
  <c r="T60" i="3" s="1"/>
  <c r="P64" i="5"/>
  <c r="P64" i="3" s="1"/>
  <c r="S64" i="5"/>
  <c r="S64" i="3" s="1"/>
  <c r="T64" i="5"/>
  <c r="T64" i="3" s="1"/>
  <c r="S73" i="5"/>
  <c r="S72" i="3" s="1"/>
  <c r="T73" i="5"/>
  <c r="T72" i="3" s="1"/>
  <c r="L20" i="4"/>
  <c r="L20" i="2" s="1"/>
  <c r="T20" i="2"/>
  <c r="L52" i="4"/>
  <c r="L52" i="2" s="1"/>
  <c r="S52" i="2"/>
  <c r="N6" i="5"/>
  <c r="N6" i="3" s="1"/>
  <c r="S6" i="5"/>
  <c r="S6" i="3" s="1"/>
  <c r="T6" i="5"/>
  <c r="T6" i="3" s="1"/>
  <c r="S35" i="5"/>
  <c r="S35" i="3" s="1"/>
  <c r="T35" i="5"/>
  <c r="T35" i="3" s="1"/>
  <c r="N39" i="5"/>
  <c r="N39" i="3" s="1"/>
  <c r="S39" i="5"/>
  <c r="S39" i="3" s="1"/>
  <c r="T39" i="5"/>
  <c r="T39" i="3" s="1"/>
  <c r="Q14" i="4"/>
  <c r="Q14" i="2" s="1"/>
  <c r="L30" i="4"/>
  <c r="L30" i="2" s="1"/>
  <c r="T30" i="2"/>
  <c r="K54" i="4"/>
  <c r="K54" i="2" s="1"/>
  <c r="Q71" i="4"/>
  <c r="S70" i="2"/>
  <c r="T70" i="2"/>
  <c r="N26" i="5"/>
  <c r="N26" i="3" s="1"/>
  <c r="S26" i="5"/>
  <c r="S26" i="3" s="1"/>
  <c r="T26" i="5"/>
  <c r="T26" i="3" s="1"/>
  <c r="O7" i="4"/>
  <c r="O7" i="2" s="1"/>
  <c r="S7" i="2"/>
  <c r="Q15" i="4"/>
  <c r="Q15" i="2" s="1"/>
  <c r="K23" i="4"/>
  <c r="K23" i="2" s="1"/>
  <c r="T23" i="2"/>
  <c r="B31" i="2"/>
  <c r="S31" i="2"/>
  <c r="T31" i="2"/>
  <c r="E39" i="4"/>
  <c r="E39" i="2" s="1"/>
  <c r="S39" i="2"/>
  <c r="E47" i="4"/>
  <c r="E47" i="2" s="1"/>
  <c r="D55" i="4"/>
  <c r="D55" i="2" s="1"/>
  <c r="T55" i="2"/>
  <c r="K63" i="4"/>
  <c r="K63" i="2" s="1"/>
  <c r="S63" i="2"/>
  <c r="T63" i="2"/>
  <c r="P72" i="4"/>
  <c r="S71" i="2"/>
  <c r="N18" i="5"/>
  <c r="S18" i="5"/>
  <c r="S18" i="3" s="1"/>
  <c r="T18" i="5"/>
  <c r="T18" i="3" s="1"/>
  <c r="N22" i="5"/>
  <c r="N22" i="3" s="1"/>
  <c r="S22" i="5"/>
  <c r="S22" i="3" s="1"/>
  <c r="T22" i="5"/>
  <c r="T22" i="3" s="1"/>
  <c r="N45" i="5"/>
  <c r="T45" i="5"/>
  <c r="T45" i="3" s="1"/>
  <c r="S45" i="5"/>
  <c r="S45" i="3" s="1"/>
  <c r="N54" i="5"/>
  <c r="N54" i="3" s="1"/>
  <c r="S54" i="5"/>
  <c r="S54" i="3" s="1"/>
  <c r="T54" i="5"/>
  <c r="T54" i="3" s="1"/>
  <c r="S58" i="5"/>
  <c r="S58" i="3" s="1"/>
  <c r="T58" i="5"/>
  <c r="T58" i="3" s="1"/>
  <c r="N62" i="5"/>
  <c r="S62" i="5"/>
  <c r="S62" i="3" s="1"/>
  <c r="T62" i="5"/>
  <c r="T62" i="3" s="1"/>
  <c r="S66" i="5"/>
  <c r="S66" i="3" s="1"/>
  <c r="T66" i="5"/>
  <c r="T66" i="3" s="1"/>
  <c r="S71" i="5"/>
  <c r="S70" i="3" s="1"/>
  <c r="T71" i="5"/>
  <c r="T70" i="3" s="1"/>
  <c r="L75" i="5"/>
  <c r="S75" i="5"/>
  <c r="S74" i="3" s="1"/>
  <c r="T75" i="5"/>
  <c r="T74" i="3" s="1"/>
  <c r="B27" i="2"/>
  <c r="S27" i="2"/>
  <c r="T27" i="2"/>
  <c r="L35" i="4"/>
  <c r="L35" i="2" s="1"/>
  <c r="L51" i="4"/>
  <c r="T51" i="2"/>
  <c r="B67" i="2"/>
  <c r="P20" i="5"/>
  <c r="P20" i="3" s="1"/>
  <c r="S20" i="5"/>
  <c r="S20" i="3" s="1"/>
  <c r="T20" i="5"/>
  <c r="T20" i="3" s="1"/>
  <c r="N47" i="5"/>
  <c r="N47" i="3" s="1"/>
  <c r="S47" i="5"/>
  <c r="S47" i="3" s="1"/>
  <c r="T47" i="5"/>
  <c r="T47" i="3" s="1"/>
  <c r="N52" i="5"/>
  <c r="S52" i="5"/>
  <c r="S52" i="3" s="1"/>
  <c r="T52" i="5"/>
  <c r="T52" i="3" s="1"/>
  <c r="N68" i="5"/>
  <c r="N68" i="3" s="1"/>
  <c r="S68" i="5"/>
  <c r="S68" i="3" s="1"/>
  <c r="T68" i="5"/>
  <c r="T68" i="3" s="1"/>
  <c r="O12" i="4"/>
  <c r="O12" i="2" s="1"/>
  <c r="K36" i="4"/>
  <c r="K36" i="2" s="1"/>
  <c r="T36" i="2"/>
  <c r="S36" i="2"/>
  <c r="N69" i="4"/>
  <c r="N68" i="2" s="1"/>
  <c r="Q6" i="4"/>
  <c r="Q6" i="2" s="1"/>
  <c r="S6" i="2"/>
  <c r="T6" i="2"/>
  <c r="L22" i="4"/>
  <c r="L38" i="4"/>
  <c r="L38" i="2" s="1"/>
  <c r="S38" i="2"/>
  <c r="T38" i="2"/>
  <c r="K46" i="4"/>
  <c r="K46" i="2" s="1"/>
  <c r="S46" i="2"/>
  <c r="K62" i="4"/>
  <c r="K62" i="2" s="1"/>
  <c r="T62" i="2"/>
  <c r="P7" i="5"/>
  <c r="P7" i="3" s="1"/>
  <c r="S7" i="5"/>
  <c r="S7" i="3" s="1"/>
  <c r="T7" i="5"/>
  <c r="T7" i="3" s="1"/>
  <c r="N11" i="5"/>
  <c r="N11" i="3" s="1"/>
  <c r="S11" i="5"/>
  <c r="S11" i="3" s="1"/>
  <c r="T11" i="5"/>
  <c r="T11" i="3" s="1"/>
  <c r="N15" i="5"/>
  <c r="N15" i="3" s="1"/>
  <c r="S15" i="5"/>
  <c r="S15" i="3" s="1"/>
  <c r="T15" i="5"/>
  <c r="T15" i="3" s="1"/>
  <c r="N36" i="5"/>
  <c r="N36" i="3" s="1"/>
  <c r="S36" i="5"/>
  <c r="S36" i="3" s="1"/>
  <c r="T36" i="5"/>
  <c r="T36" i="3" s="1"/>
  <c r="N40" i="5"/>
  <c r="N40" i="3" s="1"/>
  <c r="S40" i="5"/>
  <c r="S40" i="3" s="1"/>
  <c r="T40" i="5"/>
  <c r="T40" i="3" s="1"/>
  <c r="O8" i="4"/>
  <c r="O8" i="2" s="1"/>
  <c r="O16" i="4"/>
  <c r="O16" i="2" s="1"/>
  <c r="T16" i="2"/>
  <c r="M24" i="4"/>
  <c r="M24" i="2" s="1"/>
  <c r="T24" i="2"/>
  <c r="S24" i="2"/>
  <c r="B32" i="2"/>
  <c r="B40" i="2"/>
  <c r="J48" i="4"/>
  <c r="J48" i="2" s="1"/>
  <c r="T48" i="2"/>
  <c r="R56" i="4"/>
  <c r="R56" i="2" s="1"/>
  <c r="S56" i="2"/>
  <c r="T56" i="2"/>
  <c r="K64" i="4"/>
  <c r="K64" i="2" s="1"/>
  <c r="P73" i="4"/>
  <c r="P72" i="2" s="1"/>
  <c r="P8" i="5"/>
  <c r="P8" i="3" s="1"/>
  <c r="S8" i="5"/>
  <c r="S8" i="3" s="1"/>
  <c r="T8" i="5"/>
  <c r="T8" i="3" s="1"/>
  <c r="P12" i="5"/>
  <c r="P12" i="3" s="1"/>
  <c r="S12" i="5"/>
  <c r="S12" i="3" s="1"/>
  <c r="T12" i="5"/>
  <c r="T12" i="3" s="1"/>
  <c r="P16" i="5"/>
  <c r="P16" i="3" s="1"/>
  <c r="S16" i="5"/>
  <c r="S16" i="3" s="1"/>
  <c r="T16" i="5"/>
  <c r="T16" i="3" s="1"/>
  <c r="N27" i="5"/>
  <c r="N27" i="3" s="1"/>
  <c r="S27" i="5"/>
  <c r="S27" i="3" s="1"/>
  <c r="T27" i="5"/>
  <c r="T27" i="3" s="1"/>
  <c r="P30" i="5"/>
  <c r="P30" i="3" s="1"/>
  <c r="S30" i="5"/>
  <c r="S30" i="3" s="1"/>
  <c r="T30" i="5"/>
  <c r="T30" i="3" s="1"/>
  <c r="N37" i="5"/>
  <c r="N37" i="3" s="1"/>
  <c r="T37" i="5"/>
  <c r="T37" i="3" s="1"/>
  <c r="S37" i="5"/>
  <c r="S37" i="3" s="1"/>
  <c r="N41" i="5"/>
  <c r="N41" i="3" s="1"/>
  <c r="T41" i="5"/>
  <c r="T41" i="3" s="1"/>
  <c r="S41" i="5"/>
  <c r="S41" i="3" s="1"/>
  <c r="D19" i="4"/>
  <c r="D19" i="2" s="1"/>
  <c r="P56" i="5"/>
  <c r="P56" i="3" s="1"/>
  <c r="S56" i="5"/>
  <c r="S56" i="3" s="1"/>
  <c r="T56" i="5"/>
  <c r="T56" i="3" s="1"/>
  <c r="I28" i="4"/>
  <c r="I28" i="2" s="1"/>
  <c r="T28" i="2"/>
  <c r="K44" i="4"/>
  <c r="K44" i="2" s="1"/>
  <c r="S44" i="2"/>
  <c r="T44" i="2"/>
  <c r="L60" i="4"/>
  <c r="L60" i="2" s="1"/>
  <c r="T60" i="2"/>
  <c r="N10" i="5"/>
  <c r="N10" i="3" s="1"/>
  <c r="S10" i="5"/>
  <c r="S10" i="3" s="1"/>
  <c r="T10" i="5"/>
  <c r="T10" i="3" s="1"/>
  <c r="N14" i="5"/>
  <c r="N14" i="3" s="1"/>
  <c r="S14" i="5"/>
  <c r="S14" i="3" s="1"/>
  <c r="T14" i="5"/>
  <c r="T14" i="3" s="1"/>
  <c r="N25" i="5"/>
  <c r="N25" i="3" s="1"/>
  <c r="T25" i="5"/>
  <c r="T25" i="3" s="1"/>
  <c r="S25" i="5"/>
  <c r="S25" i="3" s="1"/>
  <c r="O9" i="4"/>
  <c r="O9" i="2" s="1"/>
  <c r="T9" i="2"/>
  <c r="R17" i="4"/>
  <c r="R17" i="2" s="1"/>
  <c r="S17" i="2"/>
  <c r="T17" i="2"/>
  <c r="L25" i="4"/>
  <c r="S25" i="2"/>
  <c r="L33" i="4"/>
  <c r="I41" i="4"/>
  <c r="I41" i="2" s="1"/>
  <c r="S41" i="2"/>
  <c r="K49" i="4"/>
  <c r="K49" i="2" s="1"/>
  <c r="S49" i="2"/>
  <c r="T49" i="2"/>
  <c r="K57" i="4"/>
  <c r="K57" i="2" s="1"/>
  <c r="S57" i="2"/>
  <c r="I65" i="4"/>
  <c r="I65" i="2" s="1"/>
  <c r="N19" i="5"/>
  <c r="N19" i="3" s="1"/>
  <c r="S19" i="5"/>
  <c r="S19" i="3" s="1"/>
  <c r="T19" i="5"/>
  <c r="T19" i="3" s="1"/>
  <c r="Q23" i="5"/>
  <c r="Q23" i="3" s="1"/>
  <c r="S23" i="5"/>
  <c r="S23" i="3" s="1"/>
  <c r="T23" i="5"/>
  <c r="T23" i="3" s="1"/>
  <c r="P33" i="5"/>
  <c r="T33" i="5"/>
  <c r="T33" i="3" s="1"/>
  <c r="S33" i="5"/>
  <c r="S33" i="3" s="1"/>
  <c r="P46" i="5"/>
  <c r="P46" i="3" s="1"/>
  <c r="S46" i="5"/>
  <c r="S46" i="3" s="1"/>
  <c r="T46" i="5"/>
  <c r="T46" i="3" s="1"/>
  <c r="N55" i="5"/>
  <c r="N55" i="3" s="1"/>
  <c r="S55" i="5"/>
  <c r="S55" i="3" s="1"/>
  <c r="T55" i="5"/>
  <c r="T55" i="3" s="1"/>
  <c r="N59" i="5"/>
  <c r="N59" i="3" s="1"/>
  <c r="S59" i="5"/>
  <c r="S59" i="3" s="1"/>
  <c r="T59" i="5"/>
  <c r="T59" i="3" s="1"/>
  <c r="N63" i="5"/>
  <c r="N63" i="3" s="1"/>
  <c r="S63" i="5"/>
  <c r="S63" i="3" s="1"/>
  <c r="T63" i="5"/>
  <c r="T63" i="3" s="1"/>
  <c r="N67" i="5"/>
  <c r="N67" i="3" s="1"/>
  <c r="S67" i="5"/>
  <c r="S67" i="3" s="1"/>
  <c r="T67" i="5"/>
  <c r="T67" i="3" s="1"/>
  <c r="S72" i="5"/>
  <c r="S71" i="3" s="1"/>
  <c r="T72" i="5"/>
  <c r="T71" i="3" s="1"/>
  <c r="P76" i="5"/>
  <c r="P75" i="3" s="1"/>
  <c r="T76" i="5"/>
  <c r="T75" i="3" s="1"/>
  <c r="S76" i="5"/>
  <c r="S75" i="3" s="1"/>
  <c r="B75" i="3"/>
  <c r="O10" i="4"/>
  <c r="O10" i="2" s="1"/>
  <c r="S10" i="2"/>
  <c r="T10" i="2"/>
  <c r="D18" i="4"/>
  <c r="D18" i="2" s="1"/>
  <c r="K26" i="4"/>
  <c r="K26" i="2" s="1"/>
  <c r="B34" i="2"/>
  <c r="T34" i="2"/>
  <c r="J42" i="4"/>
  <c r="J42" i="2" s="1"/>
  <c r="S42" i="2"/>
  <c r="T42" i="2"/>
  <c r="I50" i="4"/>
  <c r="I50" i="2" s="1"/>
  <c r="S50" i="2"/>
  <c r="B58" i="2"/>
  <c r="D66" i="4"/>
  <c r="D66" i="2" s="1"/>
  <c r="T66" i="2"/>
  <c r="M5" i="5"/>
  <c r="M5" i="3" s="1"/>
  <c r="T5" i="5"/>
  <c r="T5" i="3" s="1"/>
  <c r="S5" i="5"/>
  <c r="S5" i="3" s="1"/>
  <c r="P9" i="5"/>
  <c r="P9" i="3" s="1"/>
  <c r="T9" i="5"/>
  <c r="T9" i="3" s="1"/>
  <c r="S9" i="5"/>
  <c r="S9" i="3" s="1"/>
  <c r="N13" i="5"/>
  <c r="N13" i="3" s="1"/>
  <c r="T13" i="5"/>
  <c r="T13" i="3" s="1"/>
  <c r="S13" i="5"/>
  <c r="S13" i="3" s="1"/>
  <c r="P28" i="5"/>
  <c r="P28" i="3" s="1"/>
  <c r="S28" i="5"/>
  <c r="S28" i="3" s="1"/>
  <c r="T28" i="5"/>
  <c r="T28" i="3" s="1"/>
  <c r="N31" i="5"/>
  <c r="N31" i="3" s="1"/>
  <c r="S31" i="5"/>
  <c r="S31" i="3" s="1"/>
  <c r="T31" i="5"/>
  <c r="T31" i="3" s="1"/>
  <c r="B34" i="3"/>
  <c r="S34" i="5"/>
  <c r="S34" i="3" s="1"/>
  <c r="T34" i="5"/>
  <c r="T34" i="3" s="1"/>
  <c r="P38" i="5"/>
  <c r="S38" i="5"/>
  <c r="S38" i="3" s="1"/>
  <c r="T38" i="5"/>
  <c r="T38" i="3" s="1"/>
  <c r="N42" i="5"/>
  <c r="S42" i="5"/>
  <c r="S42" i="3" s="1"/>
  <c r="T42" i="5"/>
  <c r="T42" i="3" s="1"/>
  <c r="N49" i="5"/>
  <c r="N49" i="3" s="1"/>
  <c r="T49" i="5"/>
  <c r="T49" i="3" s="1"/>
  <c r="S49" i="5"/>
  <c r="S49" i="3" s="1"/>
  <c r="B11" i="3"/>
  <c r="B7" i="3"/>
  <c r="B21" i="2"/>
  <c r="B45" i="2"/>
  <c r="B68" i="3"/>
  <c r="B64" i="3"/>
  <c r="B68" i="2"/>
  <c r="B33" i="3"/>
  <c r="B14" i="2"/>
  <c r="B66" i="2"/>
  <c r="B5" i="3"/>
  <c r="B10" i="3"/>
  <c r="O54" i="4"/>
  <c r="O54" i="2" s="1"/>
  <c r="K52" i="4"/>
  <c r="K52" i="2" s="1"/>
  <c r="R42" i="4"/>
  <c r="R42" i="2" s="1"/>
  <c r="P69" i="4"/>
  <c r="P68" i="2" s="1"/>
  <c r="B6" i="2"/>
  <c r="N20" i="5"/>
  <c r="N20" i="3" s="1"/>
  <c r="B36" i="3"/>
  <c r="R50" i="4"/>
  <c r="R50" i="2" s="1"/>
  <c r="R37" i="4"/>
  <c r="R37" i="2" s="1"/>
  <c r="Q22" i="4"/>
  <c r="Q22" i="2" s="1"/>
  <c r="J43" i="4"/>
  <c r="J43" i="2" s="1"/>
  <c r="B16" i="2"/>
  <c r="B43" i="2"/>
  <c r="R49" i="4"/>
  <c r="R49" i="2" s="1"/>
  <c r="M37" i="4"/>
  <c r="M37" i="2" s="1"/>
  <c r="Q21" i="4"/>
  <c r="Q21" i="2" s="1"/>
  <c r="Q9" i="5"/>
  <c r="Q9" i="3" s="1"/>
  <c r="M41" i="4"/>
  <c r="M41" i="2" s="1"/>
  <c r="R24" i="4"/>
  <c r="R24" i="2" s="1"/>
  <c r="E14" i="4"/>
  <c r="E14" i="2" s="1"/>
  <c r="R61" i="4"/>
  <c r="R61" i="2" s="1"/>
  <c r="O48" i="4"/>
  <c r="O48" i="2" s="1"/>
  <c r="O33" i="4"/>
  <c r="O33" i="2" s="1"/>
  <c r="Q16" i="4"/>
  <c r="Q16" i="2" s="1"/>
  <c r="P6" i="5"/>
  <c r="P6" i="3" s="1"/>
  <c r="B63" i="2"/>
  <c r="M61" i="4"/>
  <c r="M61" i="2" s="1"/>
  <c r="K47" i="4"/>
  <c r="K47" i="2" s="1"/>
  <c r="R32" i="4"/>
  <c r="R32" i="2" s="1"/>
  <c r="R9" i="4"/>
  <c r="R9" i="2" s="1"/>
  <c r="Q67" i="5"/>
  <c r="Q67" i="3" s="1"/>
  <c r="B41" i="2"/>
  <c r="B48" i="2"/>
  <c r="K60" i="4"/>
  <c r="K60" i="2" s="1"/>
  <c r="R45" i="4"/>
  <c r="R45" i="2" s="1"/>
  <c r="M29" i="4"/>
  <c r="M29" i="2" s="1"/>
  <c r="Q61" i="5"/>
  <c r="Q61" i="3" s="1"/>
  <c r="M27" i="4"/>
  <c r="M27" i="2" s="1"/>
  <c r="B35" i="2"/>
  <c r="I48" i="4"/>
  <c r="I48" i="2" s="1"/>
  <c r="O53" i="4"/>
  <c r="O53" i="2" s="1"/>
  <c r="R41" i="4"/>
  <c r="R41" i="2" s="1"/>
  <c r="R25" i="4"/>
  <c r="R25" i="2" s="1"/>
  <c r="Q22" i="5"/>
  <c r="Q22" i="3" s="1"/>
  <c r="Q34" i="5"/>
  <c r="Q34" i="3" s="1"/>
  <c r="P27" i="5"/>
  <c r="P27" i="3" s="1"/>
  <c r="R57" i="4"/>
  <c r="R57" i="2" s="1"/>
  <c r="M57" i="4"/>
  <c r="M57" i="2" s="1"/>
  <c r="P60" i="5"/>
  <c r="P60" i="3" s="1"/>
  <c r="B12" i="3"/>
  <c r="B19" i="2"/>
  <c r="Q65" i="4"/>
  <c r="Q65" i="2" s="1"/>
  <c r="K65" i="4"/>
  <c r="K65" i="2" s="1"/>
  <c r="B59" i="3"/>
  <c r="R44" i="4"/>
  <c r="R44" i="2" s="1"/>
  <c r="Q47" i="5"/>
  <c r="Q47" i="3" s="1"/>
  <c r="R35" i="4"/>
  <c r="R35" i="2" s="1"/>
  <c r="M35" i="4"/>
  <c r="M35" i="2" s="1"/>
  <c r="B45" i="3"/>
  <c r="B42" i="2"/>
  <c r="B51" i="2"/>
  <c r="O65" i="4"/>
  <c r="O65" i="2" s="1"/>
  <c r="Q61" i="4"/>
  <c r="Q61" i="2" s="1"/>
  <c r="R59" i="4"/>
  <c r="R59" i="2" s="1"/>
  <c r="Q57" i="4"/>
  <c r="Q57" i="2" s="1"/>
  <c r="R53" i="4"/>
  <c r="R53" i="2" s="1"/>
  <c r="R51" i="4"/>
  <c r="R51" i="2" s="1"/>
  <c r="R48" i="4"/>
  <c r="R48" i="2" s="1"/>
  <c r="R46" i="4"/>
  <c r="R46" i="2" s="1"/>
  <c r="R43" i="4"/>
  <c r="R43" i="2" s="1"/>
  <c r="Q41" i="4"/>
  <c r="Q41" i="2" s="1"/>
  <c r="Q37" i="4"/>
  <c r="Q37" i="2" s="1"/>
  <c r="Q35" i="4"/>
  <c r="Q35" i="2" s="1"/>
  <c r="M33" i="4"/>
  <c r="M33" i="2" s="1"/>
  <c r="K29" i="4"/>
  <c r="K29" i="2" s="1"/>
  <c r="K27" i="4"/>
  <c r="K27" i="2" s="1"/>
  <c r="R23" i="4"/>
  <c r="R23" i="2" s="1"/>
  <c r="O21" i="4"/>
  <c r="O21" i="2" s="1"/>
  <c r="Q8" i="4"/>
  <c r="Q8" i="2" s="1"/>
  <c r="P14" i="5"/>
  <c r="P14" i="3" s="1"/>
  <c r="N9" i="5"/>
  <c r="N9" i="3" s="1"/>
  <c r="N61" i="5"/>
  <c r="N61" i="3" s="1"/>
  <c r="P55" i="5"/>
  <c r="P55" i="3" s="1"/>
  <c r="Q30" i="5"/>
  <c r="Q30" i="3" s="1"/>
  <c r="B30" i="3"/>
  <c r="B57" i="3"/>
  <c r="B65" i="3"/>
  <c r="B69" i="3"/>
  <c r="M65" i="4"/>
  <c r="M65" i="2" s="1"/>
  <c r="O61" i="4"/>
  <c r="O61" i="2" s="1"/>
  <c r="Q59" i="4"/>
  <c r="Q59" i="2" s="1"/>
  <c r="O57" i="4"/>
  <c r="O57" i="2" s="1"/>
  <c r="Q53" i="4"/>
  <c r="Q53" i="2" s="1"/>
  <c r="Q51" i="4"/>
  <c r="Q51" i="2" s="1"/>
  <c r="Q48" i="4"/>
  <c r="Q48" i="2" s="1"/>
  <c r="Q46" i="4"/>
  <c r="Q46" i="2" s="1"/>
  <c r="Q43" i="4"/>
  <c r="Q43" i="2" s="1"/>
  <c r="O41" i="4"/>
  <c r="O41" i="2" s="1"/>
  <c r="O37" i="4"/>
  <c r="O37" i="2" s="1"/>
  <c r="O35" i="4"/>
  <c r="O35" i="2" s="1"/>
  <c r="K33" i="4"/>
  <c r="K33" i="2" s="1"/>
  <c r="R28" i="4"/>
  <c r="R28" i="2" s="1"/>
  <c r="R26" i="4"/>
  <c r="R26" i="2" s="1"/>
  <c r="R22" i="4"/>
  <c r="R22" i="2" s="1"/>
  <c r="R20" i="4"/>
  <c r="R20" i="2" s="1"/>
  <c r="R15" i="4"/>
  <c r="R15" i="2" s="1"/>
  <c r="L5" i="5"/>
  <c r="L5" i="3" s="1"/>
  <c r="Q20" i="5"/>
  <c r="Q20" i="3" s="1"/>
  <c r="Q13" i="5"/>
  <c r="Q13" i="3" s="1"/>
  <c r="Q65" i="5"/>
  <c r="Q65" i="3" s="1"/>
  <c r="Q60" i="5"/>
  <c r="Q60" i="3" s="1"/>
  <c r="P45" i="5"/>
  <c r="P45" i="3" s="1"/>
  <c r="N30" i="5"/>
  <c r="N30" i="3" s="1"/>
  <c r="B5" i="2"/>
  <c r="K5" i="4"/>
  <c r="K5" i="2" s="1"/>
  <c r="M5" i="4"/>
  <c r="M5" i="2" s="1"/>
  <c r="O59" i="4"/>
  <c r="O59" i="2" s="1"/>
  <c r="O15" i="4"/>
  <c r="O15" i="2" s="1"/>
  <c r="O5" i="5"/>
  <c r="O5" i="3" s="1"/>
  <c r="I68" i="4"/>
  <c r="I67" i="2" s="1"/>
  <c r="K68" i="4"/>
  <c r="K67" i="2" s="1"/>
  <c r="R64" i="4"/>
  <c r="R64" i="2" s="1"/>
  <c r="K61" i="4"/>
  <c r="K61" i="2" s="1"/>
  <c r="M59" i="4"/>
  <c r="M59" i="2" s="1"/>
  <c r="R52" i="4"/>
  <c r="R52" i="2" s="1"/>
  <c r="Q50" i="4"/>
  <c r="Q50" i="2" s="1"/>
  <c r="R47" i="4"/>
  <c r="R47" i="2" s="1"/>
  <c r="Q45" i="4"/>
  <c r="Q45" i="2" s="1"/>
  <c r="Q42" i="4"/>
  <c r="Q42" i="2" s="1"/>
  <c r="K41" i="4"/>
  <c r="K41" i="2" s="1"/>
  <c r="K37" i="4"/>
  <c r="K37" i="2" s="1"/>
  <c r="K35" i="4"/>
  <c r="K35" i="2" s="1"/>
  <c r="R30" i="4"/>
  <c r="R30" i="2" s="1"/>
  <c r="O28" i="4"/>
  <c r="O28" i="2" s="1"/>
  <c r="Q25" i="4"/>
  <c r="Q25" i="2" s="1"/>
  <c r="O22" i="4"/>
  <c r="O22" i="2" s="1"/>
  <c r="O20" i="4"/>
  <c r="O20" i="2" s="1"/>
  <c r="L68" i="4"/>
  <c r="L67" i="2" s="1"/>
  <c r="Q24" i="5"/>
  <c r="Q24" i="3" s="1"/>
  <c r="P19" i="5"/>
  <c r="P19" i="3" s="1"/>
  <c r="Q12" i="5"/>
  <c r="Q12" i="3" s="1"/>
  <c r="Q69" i="5"/>
  <c r="Q69" i="3" s="1"/>
  <c r="Q59" i="5"/>
  <c r="Q59" i="3" s="1"/>
  <c r="Q52" i="5"/>
  <c r="Q52" i="3" s="1"/>
  <c r="P44" i="5"/>
  <c r="P44" i="3" s="1"/>
  <c r="Q76" i="5"/>
  <c r="Q75" i="3" s="1"/>
  <c r="Q28" i="4"/>
  <c r="Q28" i="2" s="1"/>
  <c r="Q20" i="4"/>
  <c r="Q20" i="2" s="1"/>
  <c r="R66" i="4"/>
  <c r="R66" i="2" s="1"/>
  <c r="R62" i="4"/>
  <c r="R62" i="2" s="1"/>
  <c r="R60" i="4"/>
  <c r="R60" i="2" s="1"/>
  <c r="K59" i="4"/>
  <c r="K59" i="2" s="1"/>
  <c r="Q52" i="4"/>
  <c r="Q52" i="2" s="1"/>
  <c r="O50" i="4"/>
  <c r="O50" i="2" s="1"/>
  <c r="Q47" i="4"/>
  <c r="Q47" i="2" s="1"/>
  <c r="O45" i="4"/>
  <c r="O45" i="2" s="1"/>
  <c r="O42" i="4"/>
  <c r="O42" i="2" s="1"/>
  <c r="R40" i="4"/>
  <c r="R40" i="2" s="1"/>
  <c r="R36" i="4"/>
  <c r="R36" i="2" s="1"/>
  <c r="R34" i="4"/>
  <c r="R34" i="2" s="1"/>
  <c r="R29" i="4"/>
  <c r="R29" i="2" s="1"/>
  <c r="R27" i="4"/>
  <c r="R27" i="2" s="1"/>
  <c r="O25" i="4"/>
  <c r="O25" i="2" s="1"/>
  <c r="M22" i="4"/>
  <c r="M22" i="2" s="1"/>
  <c r="M20" i="4"/>
  <c r="M20" i="2" s="1"/>
  <c r="Q13" i="4"/>
  <c r="Q13" i="2" s="1"/>
  <c r="M68" i="4"/>
  <c r="M67" i="2" s="1"/>
  <c r="P24" i="5"/>
  <c r="P24" i="3" s="1"/>
  <c r="Q63" i="5"/>
  <c r="Q63" i="3" s="1"/>
  <c r="P52" i="5"/>
  <c r="P52" i="3" s="1"/>
  <c r="Q42" i="5"/>
  <c r="Q42" i="3" s="1"/>
  <c r="Q66" i="4"/>
  <c r="Q66" i="2" s="1"/>
  <c r="Q62" i="4"/>
  <c r="Q62" i="2" s="1"/>
  <c r="Q60" i="4"/>
  <c r="Q60" i="2" s="1"/>
  <c r="R58" i="4"/>
  <c r="R58" i="2" s="1"/>
  <c r="R54" i="4"/>
  <c r="R54" i="2" s="1"/>
  <c r="O52" i="4"/>
  <c r="O52" i="2" s="1"/>
  <c r="M50" i="4"/>
  <c r="M50" i="2" s="1"/>
  <c r="O47" i="4"/>
  <c r="O47" i="2" s="1"/>
  <c r="M45" i="4"/>
  <c r="M45" i="2" s="1"/>
  <c r="M42" i="4"/>
  <c r="M42" i="2" s="1"/>
  <c r="R38" i="4"/>
  <c r="R38" i="2" s="1"/>
  <c r="Q36" i="4"/>
  <c r="Q36" i="2" s="1"/>
  <c r="R33" i="4"/>
  <c r="R33" i="2" s="1"/>
  <c r="Q29" i="4"/>
  <c r="Q29" i="2" s="1"/>
  <c r="Q27" i="4"/>
  <c r="Q27" i="2" s="1"/>
  <c r="M25" i="4"/>
  <c r="M25" i="2" s="1"/>
  <c r="K22" i="4"/>
  <c r="K22" i="2" s="1"/>
  <c r="K20" i="4"/>
  <c r="K20" i="2" s="1"/>
  <c r="R10" i="4"/>
  <c r="R10" i="2" s="1"/>
  <c r="O68" i="4"/>
  <c r="O67" i="2" s="1"/>
  <c r="Q18" i="5"/>
  <c r="Q18" i="3" s="1"/>
  <c r="P10" i="5"/>
  <c r="P10" i="3" s="1"/>
  <c r="Q68" i="5"/>
  <c r="Q68" i="3" s="1"/>
  <c r="P63" i="5"/>
  <c r="P63" i="3" s="1"/>
  <c r="Q57" i="5"/>
  <c r="Q57" i="3" s="1"/>
  <c r="Q74" i="5"/>
  <c r="Q73" i="3" s="1"/>
  <c r="N65" i="5"/>
  <c r="N65" i="3" s="1"/>
  <c r="R65" i="4"/>
  <c r="R65" i="2" s="1"/>
  <c r="O62" i="4"/>
  <c r="O62" i="2" s="1"/>
  <c r="O60" i="4"/>
  <c r="O60" i="2" s="1"/>
  <c r="Q58" i="4"/>
  <c r="Q58" i="2" s="1"/>
  <c r="Q54" i="4"/>
  <c r="Q54" i="2" s="1"/>
  <c r="M52" i="4"/>
  <c r="M52" i="2" s="1"/>
  <c r="K50" i="4"/>
  <c r="K50" i="2" s="1"/>
  <c r="M47" i="4"/>
  <c r="M47" i="2" s="1"/>
  <c r="K45" i="4"/>
  <c r="K45" i="2" s="1"/>
  <c r="K42" i="4"/>
  <c r="K42" i="2" s="1"/>
  <c r="Q38" i="4"/>
  <c r="Q38" i="2" s="1"/>
  <c r="O36" i="4"/>
  <c r="O36" i="2" s="1"/>
  <c r="Q33" i="4"/>
  <c r="Q33" i="2" s="1"/>
  <c r="O29" i="4"/>
  <c r="O29" i="2" s="1"/>
  <c r="O27" i="4"/>
  <c r="O27" i="2" s="1"/>
  <c r="K25" i="4"/>
  <c r="K25" i="2" s="1"/>
  <c r="R21" i="4"/>
  <c r="R21" i="2" s="1"/>
  <c r="R19" i="4"/>
  <c r="R19" i="2" s="1"/>
  <c r="Q10" i="4"/>
  <c r="Q10" i="2" s="1"/>
  <c r="P23" i="5"/>
  <c r="P23" i="3" s="1"/>
  <c r="P68" i="5"/>
  <c r="P68" i="3" s="1"/>
  <c r="N57" i="5"/>
  <c r="N57" i="3" s="1"/>
  <c r="P37" i="5"/>
  <c r="P37" i="3" s="1"/>
  <c r="N73" i="5"/>
  <c r="N72" i="3" s="1"/>
  <c r="N75" i="5"/>
  <c r="N74" i="3" s="1"/>
  <c r="K71" i="5"/>
  <c r="K70" i="3" s="1"/>
  <c r="R71" i="5"/>
  <c r="R70" i="3" s="1"/>
  <c r="Q71" i="5"/>
  <c r="Q70" i="3" s="1"/>
  <c r="P71" i="5"/>
  <c r="P70" i="3" s="1"/>
  <c r="N71" i="5"/>
  <c r="N70" i="3" s="1"/>
  <c r="Q21" i="5"/>
  <c r="Q21" i="3" s="1"/>
  <c r="B39" i="2"/>
  <c r="Q64" i="4"/>
  <c r="Q64" i="2" s="1"/>
  <c r="Q56" i="4"/>
  <c r="Q56" i="2" s="1"/>
  <c r="Q40" i="4"/>
  <c r="Q40" i="2" s="1"/>
  <c r="Q39" i="4"/>
  <c r="Q39" i="2" s="1"/>
  <c r="Q34" i="4"/>
  <c r="Q34" i="2" s="1"/>
  <c r="Q32" i="4"/>
  <c r="Q32" i="2" s="1"/>
  <c r="Q31" i="4"/>
  <c r="Q31" i="2" s="1"/>
  <c r="Q30" i="4"/>
  <c r="Q30" i="2" s="1"/>
  <c r="Q26" i="4"/>
  <c r="Q26" i="2" s="1"/>
  <c r="Q24" i="4"/>
  <c r="Q24" i="2" s="1"/>
  <c r="Q23" i="4"/>
  <c r="Q23" i="2" s="1"/>
  <c r="Q19" i="4"/>
  <c r="Q19" i="2" s="1"/>
  <c r="Q18" i="4"/>
  <c r="Q18" i="2" s="1"/>
  <c r="R7" i="4"/>
  <c r="R7" i="2" s="1"/>
  <c r="P71" i="4"/>
  <c r="P70" i="2" s="1"/>
  <c r="P21" i="5"/>
  <c r="P21" i="3" s="1"/>
  <c r="N7" i="5"/>
  <c r="N7" i="3" s="1"/>
  <c r="P42" i="5"/>
  <c r="P42" i="3" s="1"/>
  <c r="Q39" i="5"/>
  <c r="Q39" i="3" s="1"/>
  <c r="P34" i="5"/>
  <c r="P34" i="3" s="1"/>
  <c r="M75" i="5"/>
  <c r="M74" i="3" s="1"/>
  <c r="B46" i="2"/>
  <c r="B55" i="2"/>
  <c r="B69" i="2"/>
  <c r="K6" i="4"/>
  <c r="K6" i="2" s="1"/>
  <c r="L6" i="4"/>
  <c r="L6" i="2" s="1"/>
  <c r="M6" i="4"/>
  <c r="M6" i="2" s="1"/>
  <c r="N6" i="4"/>
  <c r="N6" i="2" s="1"/>
  <c r="P6" i="4"/>
  <c r="P6" i="2" s="1"/>
  <c r="K14" i="4"/>
  <c r="K14" i="2" s="1"/>
  <c r="L14" i="4"/>
  <c r="L14" i="2" s="1"/>
  <c r="M14" i="4"/>
  <c r="M14" i="2" s="1"/>
  <c r="N14" i="4"/>
  <c r="N14" i="2" s="1"/>
  <c r="P14" i="4"/>
  <c r="P14" i="2" s="1"/>
  <c r="E18" i="4"/>
  <c r="E18" i="2" s="1"/>
  <c r="R73" i="4"/>
  <c r="R72" i="2" s="1"/>
  <c r="K73" i="4"/>
  <c r="K72" i="2" s="1"/>
  <c r="L73" i="4"/>
  <c r="L72" i="2" s="1"/>
  <c r="M73" i="4"/>
  <c r="M72" i="2" s="1"/>
  <c r="O73" i="4"/>
  <c r="O72" i="2" s="1"/>
  <c r="R8" i="5"/>
  <c r="R8" i="3" s="1"/>
  <c r="K8" i="5"/>
  <c r="K8" i="3" s="1"/>
  <c r="L8" i="5"/>
  <c r="L8" i="3" s="1"/>
  <c r="M8" i="5"/>
  <c r="M8" i="3" s="1"/>
  <c r="O8" i="5"/>
  <c r="O8" i="3" s="1"/>
  <c r="R12" i="5"/>
  <c r="R12" i="3" s="1"/>
  <c r="K12" i="5"/>
  <c r="K12" i="3" s="1"/>
  <c r="L12" i="5"/>
  <c r="L12" i="3" s="1"/>
  <c r="M12" i="5"/>
  <c r="M12" i="3" s="1"/>
  <c r="O12" i="5"/>
  <c r="O12" i="3" s="1"/>
  <c r="B16" i="3"/>
  <c r="R16" i="5"/>
  <c r="R16" i="3" s="1"/>
  <c r="K16" i="5"/>
  <c r="K16" i="3" s="1"/>
  <c r="L16" i="5"/>
  <c r="L16" i="3" s="1"/>
  <c r="M16" i="5"/>
  <c r="M16" i="3" s="1"/>
  <c r="O16" i="5"/>
  <c r="O16" i="3" s="1"/>
  <c r="R18" i="5"/>
  <c r="R18" i="3" s="1"/>
  <c r="K18" i="5"/>
  <c r="K18" i="3" s="1"/>
  <c r="L18" i="5"/>
  <c r="L18" i="3" s="1"/>
  <c r="M18" i="5"/>
  <c r="M18" i="3" s="1"/>
  <c r="O18" i="5"/>
  <c r="O18" i="3" s="1"/>
  <c r="R22" i="5"/>
  <c r="R22" i="3" s="1"/>
  <c r="K22" i="5"/>
  <c r="K22" i="3" s="1"/>
  <c r="L22" i="5"/>
  <c r="L22" i="3" s="1"/>
  <c r="M22" i="5"/>
  <c r="M22" i="3" s="1"/>
  <c r="O22" i="5"/>
  <c r="O22" i="3" s="1"/>
  <c r="R43" i="5"/>
  <c r="R43" i="3" s="1"/>
  <c r="K43" i="5"/>
  <c r="K43" i="3" s="1"/>
  <c r="L43" i="5"/>
  <c r="L43" i="3" s="1"/>
  <c r="M43" i="5"/>
  <c r="M43" i="3" s="1"/>
  <c r="O43" i="5"/>
  <c r="O43" i="3" s="1"/>
  <c r="R47" i="5"/>
  <c r="R47" i="3" s="1"/>
  <c r="K47" i="5"/>
  <c r="K47" i="3" s="1"/>
  <c r="L47" i="5"/>
  <c r="L47" i="3" s="1"/>
  <c r="M47" i="5"/>
  <c r="M47" i="3" s="1"/>
  <c r="O47" i="5"/>
  <c r="O47" i="3" s="1"/>
  <c r="J49" i="5"/>
  <c r="J49" i="3" s="1"/>
  <c r="R49" i="5"/>
  <c r="R49" i="3" s="1"/>
  <c r="K49" i="5"/>
  <c r="K49" i="3" s="1"/>
  <c r="L49" i="5"/>
  <c r="L49" i="3" s="1"/>
  <c r="M49" i="5"/>
  <c r="M49" i="3" s="1"/>
  <c r="O49" i="5"/>
  <c r="O49" i="3" s="1"/>
  <c r="R55" i="5"/>
  <c r="R55" i="3" s="1"/>
  <c r="K55" i="5"/>
  <c r="K55" i="3" s="1"/>
  <c r="L55" i="5"/>
  <c r="L55" i="3" s="1"/>
  <c r="M55" i="5"/>
  <c r="M55" i="3" s="1"/>
  <c r="O55" i="5"/>
  <c r="O55" i="3" s="1"/>
  <c r="J59" i="5"/>
  <c r="J59" i="3" s="1"/>
  <c r="R59" i="5"/>
  <c r="R59" i="3" s="1"/>
  <c r="K59" i="5"/>
  <c r="K59" i="3" s="1"/>
  <c r="L59" i="5"/>
  <c r="L59" i="3" s="1"/>
  <c r="M59" i="5"/>
  <c r="M59" i="3" s="1"/>
  <c r="O59" i="5"/>
  <c r="O59" i="3" s="1"/>
  <c r="J63" i="5"/>
  <c r="J63" i="3" s="1"/>
  <c r="R63" i="5"/>
  <c r="R63" i="3" s="1"/>
  <c r="K63" i="5"/>
  <c r="K63" i="3" s="1"/>
  <c r="L63" i="5"/>
  <c r="L63" i="3" s="1"/>
  <c r="M63" i="5"/>
  <c r="M63" i="3" s="1"/>
  <c r="O63" i="5"/>
  <c r="O63" i="3" s="1"/>
  <c r="J67" i="5"/>
  <c r="J67" i="3" s="1"/>
  <c r="R67" i="5"/>
  <c r="R67" i="3" s="1"/>
  <c r="K67" i="5"/>
  <c r="K67" i="3" s="1"/>
  <c r="L67" i="5"/>
  <c r="L67" i="3" s="1"/>
  <c r="M67" i="5"/>
  <c r="M67" i="3" s="1"/>
  <c r="O67" i="5"/>
  <c r="O67" i="3" s="1"/>
  <c r="R72" i="5"/>
  <c r="R71" i="3" s="1"/>
  <c r="K72" i="5"/>
  <c r="K71" i="3" s="1"/>
  <c r="L72" i="5"/>
  <c r="L71" i="3" s="1"/>
  <c r="M72" i="5"/>
  <c r="M71" i="3" s="1"/>
  <c r="O72" i="5"/>
  <c r="O71" i="3" s="1"/>
  <c r="R76" i="5"/>
  <c r="R75" i="3" s="1"/>
  <c r="K76" i="5"/>
  <c r="K75" i="3" s="1"/>
  <c r="L76" i="5"/>
  <c r="L75" i="3" s="1"/>
  <c r="M76" i="5"/>
  <c r="M75" i="3" s="1"/>
  <c r="O76" i="5"/>
  <c r="O75" i="3" s="1"/>
  <c r="P66" i="4"/>
  <c r="P66" i="2" s="1"/>
  <c r="P65" i="4"/>
  <c r="P65" i="2" s="1"/>
  <c r="P64" i="4"/>
  <c r="P64" i="2" s="1"/>
  <c r="P63" i="4"/>
  <c r="P63" i="2" s="1"/>
  <c r="P62" i="4"/>
  <c r="P62" i="2" s="1"/>
  <c r="P61" i="4"/>
  <c r="P61" i="2" s="1"/>
  <c r="P60" i="4"/>
  <c r="P60" i="2" s="1"/>
  <c r="P58" i="4"/>
  <c r="P58" i="2" s="1"/>
  <c r="P57" i="4"/>
  <c r="P57" i="2" s="1"/>
  <c r="P56" i="4"/>
  <c r="P56" i="2" s="1"/>
  <c r="P55" i="4"/>
  <c r="P55" i="2" s="1"/>
  <c r="P54" i="4"/>
  <c r="P54" i="2" s="1"/>
  <c r="P53" i="4"/>
  <c r="P53" i="2" s="1"/>
  <c r="P52" i="4"/>
  <c r="P52" i="2" s="1"/>
  <c r="P51" i="4"/>
  <c r="P51" i="2" s="1"/>
  <c r="P50" i="4"/>
  <c r="P50" i="2" s="1"/>
  <c r="P49" i="4"/>
  <c r="P49" i="2" s="1"/>
  <c r="P48" i="4"/>
  <c r="P48" i="2" s="1"/>
  <c r="P47" i="4"/>
  <c r="P47" i="2" s="1"/>
  <c r="P46" i="4"/>
  <c r="P46" i="2" s="1"/>
  <c r="P45" i="4"/>
  <c r="P45" i="2" s="1"/>
  <c r="P44" i="4"/>
  <c r="P44" i="2" s="1"/>
  <c r="P43" i="4"/>
  <c r="P43" i="2" s="1"/>
  <c r="P42" i="4"/>
  <c r="P42" i="2" s="1"/>
  <c r="P41" i="4"/>
  <c r="P41" i="2" s="1"/>
  <c r="P40" i="4"/>
  <c r="P40" i="2" s="1"/>
  <c r="P39" i="4"/>
  <c r="P39" i="2" s="1"/>
  <c r="P38" i="4"/>
  <c r="P38" i="2" s="1"/>
  <c r="P37" i="4"/>
  <c r="P37" i="2" s="1"/>
  <c r="P36" i="4"/>
  <c r="P36" i="2" s="1"/>
  <c r="P35" i="4"/>
  <c r="P35" i="2" s="1"/>
  <c r="P34" i="4"/>
  <c r="P34" i="2" s="1"/>
  <c r="P33" i="4"/>
  <c r="P33" i="2" s="1"/>
  <c r="P32" i="4"/>
  <c r="P32" i="2" s="1"/>
  <c r="P31" i="4"/>
  <c r="P31" i="2" s="1"/>
  <c r="P30" i="4"/>
  <c r="P30" i="2" s="1"/>
  <c r="P29" i="4"/>
  <c r="P29" i="2" s="1"/>
  <c r="P28" i="4"/>
  <c r="P28" i="2" s="1"/>
  <c r="P27" i="4"/>
  <c r="P27" i="2" s="1"/>
  <c r="P26" i="4"/>
  <c r="P26" i="2" s="1"/>
  <c r="P25" i="4"/>
  <c r="P25" i="2" s="1"/>
  <c r="P24" i="4"/>
  <c r="P24" i="2" s="1"/>
  <c r="P23" i="4"/>
  <c r="P23" i="2" s="1"/>
  <c r="P22" i="4"/>
  <c r="P22" i="2" s="1"/>
  <c r="P21" i="4"/>
  <c r="P21" i="2" s="1"/>
  <c r="P20" i="4"/>
  <c r="P20" i="2" s="1"/>
  <c r="P19" i="4"/>
  <c r="P19" i="2" s="1"/>
  <c r="O18" i="4"/>
  <c r="O18" i="2" s="1"/>
  <c r="R12" i="4"/>
  <c r="R12" i="2" s="1"/>
  <c r="Q7" i="4"/>
  <c r="Q7" i="2" s="1"/>
  <c r="Q73" i="4"/>
  <c r="Q72" i="2" s="1"/>
  <c r="N71" i="4"/>
  <c r="N70" i="2" s="1"/>
  <c r="P18" i="5"/>
  <c r="P18" i="3" s="1"/>
  <c r="Q14" i="5"/>
  <c r="Q14" i="3" s="1"/>
  <c r="N12" i="5"/>
  <c r="N12" i="3" s="1"/>
  <c r="Q6" i="5"/>
  <c r="Q6" i="3" s="1"/>
  <c r="Q62" i="5"/>
  <c r="Q62" i="3" s="1"/>
  <c r="Q54" i="5"/>
  <c r="Q54" i="3" s="1"/>
  <c r="P47" i="5"/>
  <c r="P47" i="3" s="1"/>
  <c r="P39" i="5"/>
  <c r="P39" i="3" s="1"/>
  <c r="Q36" i="5"/>
  <c r="Q36" i="3" s="1"/>
  <c r="N34" i="5"/>
  <c r="N34" i="3" s="1"/>
  <c r="Q26" i="5"/>
  <c r="Q26" i="3" s="1"/>
  <c r="R75" i="5"/>
  <c r="R74" i="3" s="1"/>
  <c r="R15" i="5"/>
  <c r="R15" i="3" s="1"/>
  <c r="K15" i="5"/>
  <c r="K15" i="3" s="1"/>
  <c r="L15" i="5"/>
  <c r="L15" i="3" s="1"/>
  <c r="M15" i="5"/>
  <c r="M15" i="3" s="1"/>
  <c r="O15" i="5"/>
  <c r="O15" i="3" s="1"/>
  <c r="R55" i="4"/>
  <c r="R55" i="2" s="1"/>
  <c r="R39" i="4"/>
  <c r="R39" i="2" s="1"/>
  <c r="P15" i="5"/>
  <c r="P15" i="3" s="1"/>
  <c r="N76" i="5"/>
  <c r="N75" i="3" s="1"/>
  <c r="K13" i="4"/>
  <c r="K13" i="2" s="1"/>
  <c r="L13" i="4"/>
  <c r="L13" i="2" s="1"/>
  <c r="M13" i="4"/>
  <c r="M13" i="2" s="1"/>
  <c r="N13" i="4"/>
  <c r="N13" i="2" s="1"/>
  <c r="P13" i="4"/>
  <c r="P13" i="2" s="1"/>
  <c r="Q49" i="4"/>
  <c r="Q49" i="2" s="1"/>
  <c r="B27" i="3"/>
  <c r="R27" i="5"/>
  <c r="R27" i="3" s="1"/>
  <c r="K27" i="5"/>
  <c r="K27" i="3" s="1"/>
  <c r="L27" i="5"/>
  <c r="L27" i="3" s="1"/>
  <c r="M27" i="5"/>
  <c r="M27" i="3" s="1"/>
  <c r="O27" i="5"/>
  <c r="O27" i="3" s="1"/>
  <c r="B35" i="3"/>
  <c r="R35" i="5"/>
  <c r="R35" i="3" s="1"/>
  <c r="K35" i="5"/>
  <c r="K35" i="3" s="1"/>
  <c r="L35" i="5"/>
  <c r="L35" i="3" s="1"/>
  <c r="M35" i="5"/>
  <c r="M35" i="3" s="1"/>
  <c r="O35" i="5"/>
  <c r="O35" i="3" s="1"/>
  <c r="O56" i="4"/>
  <c r="O56" i="2" s="1"/>
  <c r="O55" i="4"/>
  <c r="O55" i="2" s="1"/>
  <c r="O49" i="4"/>
  <c r="O49" i="2" s="1"/>
  <c r="O44" i="4"/>
  <c r="O44" i="2" s="1"/>
  <c r="O43" i="4"/>
  <c r="O43" i="2" s="1"/>
  <c r="O34" i="4"/>
  <c r="O34" i="2" s="1"/>
  <c r="O32" i="4"/>
  <c r="O32" i="2" s="1"/>
  <c r="O31" i="4"/>
  <c r="O31" i="2" s="1"/>
  <c r="O30" i="4"/>
  <c r="O30" i="2" s="1"/>
  <c r="O26" i="4"/>
  <c r="O26" i="2" s="1"/>
  <c r="O24" i="4"/>
  <c r="O24" i="2" s="1"/>
  <c r="O23" i="4"/>
  <c r="O23" i="2" s="1"/>
  <c r="Q12" i="4"/>
  <c r="Q12" i="2" s="1"/>
  <c r="Q70" i="4"/>
  <c r="Q69" i="2" s="1"/>
  <c r="Q11" i="5"/>
  <c r="Q11" i="3" s="1"/>
  <c r="P62" i="5"/>
  <c r="P62" i="3" s="1"/>
  <c r="P54" i="5"/>
  <c r="P54" i="3" s="1"/>
  <c r="Q41" i="5"/>
  <c r="Q41" i="3" s="1"/>
  <c r="P36" i="5"/>
  <c r="P36" i="3" s="1"/>
  <c r="Q33" i="5"/>
  <c r="Q33" i="3" s="1"/>
  <c r="P26" i="5"/>
  <c r="P26" i="3" s="1"/>
  <c r="N74" i="5"/>
  <c r="N73" i="3" s="1"/>
  <c r="B49" i="2"/>
  <c r="B38" i="3"/>
  <c r="B70" i="3"/>
  <c r="B8" i="2"/>
  <c r="K8" i="4"/>
  <c r="K8" i="2" s="1"/>
  <c r="L8" i="4"/>
  <c r="L8" i="2" s="1"/>
  <c r="M8" i="4"/>
  <c r="M8" i="2" s="1"/>
  <c r="N8" i="4"/>
  <c r="N8" i="2" s="1"/>
  <c r="P8" i="4"/>
  <c r="P8" i="2" s="1"/>
  <c r="I14" i="4"/>
  <c r="I14" i="2" s="1"/>
  <c r="R68" i="4"/>
  <c r="R67" i="2" s="1"/>
  <c r="Q68" i="4"/>
  <c r="Q67" i="2" s="1"/>
  <c r="P68" i="4"/>
  <c r="P67" i="2" s="1"/>
  <c r="N68" i="4"/>
  <c r="N67" i="2" s="1"/>
  <c r="K5" i="5"/>
  <c r="K5" i="3" s="1"/>
  <c r="R5" i="5"/>
  <c r="R5" i="3" s="1"/>
  <c r="Q5" i="5"/>
  <c r="Q5" i="3" s="1"/>
  <c r="P5" i="5"/>
  <c r="P5" i="3" s="1"/>
  <c r="N5" i="5"/>
  <c r="N5" i="3" s="1"/>
  <c r="B9" i="3"/>
  <c r="R9" i="5"/>
  <c r="R9" i="3" s="1"/>
  <c r="K9" i="5"/>
  <c r="K9" i="3" s="1"/>
  <c r="L9" i="5"/>
  <c r="L9" i="3" s="1"/>
  <c r="M9" i="5"/>
  <c r="M9" i="3" s="1"/>
  <c r="O9" i="5"/>
  <c r="O9" i="3" s="1"/>
  <c r="R13" i="5"/>
  <c r="R13" i="3" s="1"/>
  <c r="K13" i="5"/>
  <c r="K13" i="3" s="1"/>
  <c r="L13" i="5"/>
  <c r="L13" i="3" s="1"/>
  <c r="M13" i="5"/>
  <c r="M13" i="3" s="1"/>
  <c r="O13" i="5"/>
  <c r="O13" i="3" s="1"/>
  <c r="R19" i="5"/>
  <c r="R19" i="3" s="1"/>
  <c r="K19" i="5"/>
  <c r="K19" i="3" s="1"/>
  <c r="L19" i="5"/>
  <c r="L19" i="3" s="1"/>
  <c r="M19" i="5"/>
  <c r="M19" i="3" s="1"/>
  <c r="O19" i="5"/>
  <c r="O19" i="3" s="1"/>
  <c r="R23" i="5"/>
  <c r="R23" i="3" s="1"/>
  <c r="K23" i="5"/>
  <c r="K23" i="3" s="1"/>
  <c r="L23" i="5"/>
  <c r="L23" i="3" s="1"/>
  <c r="M23" i="5"/>
  <c r="M23" i="3" s="1"/>
  <c r="O23" i="5"/>
  <c r="O23" i="3" s="1"/>
  <c r="D44" i="5"/>
  <c r="D44" i="3" s="1"/>
  <c r="R44" i="5"/>
  <c r="R44" i="3" s="1"/>
  <c r="K44" i="5"/>
  <c r="K44" i="3" s="1"/>
  <c r="L44" i="5"/>
  <c r="L44" i="3" s="1"/>
  <c r="M44" i="5"/>
  <c r="M44" i="3" s="1"/>
  <c r="O44" i="5"/>
  <c r="O44" i="3" s="1"/>
  <c r="R50" i="5"/>
  <c r="R50" i="3" s="1"/>
  <c r="K50" i="5"/>
  <c r="K50" i="3" s="1"/>
  <c r="L50" i="5"/>
  <c r="L50" i="3" s="1"/>
  <c r="M50" i="5"/>
  <c r="M50" i="3" s="1"/>
  <c r="O50" i="5"/>
  <c r="O50" i="3" s="1"/>
  <c r="R52" i="5"/>
  <c r="R52" i="3" s="1"/>
  <c r="K52" i="5"/>
  <c r="K52" i="3" s="1"/>
  <c r="L52" i="5"/>
  <c r="L52" i="3" s="1"/>
  <c r="M52" i="5"/>
  <c r="M52" i="3" s="1"/>
  <c r="O52" i="5"/>
  <c r="O52" i="3" s="1"/>
  <c r="R56" i="5"/>
  <c r="R56" i="3" s="1"/>
  <c r="K56" i="5"/>
  <c r="K56" i="3" s="1"/>
  <c r="L56" i="5"/>
  <c r="L56" i="3" s="1"/>
  <c r="M56" i="5"/>
  <c r="M56" i="3" s="1"/>
  <c r="O56" i="5"/>
  <c r="O56" i="3" s="1"/>
  <c r="J60" i="5"/>
  <c r="J60" i="3" s="1"/>
  <c r="R60" i="5"/>
  <c r="R60" i="3" s="1"/>
  <c r="K60" i="5"/>
  <c r="K60" i="3" s="1"/>
  <c r="L60" i="5"/>
  <c r="L60" i="3" s="1"/>
  <c r="M60" i="5"/>
  <c r="M60" i="3" s="1"/>
  <c r="O60" i="5"/>
  <c r="O60" i="3" s="1"/>
  <c r="J64" i="5"/>
  <c r="J64" i="3" s="1"/>
  <c r="R64" i="5"/>
  <c r="R64" i="3" s="1"/>
  <c r="K64" i="5"/>
  <c r="K64" i="3" s="1"/>
  <c r="L64" i="5"/>
  <c r="L64" i="3" s="1"/>
  <c r="M64" i="5"/>
  <c r="M64" i="3" s="1"/>
  <c r="O64" i="5"/>
  <c r="O64" i="3" s="1"/>
  <c r="J68" i="5"/>
  <c r="J68" i="3" s="1"/>
  <c r="R68" i="5"/>
  <c r="R68" i="3" s="1"/>
  <c r="K68" i="5"/>
  <c r="K68" i="3" s="1"/>
  <c r="L68" i="5"/>
  <c r="L68" i="3" s="1"/>
  <c r="M68" i="5"/>
  <c r="M68" i="3" s="1"/>
  <c r="O68" i="5"/>
  <c r="O68" i="3" s="1"/>
  <c r="O73" i="5"/>
  <c r="O72" i="3" s="1"/>
  <c r="P73" i="5"/>
  <c r="P72" i="3" s="1"/>
  <c r="Q73" i="5"/>
  <c r="Q72" i="3" s="1"/>
  <c r="K73" i="5"/>
  <c r="K72" i="3" s="1"/>
  <c r="O5" i="4"/>
  <c r="O5" i="2" s="1"/>
  <c r="N66" i="4"/>
  <c r="N66" i="2" s="1"/>
  <c r="N65" i="4"/>
  <c r="N65" i="2" s="1"/>
  <c r="N64" i="4"/>
  <c r="N64" i="2" s="1"/>
  <c r="N63" i="4"/>
  <c r="N63" i="2" s="1"/>
  <c r="N62" i="4"/>
  <c r="N62" i="2" s="1"/>
  <c r="N61" i="4"/>
  <c r="N61" i="2" s="1"/>
  <c r="N60" i="4"/>
  <c r="N60" i="2" s="1"/>
  <c r="N59" i="4"/>
  <c r="N59" i="2" s="1"/>
  <c r="N58" i="4"/>
  <c r="N58" i="2" s="1"/>
  <c r="N57" i="4"/>
  <c r="N57" i="2" s="1"/>
  <c r="N56" i="4"/>
  <c r="N56" i="2" s="1"/>
  <c r="N55" i="4"/>
  <c r="N55" i="2" s="1"/>
  <c r="N54" i="4"/>
  <c r="N54" i="2" s="1"/>
  <c r="N53" i="4"/>
  <c r="N53" i="2" s="1"/>
  <c r="N52" i="4"/>
  <c r="N52" i="2" s="1"/>
  <c r="N51" i="4"/>
  <c r="N51" i="2" s="1"/>
  <c r="N50" i="4"/>
  <c r="N50" i="2" s="1"/>
  <c r="N49" i="4"/>
  <c r="N49" i="2" s="1"/>
  <c r="N48" i="4"/>
  <c r="N48" i="2" s="1"/>
  <c r="N47" i="4"/>
  <c r="N47" i="2" s="1"/>
  <c r="N46" i="4"/>
  <c r="N46" i="2" s="1"/>
  <c r="N45" i="4"/>
  <c r="N45" i="2" s="1"/>
  <c r="N44" i="4"/>
  <c r="N44" i="2" s="1"/>
  <c r="N43" i="4"/>
  <c r="N43" i="2" s="1"/>
  <c r="N42" i="4"/>
  <c r="N42" i="2" s="1"/>
  <c r="N41" i="4"/>
  <c r="N41" i="2" s="1"/>
  <c r="N40" i="4"/>
  <c r="N40" i="2" s="1"/>
  <c r="N39" i="4"/>
  <c r="N39" i="2" s="1"/>
  <c r="N38" i="4"/>
  <c r="N38" i="2" s="1"/>
  <c r="N36" i="4"/>
  <c r="N36" i="2" s="1"/>
  <c r="N35" i="4"/>
  <c r="N35" i="2" s="1"/>
  <c r="N34" i="4"/>
  <c r="N34" i="2" s="1"/>
  <c r="N33" i="4"/>
  <c r="N33" i="2" s="1"/>
  <c r="N32" i="4"/>
  <c r="N32" i="2" s="1"/>
  <c r="N31" i="4"/>
  <c r="N31" i="2" s="1"/>
  <c r="N30" i="4"/>
  <c r="N30" i="2" s="1"/>
  <c r="N29" i="4"/>
  <c r="N29" i="2" s="1"/>
  <c r="N28" i="4"/>
  <c r="N28" i="2" s="1"/>
  <c r="N27" i="4"/>
  <c r="N27" i="2" s="1"/>
  <c r="N26" i="4"/>
  <c r="N26" i="2" s="1"/>
  <c r="N25" i="4"/>
  <c r="N25" i="2" s="1"/>
  <c r="N24" i="4"/>
  <c r="N24" i="2" s="1"/>
  <c r="N23" i="4"/>
  <c r="N23" i="2" s="1"/>
  <c r="N22" i="4"/>
  <c r="N22" i="2" s="1"/>
  <c r="N21" i="4"/>
  <c r="N21" i="2" s="1"/>
  <c r="N20" i="4"/>
  <c r="N20" i="2" s="1"/>
  <c r="N19" i="4"/>
  <c r="N19" i="2" s="1"/>
  <c r="Q17" i="4"/>
  <c r="Q17" i="2" s="1"/>
  <c r="R14" i="4"/>
  <c r="R14" i="2" s="1"/>
  <c r="Q9" i="4"/>
  <c r="Q9" i="2" s="1"/>
  <c r="R6" i="4"/>
  <c r="R6" i="2" s="1"/>
  <c r="N73" i="4"/>
  <c r="N72" i="2" s="1"/>
  <c r="P70" i="4"/>
  <c r="P69" i="2" s="1"/>
  <c r="Q25" i="5"/>
  <c r="Q25" i="3" s="1"/>
  <c r="N23" i="5"/>
  <c r="N23" i="3" s="1"/>
  <c r="Q16" i="5"/>
  <c r="Q16" i="3" s="1"/>
  <c r="P11" i="5"/>
  <c r="P11" i="3" s="1"/>
  <c r="Q8" i="5"/>
  <c r="Q8" i="3" s="1"/>
  <c r="P67" i="5"/>
  <c r="P67" i="3" s="1"/>
  <c r="Q64" i="5"/>
  <c r="Q64" i="3" s="1"/>
  <c r="P59" i="5"/>
  <c r="P59" i="3" s="1"/>
  <c r="Q56" i="5"/>
  <c r="Q56" i="3" s="1"/>
  <c r="P50" i="5"/>
  <c r="P50" i="3" s="1"/>
  <c r="Q46" i="5"/>
  <c r="Q46" i="3" s="1"/>
  <c r="N44" i="5"/>
  <c r="N44" i="3" s="1"/>
  <c r="P41" i="5"/>
  <c r="P41" i="3" s="1"/>
  <c r="Q38" i="5"/>
  <c r="Q38" i="3" s="1"/>
  <c r="Q28" i="5"/>
  <c r="Q28" i="3" s="1"/>
  <c r="M73" i="5"/>
  <c r="M72" i="3" s="1"/>
  <c r="K12" i="4"/>
  <c r="K12" i="2" s="1"/>
  <c r="L12" i="4"/>
  <c r="L12" i="2" s="1"/>
  <c r="M12" i="4"/>
  <c r="M12" i="2" s="1"/>
  <c r="N12" i="4"/>
  <c r="N12" i="2" s="1"/>
  <c r="P12" i="4"/>
  <c r="P12" i="2" s="1"/>
  <c r="K18" i="4"/>
  <c r="K18" i="2" s="1"/>
  <c r="L18" i="4"/>
  <c r="L18" i="2" s="1"/>
  <c r="M18" i="4"/>
  <c r="M18" i="2" s="1"/>
  <c r="N18" i="4"/>
  <c r="N18" i="2" s="1"/>
  <c r="P18" i="4"/>
  <c r="P18" i="2" s="1"/>
  <c r="J33" i="5"/>
  <c r="J33" i="3" s="1"/>
  <c r="R33" i="5"/>
  <c r="R33" i="3" s="1"/>
  <c r="K33" i="5"/>
  <c r="K33" i="3" s="1"/>
  <c r="L33" i="5"/>
  <c r="L33" i="3" s="1"/>
  <c r="M33" i="5"/>
  <c r="M33" i="3" s="1"/>
  <c r="O33" i="5"/>
  <c r="O33" i="3" s="1"/>
  <c r="J54" i="5"/>
  <c r="J54" i="3" s="1"/>
  <c r="R54" i="5"/>
  <c r="R54" i="3" s="1"/>
  <c r="K54" i="5"/>
  <c r="K54" i="3" s="1"/>
  <c r="L54" i="5"/>
  <c r="L54" i="3" s="1"/>
  <c r="M54" i="5"/>
  <c r="M54" i="3" s="1"/>
  <c r="O54" i="5"/>
  <c r="O54" i="3" s="1"/>
  <c r="J58" i="5"/>
  <c r="J58" i="3" s="1"/>
  <c r="R58" i="5"/>
  <c r="R58" i="3" s="1"/>
  <c r="K58" i="5"/>
  <c r="K58" i="3" s="1"/>
  <c r="L58" i="5"/>
  <c r="L58" i="3" s="1"/>
  <c r="M58" i="5"/>
  <c r="M58" i="3" s="1"/>
  <c r="O58" i="5"/>
  <c r="O58" i="3" s="1"/>
  <c r="J62" i="5"/>
  <c r="J62" i="3" s="1"/>
  <c r="R62" i="5"/>
  <c r="R62" i="3" s="1"/>
  <c r="K62" i="5"/>
  <c r="K62" i="3" s="1"/>
  <c r="L62" i="5"/>
  <c r="L62" i="3" s="1"/>
  <c r="M62" i="5"/>
  <c r="M62" i="3" s="1"/>
  <c r="O62" i="5"/>
  <c r="O62" i="3" s="1"/>
  <c r="O75" i="5"/>
  <c r="O74" i="3" s="1"/>
  <c r="P75" i="5"/>
  <c r="P74" i="3" s="1"/>
  <c r="Q75" i="5"/>
  <c r="Q74" i="3" s="1"/>
  <c r="K75" i="5"/>
  <c r="K74" i="3" s="1"/>
  <c r="R31" i="4"/>
  <c r="R31" i="2" s="1"/>
  <c r="L5" i="4"/>
  <c r="L5" i="2" s="1"/>
  <c r="B64" i="2"/>
  <c r="O58" i="4"/>
  <c r="O58" i="2" s="1"/>
  <c r="K15" i="4"/>
  <c r="K15" i="2" s="1"/>
  <c r="L15" i="4"/>
  <c r="L15" i="2" s="1"/>
  <c r="M15" i="4"/>
  <c r="M15" i="2" s="1"/>
  <c r="N15" i="4"/>
  <c r="N15" i="2" s="1"/>
  <c r="P15" i="4"/>
  <c r="P15" i="2" s="1"/>
  <c r="R36" i="5"/>
  <c r="R36" i="3" s="1"/>
  <c r="K36" i="5"/>
  <c r="K36" i="3" s="1"/>
  <c r="L36" i="5"/>
  <c r="L36" i="3" s="1"/>
  <c r="M36" i="5"/>
  <c r="M36" i="3" s="1"/>
  <c r="O36" i="5"/>
  <c r="O36" i="3" s="1"/>
  <c r="B40" i="3"/>
  <c r="R40" i="5"/>
  <c r="R40" i="3" s="1"/>
  <c r="K40" i="5"/>
  <c r="K40" i="3" s="1"/>
  <c r="L40" i="5"/>
  <c r="L40" i="3" s="1"/>
  <c r="M40" i="5"/>
  <c r="M40" i="3" s="1"/>
  <c r="O40" i="5"/>
  <c r="O40" i="3" s="1"/>
  <c r="P5" i="4"/>
  <c r="P5" i="2" s="1"/>
  <c r="M66" i="4"/>
  <c r="M66" i="2" s="1"/>
  <c r="M64" i="4"/>
  <c r="M64" i="2" s="1"/>
  <c r="M63" i="4"/>
  <c r="M63" i="2" s="1"/>
  <c r="M62" i="4"/>
  <c r="M62" i="2" s="1"/>
  <c r="M55" i="4"/>
  <c r="M55" i="2" s="1"/>
  <c r="M54" i="4"/>
  <c r="M54" i="2" s="1"/>
  <c r="M53" i="4"/>
  <c r="M53" i="2" s="1"/>
  <c r="M49" i="4"/>
  <c r="M49" i="2" s="1"/>
  <c r="M48" i="4"/>
  <c r="M48" i="2" s="1"/>
  <c r="M44" i="4"/>
  <c r="M44" i="2" s="1"/>
  <c r="M43" i="4"/>
  <c r="M43" i="2" s="1"/>
  <c r="M40" i="4"/>
  <c r="M40" i="2" s="1"/>
  <c r="M39" i="4"/>
  <c r="M39" i="2" s="1"/>
  <c r="M38" i="4"/>
  <c r="M38" i="2" s="1"/>
  <c r="M34" i="4"/>
  <c r="M34" i="2" s="1"/>
  <c r="M26" i="4"/>
  <c r="M26" i="2" s="1"/>
  <c r="M21" i="4"/>
  <c r="M21" i="2" s="1"/>
  <c r="M19" i="4"/>
  <c r="M19" i="2" s="1"/>
  <c r="O17" i="4"/>
  <c r="O17" i="2" s="1"/>
  <c r="R11" i="4"/>
  <c r="R11" i="2" s="1"/>
  <c r="Q72" i="4"/>
  <c r="Q71" i="2" s="1"/>
  <c r="P25" i="5"/>
  <c r="P25" i="3" s="1"/>
  <c r="N50" i="5"/>
  <c r="N50" i="3" s="1"/>
  <c r="Q43" i="5"/>
  <c r="Q43" i="3" s="1"/>
  <c r="Q35" i="5"/>
  <c r="Q35" i="3" s="1"/>
  <c r="N33" i="5"/>
  <c r="N33" i="3" s="1"/>
  <c r="L71" i="5"/>
  <c r="L70" i="3" s="1"/>
  <c r="R73" i="5"/>
  <c r="R72" i="3" s="1"/>
  <c r="L73" i="5"/>
  <c r="L72" i="3" s="1"/>
  <c r="R7" i="5"/>
  <c r="R7" i="3" s="1"/>
  <c r="K7" i="5"/>
  <c r="K7" i="3" s="1"/>
  <c r="L7" i="5"/>
  <c r="L7" i="3" s="1"/>
  <c r="M7" i="5"/>
  <c r="M7" i="3" s="1"/>
  <c r="O7" i="5"/>
  <c r="O7" i="3" s="1"/>
  <c r="E11" i="5"/>
  <c r="E11" i="3" s="1"/>
  <c r="R11" i="5"/>
  <c r="R11" i="3" s="1"/>
  <c r="K11" i="5"/>
  <c r="K11" i="3" s="1"/>
  <c r="L11" i="5"/>
  <c r="L11" i="3" s="1"/>
  <c r="M11" i="5"/>
  <c r="M11" i="3" s="1"/>
  <c r="O11" i="5"/>
  <c r="O11" i="3" s="1"/>
  <c r="I21" i="5"/>
  <c r="I21" i="3" s="1"/>
  <c r="R21" i="5"/>
  <c r="R21" i="3" s="1"/>
  <c r="K21" i="5"/>
  <c r="K21" i="3" s="1"/>
  <c r="L21" i="5"/>
  <c r="L21" i="3" s="1"/>
  <c r="M21" i="5"/>
  <c r="M21" i="3" s="1"/>
  <c r="O21" i="5"/>
  <c r="O21" i="3" s="1"/>
  <c r="R31" i="5"/>
  <c r="R31" i="3" s="1"/>
  <c r="K31" i="5"/>
  <c r="K31" i="3" s="1"/>
  <c r="L31" i="5"/>
  <c r="L31" i="3" s="1"/>
  <c r="M31" i="5"/>
  <c r="M31" i="3" s="1"/>
  <c r="O31" i="5"/>
  <c r="O31" i="3" s="1"/>
  <c r="R46" i="5"/>
  <c r="R46" i="3" s="1"/>
  <c r="K46" i="5"/>
  <c r="K46" i="3" s="1"/>
  <c r="L46" i="5"/>
  <c r="L46" i="3" s="1"/>
  <c r="M46" i="5"/>
  <c r="M46" i="3" s="1"/>
  <c r="O46" i="5"/>
  <c r="O46" i="3" s="1"/>
  <c r="J66" i="5"/>
  <c r="J66" i="3" s="1"/>
  <c r="R66" i="5"/>
  <c r="R66" i="3" s="1"/>
  <c r="K66" i="5"/>
  <c r="K66" i="3" s="1"/>
  <c r="L66" i="5"/>
  <c r="L66" i="3" s="1"/>
  <c r="M66" i="5"/>
  <c r="M66" i="3" s="1"/>
  <c r="O66" i="5"/>
  <c r="O66" i="3" s="1"/>
  <c r="R63" i="4"/>
  <c r="R63" i="2" s="1"/>
  <c r="N66" i="5"/>
  <c r="N66" i="3" s="1"/>
  <c r="R26" i="5"/>
  <c r="R26" i="3" s="1"/>
  <c r="K26" i="5"/>
  <c r="K26" i="3" s="1"/>
  <c r="L26" i="5"/>
  <c r="L26" i="3" s="1"/>
  <c r="M26" i="5"/>
  <c r="M26" i="3" s="1"/>
  <c r="O26" i="5"/>
  <c r="O26" i="3" s="1"/>
  <c r="R38" i="5"/>
  <c r="R38" i="3" s="1"/>
  <c r="K38" i="5"/>
  <c r="K38" i="3" s="1"/>
  <c r="L38" i="5"/>
  <c r="L38" i="3" s="1"/>
  <c r="M38" i="5"/>
  <c r="M38" i="3" s="1"/>
  <c r="O38" i="5"/>
  <c r="O38" i="3" s="1"/>
  <c r="B39" i="3"/>
  <c r="R39" i="5"/>
  <c r="R39" i="3" s="1"/>
  <c r="K39" i="5"/>
  <c r="K39" i="3" s="1"/>
  <c r="L39" i="5"/>
  <c r="L39" i="3" s="1"/>
  <c r="M39" i="5"/>
  <c r="M39" i="3" s="1"/>
  <c r="O39" i="5"/>
  <c r="O39" i="3" s="1"/>
  <c r="N5" i="4"/>
  <c r="N5" i="2" s="1"/>
  <c r="O66" i="4"/>
  <c r="O66" i="2" s="1"/>
  <c r="O64" i="4"/>
  <c r="O64" i="2" s="1"/>
  <c r="O63" i="4"/>
  <c r="O63" i="2" s="1"/>
  <c r="O51" i="4"/>
  <c r="O51" i="2" s="1"/>
  <c r="O46" i="4"/>
  <c r="O46" i="2" s="1"/>
  <c r="O40" i="4"/>
  <c r="O40" i="2" s="1"/>
  <c r="O39" i="4"/>
  <c r="O39" i="2" s="1"/>
  <c r="O38" i="4"/>
  <c r="O38" i="2" s="1"/>
  <c r="O19" i="4"/>
  <c r="O19" i="2" s="1"/>
  <c r="B24" i="2"/>
  <c r="B56" i="2"/>
  <c r="B62" i="2"/>
  <c r="K9" i="4"/>
  <c r="K9" i="2" s="1"/>
  <c r="L9" i="4"/>
  <c r="L9" i="2" s="1"/>
  <c r="M9" i="4"/>
  <c r="M9" i="2" s="1"/>
  <c r="N9" i="4"/>
  <c r="N9" i="2" s="1"/>
  <c r="P9" i="4"/>
  <c r="P9" i="2" s="1"/>
  <c r="R28" i="5"/>
  <c r="R28" i="3" s="1"/>
  <c r="K28" i="5"/>
  <c r="K28" i="3" s="1"/>
  <c r="L28" i="5"/>
  <c r="L28" i="3" s="1"/>
  <c r="M28" i="5"/>
  <c r="M28" i="3" s="1"/>
  <c r="O28" i="5"/>
  <c r="O28" i="3" s="1"/>
  <c r="M60" i="4"/>
  <c r="M60" i="2" s="1"/>
  <c r="M58" i="4"/>
  <c r="M58" i="2" s="1"/>
  <c r="M56" i="4"/>
  <c r="M56" i="2" s="1"/>
  <c r="M51" i="4"/>
  <c r="M51" i="2" s="1"/>
  <c r="M46" i="4"/>
  <c r="M46" i="2" s="1"/>
  <c r="M36" i="4"/>
  <c r="M36" i="2" s="1"/>
  <c r="M32" i="4"/>
  <c r="M32" i="2" s="1"/>
  <c r="M31" i="4"/>
  <c r="M31" i="2" s="1"/>
  <c r="M30" i="4"/>
  <c r="M30" i="2" s="1"/>
  <c r="M28" i="4"/>
  <c r="M28" i="2" s="1"/>
  <c r="M23" i="4"/>
  <c r="M23" i="2" s="1"/>
  <c r="B9" i="2"/>
  <c r="B28" i="2"/>
  <c r="B60" i="2"/>
  <c r="B25" i="3"/>
  <c r="K10" i="4"/>
  <c r="K10" i="2" s="1"/>
  <c r="L10" i="4"/>
  <c r="L10" i="2" s="1"/>
  <c r="M10" i="4"/>
  <c r="M10" i="2" s="1"/>
  <c r="N10" i="4"/>
  <c r="N10" i="2" s="1"/>
  <c r="P10" i="4"/>
  <c r="P10" i="2" s="1"/>
  <c r="K16" i="4"/>
  <c r="K16" i="2" s="1"/>
  <c r="L16" i="4"/>
  <c r="L16" i="2" s="1"/>
  <c r="M16" i="4"/>
  <c r="M16" i="2" s="1"/>
  <c r="N16" i="4"/>
  <c r="N16" i="2" s="1"/>
  <c r="P16" i="4"/>
  <c r="P16" i="2" s="1"/>
  <c r="D48" i="4"/>
  <c r="D48" i="2" s="1"/>
  <c r="D53" i="4"/>
  <c r="D53" i="2" s="1"/>
  <c r="E69" i="4"/>
  <c r="E68" i="2" s="1"/>
  <c r="R69" i="4"/>
  <c r="R68" i="2" s="1"/>
  <c r="K69" i="4"/>
  <c r="K68" i="2" s="1"/>
  <c r="L69" i="4"/>
  <c r="L68" i="2" s="1"/>
  <c r="M69" i="4"/>
  <c r="M68" i="2" s="1"/>
  <c r="O69" i="4"/>
  <c r="O68" i="2" s="1"/>
  <c r="B6" i="3"/>
  <c r="R6" i="5"/>
  <c r="R6" i="3" s="1"/>
  <c r="K6" i="5"/>
  <c r="K6" i="3" s="1"/>
  <c r="L6" i="5"/>
  <c r="L6" i="3" s="1"/>
  <c r="M6" i="5"/>
  <c r="M6" i="3" s="1"/>
  <c r="O6" i="5"/>
  <c r="O6" i="3" s="1"/>
  <c r="R10" i="5"/>
  <c r="R10" i="3" s="1"/>
  <c r="K10" i="5"/>
  <c r="K10" i="3" s="1"/>
  <c r="L10" i="5"/>
  <c r="L10" i="3" s="1"/>
  <c r="M10" i="5"/>
  <c r="M10" i="3" s="1"/>
  <c r="O10" i="5"/>
  <c r="O10" i="3" s="1"/>
  <c r="R14" i="5"/>
  <c r="R14" i="3" s="1"/>
  <c r="K14" i="5"/>
  <c r="K14" i="3" s="1"/>
  <c r="L14" i="5"/>
  <c r="L14" i="3" s="1"/>
  <c r="M14" i="5"/>
  <c r="M14" i="3" s="1"/>
  <c r="O14" i="5"/>
  <c r="O14" i="3" s="1"/>
  <c r="R20" i="5"/>
  <c r="R20" i="3" s="1"/>
  <c r="K20" i="5"/>
  <c r="K20" i="3" s="1"/>
  <c r="L20" i="5"/>
  <c r="L20" i="3" s="1"/>
  <c r="M20" i="5"/>
  <c r="M20" i="3" s="1"/>
  <c r="O20" i="5"/>
  <c r="O20" i="3" s="1"/>
  <c r="D24" i="5"/>
  <c r="D24" i="3" s="1"/>
  <c r="R24" i="5"/>
  <c r="R24" i="3" s="1"/>
  <c r="K24" i="5"/>
  <c r="K24" i="3" s="1"/>
  <c r="L24" i="5"/>
  <c r="L24" i="3" s="1"/>
  <c r="M24" i="5"/>
  <c r="M24" i="3" s="1"/>
  <c r="O24" i="5"/>
  <c r="O24" i="3" s="1"/>
  <c r="D30" i="5"/>
  <c r="D30" i="3" s="1"/>
  <c r="R30" i="5"/>
  <c r="R30" i="3" s="1"/>
  <c r="K30" i="5"/>
  <c r="K30" i="3" s="1"/>
  <c r="L30" i="5"/>
  <c r="L30" i="3" s="1"/>
  <c r="M30" i="5"/>
  <c r="M30" i="3" s="1"/>
  <c r="O30" i="5"/>
  <c r="O30" i="3" s="1"/>
  <c r="R45" i="5"/>
  <c r="R45" i="3" s="1"/>
  <c r="K45" i="5"/>
  <c r="K45" i="3" s="1"/>
  <c r="L45" i="5"/>
  <c r="L45" i="3" s="1"/>
  <c r="M45" i="5"/>
  <c r="M45" i="3" s="1"/>
  <c r="O45" i="5"/>
  <c r="O45" i="3" s="1"/>
  <c r="B53" i="3"/>
  <c r="R53" i="5"/>
  <c r="R53" i="3" s="1"/>
  <c r="K53" i="5"/>
  <c r="K53" i="3" s="1"/>
  <c r="L53" i="5"/>
  <c r="L53" i="3" s="1"/>
  <c r="M53" i="5"/>
  <c r="M53" i="3" s="1"/>
  <c r="O53" i="5"/>
  <c r="O53" i="3" s="1"/>
  <c r="R57" i="5"/>
  <c r="R57" i="3" s="1"/>
  <c r="K57" i="5"/>
  <c r="K57" i="3" s="1"/>
  <c r="L57" i="5"/>
  <c r="L57" i="3" s="1"/>
  <c r="M57" i="5"/>
  <c r="M57" i="3" s="1"/>
  <c r="O57" i="5"/>
  <c r="O57" i="3" s="1"/>
  <c r="R61" i="5"/>
  <c r="R61" i="3" s="1"/>
  <c r="K61" i="5"/>
  <c r="K61" i="3" s="1"/>
  <c r="L61" i="5"/>
  <c r="L61" i="3" s="1"/>
  <c r="M61" i="5"/>
  <c r="M61" i="3" s="1"/>
  <c r="O61" i="5"/>
  <c r="O61" i="3" s="1"/>
  <c r="J65" i="5"/>
  <c r="J65" i="3" s="1"/>
  <c r="R65" i="5"/>
  <c r="R65" i="3" s="1"/>
  <c r="K65" i="5"/>
  <c r="K65" i="3" s="1"/>
  <c r="L65" i="5"/>
  <c r="L65" i="3" s="1"/>
  <c r="M65" i="5"/>
  <c r="M65" i="3" s="1"/>
  <c r="O65" i="5"/>
  <c r="O65" i="3" s="1"/>
  <c r="R69" i="5"/>
  <c r="R69" i="3" s="1"/>
  <c r="K69" i="5"/>
  <c r="K69" i="3" s="1"/>
  <c r="L69" i="5"/>
  <c r="L69" i="3" s="1"/>
  <c r="M69" i="5"/>
  <c r="M69" i="3" s="1"/>
  <c r="O69" i="5"/>
  <c r="O69" i="3" s="1"/>
  <c r="R74" i="5"/>
  <c r="R73" i="3" s="1"/>
  <c r="K74" i="5"/>
  <c r="K73" i="3" s="1"/>
  <c r="L74" i="5"/>
  <c r="L73" i="3" s="1"/>
  <c r="M74" i="5"/>
  <c r="M73" i="3" s="1"/>
  <c r="O74" i="5"/>
  <c r="O73" i="3" s="1"/>
  <c r="Q5" i="4"/>
  <c r="Q5" i="2" s="1"/>
  <c r="L66" i="4"/>
  <c r="L66" i="2" s="1"/>
  <c r="L65" i="4"/>
  <c r="L65" i="2" s="1"/>
  <c r="L64" i="4"/>
  <c r="L64" i="2" s="1"/>
  <c r="L63" i="4"/>
  <c r="L63" i="2" s="1"/>
  <c r="L62" i="4"/>
  <c r="L62" i="2" s="1"/>
  <c r="L59" i="4"/>
  <c r="L59" i="2" s="1"/>
  <c r="L58" i="4"/>
  <c r="L58" i="2" s="1"/>
  <c r="L57" i="4"/>
  <c r="L57" i="2" s="1"/>
  <c r="L56" i="4"/>
  <c r="L56" i="2" s="1"/>
  <c r="L55" i="4"/>
  <c r="L55" i="2" s="1"/>
  <c r="L54" i="4"/>
  <c r="L54" i="2" s="1"/>
  <c r="L53" i="4"/>
  <c r="L53" i="2" s="1"/>
  <c r="L50" i="4"/>
  <c r="L50" i="2" s="1"/>
  <c r="L49" i="4"/>
  <c r="L49" i="2" s="1"/>
  <c r="L48" i="4"/>
  <c r="L48" i="2" s="1"/>
  <c r="L47" i="4"/>
  <c r="L47" i="2" s="1"/>
  <c r="L46" i="4"/>
  <c r="L46" i="2" s="1"/>
  <c r="L45" i="4"/>
  <c r="L45" i="2" s="1"/>
  <c r="L44" i="4"/>
  <c r="L44" i="2" s="1"/>
  <c r="L42" i="4"/>
  <c r="L42" i="2" s="1"/>
  <c r="L41" i="4"/>
  <c r="L41" i="2" s="1"/>
  <c r="L40" i="4"/>
  <c r="L40" i="2" s="1"/>
  <c r="L39" i="4"/>
  <c r="L39" i="2" s="1"/>
  <c r="L37" i="4"/>
  <c r="L37" i="2" s="1"/>
  <c r="L36" i="4"/>
  <c r="L36" i="2" s="1"/>
  <c r="L34" i="4"/>
  <c r="L34" i="2" s="1"/>
  <c r="L32" i="4"/>
  <c r="L32" i="2" s="1"/>
  <c r="L31" i="4"/>
  <c r="L31" i="2" s="1"/>
  <c r="L28" i="4"/>
  <c r="L28" i="2" s="1"/>
  <c r="L27" i="4"/>
  <c r="L27" i="2" s="1"/>
  <c r="L26" i="4"/>
  <c r="L26" i="2" s="1"/>
  <c r="L24" i="4"/>
  <c r="L24" i="2" s="1"/>
  <c r="L23" i="4"/>
  <c r="L23" i="2" s="1"/>
  <c r="L21" i="4"/>
  <c r="L21" i="2" s="1"/>
  <c r="L19" i="4"/>
  <c r="L19" i="2" s="1"/>
  <c r="R16" i="4"/>
  <c r="R16" i="2" s="1"/>
  <c r="O14" i="4"/>
  <c r="O14" i="2" s="1"/>
  <c r="R8" i="4"/>
  <c r="R8" i="2" s="1"/>
  <c r="O6" i="4"/>
  <c r="O6" i="2" s="1"/>
  <c r="Q69" i="4"/>
  <c r="Q68" i="2" s="1"/>
  <c r="P22" i="5"/>
  <c r="P22" i="3" s="1"/>
  <c r="Q19" i="5"/>
  <c r="Q19" i="3" s="1"/>
  <c r="N16" i="5"/>
  <c r="N16" i="3" s="1"/>
  <c r="P13" i="5"/>
  <c r="P13" i="3" s="1"/>
  <c r="Q10" i="5"/>
  <c r="Q10" i="3" s="1"/>
  <c r="N8" i="5"/>
  <c r="N8" i="3" s="1"/>
  <c r="P69" i="5"/>
  <c r="P69" i="3" s="1"/>
  <c r="Q66" i="5"/>
  <c r="Q66" i="3" s="1"/>
  <c r="N64" i="5"/>
  <c r="N64" i="3" s="1"/>
  <c r="P61" i="5"/>
  <c r="P61" i="3" s="1"/>
  <c r="Q58" i="5"/>
  <c r="Q58" i="3" s="1"/>
  <c r="N56" i="5"/>
  <c r="N56" i="3" s="1"/>
  <c r="P53" i="5"/>
  <c r="P53" i="3" s="1"/>
  <c r="Q49" i="5"/>
  <c r="Q49" i="3" s="1"/>
  <c r="N46" i="5"/>
  <c r="N46" i="3" s="1"/>
  <c r="P43" i="5"/>
  <c r="P43" i="3" s="1"/>
  <c r="Q40" i="5"/>
  <c r="Q40" i="3" s="1"/>
  <c r="N38" i="5"/>
  <c r="N38" i="3" s="1"/>
  <c r="P35" i="5"/>
  <c r="P35" i="3" s="1"/>
  <c r="Q31" i="5"/>
  <c r="Q31" i="3" s="1"/>
  <c r="N28" i="5"/>
  <c r="N28" i="3" s="1"/>
  <c r="M71" i="5"/>
  <c r="M70" i="3" s="1"/>
  <c r="Q72" i="5"/>
  <c r="Q71" i="3" s="1"/>
  <c r="N72" i="5"/>
  <c r="N71" i="3" s="1"/>
  <c r="J71" i="4"/>
  <c r="J70" i="2" s="1"/>
  <c r="R71" i="4"/>
  <c r="R70" i="2" s="1"/>
  <c r="K71" i="4"/>
  <c r="K70" i="2" s="1"/>
  <c r="L71" i="4"/>
  <c r="L70" i="2" s="1"/>
  <c r="M71" i="4"/>
  <c r="M70" i="2" s="1"/>
  <c r="O71" i="4"/>
  <c r="O70" i="2" s="1"/>
  <c r="R18" i="4"/>
  <c r="R18" i="2" s="1"/>
  <c r="N58" i="5"/>
  <c r="N58" i="3" s="1"/>
  <c r="R72" i="4"/>
  <c r="R71" i="2" s="1"/>
  <c r="K72" i="4"/>
  <c r="K71" i="2" s="1"/>
  <c r="L72" i="4"/>
  <c r="L71" i="2" s="1"/>
  <c r="M72" i="4"/>
  <c r="M71" i="2" s="1"/>
  <c r="O72" i="4"/>
  <c r="O71" i="2" s="1"/>
  <c r="R34" i="5"/>
  <c r="R34" i="3" s="1"/>
  <c r="K34" i="5"/>
  <c r="K34" i="3" s="1"/>
  <c r="L34" i="5"/>
  <c r="L34" i="3" s="1"/>
  <c r="M34" i="5"/>
  <c r="M34" i="3" s="1"/>
  <c r="O34" i="5"/>
  <c r="O34" i="3" s="1"/>
  <c r="R42" i="5"/>
  <c r="R42" i="3" s="1"/>
  <c r="K42" i="5"/>
  <c r="K42" i="3" s="1"/>
  <c r="L42" i="5"/>
  <c r="L42" i="3" s="1"/>
  <c r="M42" i="5"/>
  <c r="M42" i="3" s="1"/>
  <c r="O42" i="5"/>
  <c r="O42" i="3" s="1"/>
  <c r="Q63" i="4"/>
  <c r="Q63" i="2" s="1"/>
  <c r="Q55" i="4"/>
  <c r="Q55" i="2" s="1"/>
  <c r="Q44" i="4"/>
  <c r="Q44" i="2" s="1"/>
  <c r="B42" i="3"/>
  <c r="B66" i="3"/>
  <c r="K7" i="4"/>
  <c r="K7" i="2" s="1"/>
  <c r="L7" i="4"/>
  <c r="L7" i="2" s="1"/>
  <c r="M7" i="4"/>
  <c r="M7" i="2" s="1"/>
  <c r="N7" i="4"/>
  <c r="N7" i="2" s="1"/>
  <c r="P7" i="4"/>
  <c r="P7" i="2" s="1"/>
  <c r="B13" i="2"/>
  <c r="B71" i="2"/>
  <c r="B15" i="3"/>
  <c r="B21" i="3"/>
  <c r="B31" i="3"/>
  <c r="B58" i="3"/>
  <c r="B11" i="2"/>
  <c r="K11" i="4"/>
  <c r="K11" i="2" s="1"/>
  <c r="L11" i="4"/>
  <c r="L11" i="2" s="1"/>
  <c r="M11" i="4"/>
  <c r="M11" i="2" s="1"/>
  <c r="N11" i="4"/>
  <c r="N11" i="2" s="1"/>
  <c r="P11" i="4"/>
  <c r="P11" i="2" s="1"/>
  <c r="B17" i="2"/>
  <c r="K17" i="4"/>
  <c r="K17" i="2" s="1"/>
  <c r="L17" i="4"/>
  <c r="L17" i="2" s="1"/>
  <c r="M17" i="4"/>
  <c r="M17" i="2" s="1"/>
  <c r="N17" i="4"/>
  <c r="N17" i="2" s="1"/>
  <c r="P17" i="4"/>
  <c r="P17" i="2" s="1"/>
  <c r="R70" i="4"/>
  <c r="R69" i="2" s="1"/>
  <c r="K70" i="4"/>
  <c r="K69" i="2" s="1"/>
  <c r="L70" i="4"/>
  <c r="L69" i="2" s="1"/>
  <c r="M70" i="4"/>
  <c r="M69" i="2" s="1"/>
  <c r="O70" i="4"/>
  <c r="O69" i="2" s="1"/>
  <c r="R25" i="5"/>
  <c r="R25" i="3" s="1"/>
  <c r="K25" i="5"/>
  <c r="K25" i="3" s="1"/>
  <c r="L25" i="5"/>
  <c r="L25" i="3" s="1"/>
  <c r="M25" i="5"/>
  <c r="M25" i="3" s="1"/>
  <c r="O25" i="5"/>
  <c r="O25" i="3" s="1"/>
  <c r="B37" i="3"/>
  <c r="R37" i="5"/>
  <c r="R37" i="3" s="1"/>
  <c r="K37" i="5"/>
  <c r="K37" i="3" s="1"/>
  <c r="L37" i="5"/>
  <c r="L37" i="3" s="1"/>
  <c r="M37" i="5"/>
  <c r="M37" i="3" s="1"/>
  <c r="O37" i="5"/>
  <c r="O37" i="3" s="1"/>
  <c r="B41" i="3"/>
  <c r="R41" i="5"/>
  <c r="R41" i="3" s="1"/>
  <c r="K41" i="5"/>
  <c r="K41" i="3" s="1"/>
  <c r="L41" i="5"/>
  <c r="L41" i="3" s="1"/>
  <c r="M41" i="5"/>
  <c r="M41" i="3" s="1"/>
  <c r="O41" i="5"/>
  <c r="O41" i="3" s="1"/>
  <c r="R5" i="4"/>
  <c r="R5" i="2" s="1"/>
  <c r="K66" i="4"/>
  <c r="K66" i="2" s="1"/>
  <c r="K58" i="4"/>
  <c r="K58" i="2" s="1"/>
  <c r="K56" i="4"/>
  <c r="K56" i="2" s="1"/>
  <c r="K55" i="4"/>
  <c r="K55" i="2" s="1"/>
  <c r="K51" i="4"/>
  <c r="K51" i="2" s="1"/>
  <c r="K48" i="4"/>
  <c r="K48" i="2" s="1"/>
  <c r="K43" i="4"/>
  <c r="K43" i="2" s="1"/>
  <c r="K40" i="4"/>
  <c r="K40" i="2" s="1"/>
  <c r="K39" i="4"/>
  <c r="K39" i="2" s="1"/>
  <c r="K38" i="4"/>
  <c r="K38" i="2" s="1"/>
  <c r="K34" i="4"/>
  <c r="K34" i="2" s="1"/>
  <c r="K32" i="4"/>
  <c r="K32" i="2" s="1"/>
  <c r="K31" i="4"/>
  <c r="K31" i="2" s="1"/>
  <c r="K30" i="4"/>
  <c r="K30" i="2" s="1"/>
  <c r="K28" i="4"/>
  <c r="K28" i="2" s="1"/>
  <c r="K24" i="4"/>
  <c r="K24" i="2" s="1"/>
  <c r="K21" i="4"/>
  <c r="K21" i="2" s="1"/>
  <c r="K19" i="4"/>
  <c r="K19" i="2" s="1"/>
  <c r="R13" i="4"/>
  <c r="R13" i="2" s="1"/>
  <c r="O11" i="4"/>
  <c r="O11" i="2" s="1"/>
  <c r="N72" i="4"/>
  <c r="N71" i="2" s="1"/>
  <c r="Q15" i="5"/>
  <c r="Q15" i="3" s="1"/>
  <c r="Q7" i="5"/>
  <c r="Q7" i="3" s="1"/>
  <c r="P66" i="5"/>
  <c r="P66" i="3" s="1"/>
  <c r="P58" i="5"/>
  <c r="P58" i="3" s="1"/>
  <c r="Q55" i="5"/>
  <c r="Q55" i="3" s="1"/>
  <c r="N53" i="5"/>
  <c r="N53" i="3" s="1"/>
  <c r="P49" i="5"/>
  <c r="P49" i="3" s="1"/>
  <c r="Q45" i="5"/>
  <c r="Q45" i="3" s="1"/>
  <c r="N43" i="5"/>
  <c r="N43" i="3" s="1"/>
  <c r="P40" i="5"/>
  <c r="P40" i="3" s="1"/>
  <c r="Q37" i="5"/>
  <c r="Q37" i="3" s="1"/>
  <c r="N35" i="5"/>
  <c r="N35" i="3" s="1"/>
  <c r="P31" i="5"/>
  <c r="P31" i="3" s="1"/>
  <c r="Q27" i="5"/>
  <c r="Q27" i="3" s="1"/>
  <c r="O71" i="5"/>
  <c r="O70" i="3" s="1"/>
  <c r="P72" i="5"/>
  <c r="P71" i="3" s="1"/>
  <c r="D59" i="5"/>
  <c r="D59" i="3" s="1"/>
  <c r="I74" i="5"/>
  <c r="I73" i="3" s="1"/>
  <c r="I75" i="5"/>
  <c r="I74" i="3" s="1"/>
  <c r="B23" i="3"/>
  <c r="B47" i="3"/>
  <c r="B52" i="3"/>
  <c r="D23" i="5"/>
  <c r="D23" i="3" s="1"/>
  <c r="B43" i="3"/>
  <c r="B56" i="3"/>
  <c r="B74" i="3"/>
  <c r="E71" i="5"/>
  <c r="E70" i="3" s="1"/>
  <c r="B20" i="3"/>
  <c r="B63" i="3"/>
  <c r="D64" i="4"/>
  <c r="D64" i="2" s="1"/>
  <c r="B25" i="2"/>
  <c r="B70" i="2"/>
  <c r="B50" i="3"/>
  <c r="D25" i="4"/>
  <c r="D25" i="2" s="1"/>
  <c r="I36" i="4"/>
  <c r="I36" i="2" s="1"/>
  <c r="J50" i="5"/>
  <c r="J50" i="3" s="1"/>
  <c r="D63" i="5"/>
  <c r="D63" i="3" s="1"/>
  <c r="E68" i="5"/>
  <c r="E68" i="3" s="1"/>
  <c r="J36" i="4"/>
  <c r="J36" i="2" s="1"/>
  <c r="E63" i="5"/>
  <c r="E63" i="3" s="1"/>
  <c r="B36" i="2"/>
  <c r="B54" i="3"/>
  <c r="I61" i="4"/>
  <c r="I61" i="2" s="1"/>
  <c r="J66" i="4"/>
  <c r="J66" i="2" s="1"/>
  <c r="D21" i="5"/>
  <c r="D21" i="3" s="1"/>
  <c r="J55" i="5"/>
  <c r="J55" i="3" s="1"/>
  <c r="J69" i="5"/>
  <c r="J69" i="3" s="1"/>
  <c r="B12" i="2"/>
  <c r="E33" i="4"/>
  <c r="E33" i="2" s="1"/>
  <c r="B59" i="2"/>
  <c r="J7" i="5"/>
  <c r="J7" i="3" s="1"/>
  <c r="B28" i="3"/>
  <c r="E28" i="5"/>
  <c r="E28" i="3" s="1"/>
  <c r="I73" i="5"/>
  <c r="I72" i="3" s="1"/>
  <c r="E8" i="5"/>
  <c r="E8" i="3" s="1"/>
  <c r="J28" i="5"/>
  <c r="J28" i="3" s="1"/>
  <c r="E15" i="5"/>
  <c r="E15" i="3" s="1"/>
  <c r="B72" i="3"/>
  <c r="J15" i="5"/>
  <c r="J15" i="3" s="1"/>
  <c r="E7" i="5"/>
  <c r="E7" i="3" s="1"/>
  <c r="E55" i="5"/>
  <c r="E55" i="3" s="1"/>
  <c r="E67" i="5"/>
  <c r="E67" i="3" s="1"/>
  <c r="B13" i="3"/>
  <c r="B62" i="3"/>
  <c r="B71" i="3"/>
  <c r="J22" i="5"/>
  <c r="J22" i="3" s="1"/>
  <c r="E43" i="5"/>
  <c r="E43" i="3" s="1"/>
  <c r="D49" i="5"/>
  <c r="D49" i="3" s="1"/>
  <c r="F51" i="5"/>
  <c r="E60" i="5"/>
  <c r="E60" i="3" s="1"/>
  <c r="I76" i="5"/>
  <c r="I75" i="3" s="1"/>
  <c r="B67" i="3"/>
  <c r="B18" i="3"/>
  <c r="B26" i="3"/>
  <c r="F48" i="3"/>
  <c r="B60" i="3"/>
  <c r="J43" i="5"/>
  <c r="J43" i="3" s="1"/>
  <c r="I49" i="5"/>
  <c r="I49" i="3" s="1"/>
  <c r="J76" i="5"/>
  <c r="J75" i="3" s="1"/>
  <c r="F17" i="3"/>
  <c r="B22" i="3"/>
  <c r="F51" i="3"/>
  <c r="B55" i="3"/>
  <c r="F32" i="5"/>
  <c r="E59" i="5"/>
  <c r="E59" i="3" s="1"/>
  <c r="E64" i="5"/>
  <c r="E64" i="3" s="1"/>
  <c r="I71" i="5"/>
  <c r="I70" i="3" s="1"/>
  <c r="E73" i="5"/>
  <c r="E72" i="3" s="1"/>
  <c r="D19" i="5"/>
  <c r="D19" i="3" s="1"/>
  <c r="N62" i="3"/>
  <c r="B44" i="3"/>
  <c r="B19" i="3"/>
  <c r="B49" i="3"/>
  <c r="J23" i="5"/>
  <c r="J23" i="3" s="1"/>
  <c r="J26" i="5"/>
  <c r="J26" i="3" s="1"/>
  <c r="D55" i="5"/>
  <c r="D55" i="3" s="1"/>
  <c r="D67" i="5"/>
  <c r="D67" i="3" s="1"/>
  <c r="D47" i="4"/>
  <c r="D47" i="2" s="1"/>
  <c r="D50" i="4"/>
  <c r="D50" i="2" s="1"/>
  <c r="E64" i="4"/>
  <c r="E64" i="2" s="1"/>
  <c r="B47" i="2"/>
  <c r="E41" i="4"/>
  <c r="E41" i="2" s="1"/>
  <c r="J47" i="4"/>
  <c r="J47" i="2" s="1"/>
  <c r="J50" i="4"/>
  <c r="J50" i="2" s="1"/>
  <c r="I64" i="4"/>
  <c r="I64" i="2" s="1"/>
  <c r="B33" i="2"/>
  <c r="B44" i="2"/>
  <c r="B50" i="2"/>
  <c r="J41" i="4"/>
  <c r="J41" i="2" s="1"/>
  <c r="B15" i="2"/>
  <c r="B20" i="2"/>
  <c r="D12" i="4"/>
  <c r="D12" i="2" s="1"/>
  <c r="I56" i="4"/>
  <c r="I56" i="2" s="1"/>
  <c r="B72" i="2"/>
  <c r="E12" i="4"/>
  <c r="E12" i="2" s="1"/>
  <c r="E23" i="4"/>
  <c r="E23" i="2" s="1"/>
  <c r="E36" i="4"/>
  <c r="E36" i="2" s="1"/>
  <c r="B54" i="2"/>
  <c r="D11" i="4"/>
  <c r="D11" i="2" s="1"/>
  <c r="J54" i="4"/>
  <c r="J54" i="2" s="1"/>
  <c r="B18" i="2"/>
  <c r="B22" i="2"/>
  <c r="B23" i="2"/>
  <c r="B26" i="2"/>
  <c r="E10" i="4"/>
  <c r="E10" i="2" s="1"/>
  <c r="E11" i="4"/>
  <c r="E11" i="2" s="1"/>
  <c r="I18" i="4"/>
  <c r="I18" i="2" s="1"/>
  <c r="I20" i="4"/>
  <c r="I20" i="2" s="1"/>
  <c r="E22" i="4"/>
  <c r="E22" i="2" s="1"/>
  <c r="I31" i="4"/>
  <c r="I31" i="2" s="1"/>
  <c r="I35" i="4"/>
  <c r="I35" i="2" s="1"/>
  <c r="J57" i="4"/>
  <c r="J57" i="2" s="1"/>
  <c r="D72" i="4"/>
  <c r="D71" i="2" s="1"/>
  <c r="D26" i="4"/>
  <c r="D26" i="2" s="1"/>
  <c r="B10" i="2"/>
  <c r="I22" i="4"/>
  <c r="I22" i="2" s="1"/>
  <c r="J35" i="4"/>
  <c r="J35" i="2" s="1"/>
  <c r="E72" i="4"/>
  <c r="E71" i="2" s="1"/>
  <c r="D10" i="4"/>
  <c r="D10" i="2" s="1"/>
  <c r="D22" i="4"/>
  <c r="D22" i="2" s="1"/>
  <c r="B30" i="2"/>
  <c r="J11" i="4"/>
  <c r="J11" i="2" s="1"/>
  <c r="B38" i="2"/>
  <c r="J13" i="4"/>
  <c r="J13" i="2" s="1"/>
  <c r="D15" i="4"/>
  <c r="D15" i="2" s="1"/>
  <c r="D37" i="4"/>
  <c r="D37" i="2" s="1"/>
  <c r="D42" i="4"/>
  <c r="D42" i="2" s="1"/>
  <c r="D43" i="4"/>
  <c r="D43" i="2" s="1"/>
  <c r="E44" i="4"/>
  <c r="E44" i="2" s="1"/>
  <c r="I46" i="4"/>
  <c r="I46" i="2" s="1"/>
  <c r="I49" i="4"/>
  <c r="I49" i="2" s="1"/>
  <c r="J69" i="4"/>
  <c r="J68" i="2" s="1"/>
  <c r="I72" i="4"/>
  <c r="I71" i="2" s="1"/>
  <c r="I10" i="4"/>
  <c r="I10" i="2" s="1"/>
  <c r="B57" i="2"/>
  <c r="J37" i="4"/>
  <c r="J37" i="2" s="1"/>
  <c r="I42" i="4"/>
  <c r="I42" i="2" s="1"/>
  <c r="E43" i="4"/>
  <c r="E43" i="2" s="1"/>
  <c r="I44" i="4"/>
  <c r="I44" i="2" s="1"/>
  <c r="J46" i="4"/>
  <c r="J46" i="2" s="1"/>
  <c r="P71" i="2"/>
  <c r="I6" i="4"/>
  <c r="I6" i="2" s="1"/>
  <c r="E6" i="4"/>
  <c r="E6" i="2" s="1"/>
  <c r="B7" i="2"/>
  <c r="E65" i="4"/>
  <c r="E65" i="2" s="1"/>
  <c r="B65" i="2"/>
  <c r="B24" i="3"/>
  <c r="I24" i="5"/>
  <c r="I24" i="3" s="1"/>
  <c r="J27" i="5"/>
  <c r="J27" i="3" s="1"/>
  <c r="E27" i="5"/>
  <c r="E27" i="3" s="1"/>
  <c r="I35" i="5"/>
  <c r="I35" i="3" s="1"/>
  <c r="D35" i="5"/>
  <c r="D35" i="3" s="1"/>
  <c r="I39" i="5"/>
  <c r="I39" i="3" s="1"/>
  <c r="D39" i="5"/>
  <c r="D39" i="3" s="1"/>
  <c r="E8" i="4"/>
  <c r="E8" i="2" s="1"/>
  <c r="I40" i="4"/>
  <c r="I40" i="2" s="1"/>
  <c r="E40" i="4"/>
  <c r="E40" i="2" s="1"/>
  <c r="D40" i="4"/>
  <c r="D40" i="2" s="1"/>
  <c r="I55" i="4"/>
  <c r="I55" i="2" s="1"/>
  <c r="J30" i="4"/>
  <c r="J30" i="2" s="1"/>
  <c r="I30" i="4"/>
  <c r="I30" i="2" s="1"/>
  <c r="E30" i="4"/>
  <c r="E30" i="2" s="1"/>
  <c r="D30" i="4"/>
  <c r="D30" i="2" s="1"/>
  <c r="J17" i="4"/>
  <c r="J17" i="2" s="1"/>
  <c r="I17" i="4"/>
  <c r="I17" i="2" s="1"/>
  <c r="E17" i="4"/>
  <c r="E17" i="2" s="1"/>
  <c r="J27" i="4"/>
  <c r="J27" i="2" s="1"/>
  <c r="J34" i="4"/>
  <c r="J34" i="2" s="1"/>
  <c r="I34" i="4"/>
  <c r="I34" i="2" s="1"/>
  <c r="E34" i="4"/>
  <c r="E34" i="2" s="1"/>
  <c r="D34" i="4"/>
  <c r="D34" i="2" s="1"/>
  <c r="J52" i="4"/>
  <c r="J52" i="2" s="1"/>
  <c r="B52" i="2"/>
  <c r="I52" i="4"/>
  <c r="I52" i="2" s="1"/>
  <c r="E52" i="4"/>
  <c r="E52" i="2" s="1"/>
  <c r="D52" i="4"/>
  <c r="D52" i="2" s="1"/>
  <c r="B14" i="3"/>
  <c r="D17" i="4"/>
  <c r="D17" i="2" s="1"/>
  <c r="B53" i="2"/>
  <c r="E53" i="4"/>
  <c r="E53" i="2" s="1"/>
  <c r="J60" i="4"/>
  <c r="J60" i="2" s="1"/>
  <c r="I60" i="4"/>
  <c r="I60" i="2" s="1"/>
  <c r="E60" i="4"/>
  <c r="E60" i="2" s="1"/>
  <c r="D60" i="4"/>
  <c r="D60" i="2" s="1"/>
  <c r="J70" i="4"/>
  <c r="J69" i="2" s="1"/>
  <c r="D70" i="4"/>
  <c r="D69" i="2" s="1"/>
  <c r="I70" i="4"/>
  <c r="I69" i="2" s="1"/>
  <c r="J12" i="5"/>
  <c r="J12" i="3" s="1"/>
  <c r="I37" i="5"/>
  <c r="I37" i="3" s="1"/>
  <c r="D37" i="5"/>
  <c r="D37" i="3" s="1"/>
  <c r="J41" i="5"/>
  <c r="J41" i="3" s="1"/>
  <c r="I41" i="5"/>
  <c r="I41" i="3" s="1"/>
  <c r="D41" i="5"/>
  <c r="D41" i="3" s="1"/>
  <c r="J53" i="5"/>
  <c r="J53" i="3" s="1"/>
  <c r="E53" i="5"/>
  <c r="E53" i="3" s="1"/>
  <c r="D53" i="5"/>
  <c r="D53" i="3" s="1"/>
  <c r="I29" i="4"/>
  <c r="I29" i="2" s="1"/>
  <c r="J29" i="4"/>
  <c r="J29" i="2" s="1"/>
  <c r="E29" i="4"/>
  <c r="E29" i="2" s="1"/>
  <c r="D29" i="4"/>
  <c r="D29" i="2" s="1"/>
  <c r="I46" i="5"/>
  <c r="I46" i="3" s="1"/>
  <c r="J46" i="5"/>
  <c r="J46" i="3" s="1"/>
  <c r="D46" i="5"/>
  <c r="D46" i="3" s="1"/>
  <c r="B46" i="3"/>
  <c r="B29" i="2"/>
  <c r="J5" i="4"/>
  <c r="J5" i="2" s="1"/>
  <c r="J19" i="4"/>
  <c r="J19" i="2" s="1"/>
  <c r="E19" i="4"/>
  <c r="E19" i="2" s="1"/>
  <c r="E12" i="5"/>
  <c r="E12" i="3" s="1"/>
  <c r="J31" i="4"/>
  <c r="J31" i="2" s="1"/>
  <c r="D35" i="4"/>
  <c r="D35" i="2" s="1"/>
  <c r="I31" i="5"/>
  <c r="I31" i="3" s="1"/>
  <c r="E31" i="5"/>
  <c r="E31" i="3" s="1"/>
  <c r="J52" i="5"/>
  <c r="J52" i="3" s="1"/>
  <c r="N52" i="3"/>
  <c r="J12" i="4"/>
  <c r="J12" i="2" s="1"/>
  <c r="D31" i="4"/>
  <c r="D31" i="2" s="1"/>
  <c r="E35" i="4"/>
  <c r="E35" i="2" s="1"/>
  <c r="E57" i="4"/>
  <c r="E57" i="2" s="1"/>
  <c r="E62" i="4"/>
  <c r="E62" i="2" s="1"/>
  <c r="J21" i="5"/>
  <c r="J21" i="3" s="1"/>
  <c r="D31" i="5"/>
  <c r="D31" i="3" s="1"/>
  <c r="D52" i="5"/>
  <c r="D52" i="3" s="1"/>
  <c r="J56" i="5"/>
  <c r="J56" i="3" s="1"/>
  <c r="D56" i="5"/>
  <c r="D56" i="3" s="1"/>
  <c r="J61" i="5"/>
  <c r="J61" i="3" s="1"/>
  <c r="E61" i="5"/>
  <c r="E61" i="3" s="1"/>
  <c r="D61" i="5"/>
  <c r="D61" i="3" s="1"/>
  <c r="I25" i="4"/>
  <c r="I25" i="2" s="1"/>
  <c r="J26" i="4"/>
  <c r="J26" i="2" s="1"/>
  <c r="I44" i="5"/>
  <c r="I44" i="3" s="1"/>
  <c r="J44" i="5"/>
  <c r="J44" i="3" s="1"/>
  <c r="E52" i="5"/>
  <c r="E52" i="3" s="1"/>
  <c r="E56" i="5"/>
  <c r="E56" i="3" s="1"/>
  <c r="I34" i="5"/>
  <c r="I34" i="3" s="1"/>
  <c r="D34" i="5"/>
  <c r="D34" i="3" s="1"/>
  <c r="I36" i="5"/>
  <c r="I36" i="3" s="1"/>
  <c r="D36" i="5"/>
  <c r="D36" i="3" s="1"/>
  <c r="I38" i="5"/>
  <c r="I38" i="3" s="1"/>
  <c r="D38" i="5"/>
  <c r="D38" i="3" s="1"/>
  <c r="I40" i="5"/>
  <c r="I40" i="3" s="1"/>
  <c r="D40" i="5"/>
  <c r="D40" i="3" s="1"/>
  <c r="I42" i="5"/>
  <c r="I42" i="3" s="1"/>
  <c r="E42" i="5"/>
  <c r="E42" i="3" s="1"/>
  <c r="I12" i="4"/>
  <c r="I12" i="2" s="1"/>
  <c r="I23" i="4"/>
  <c r="I23" i="2" s="1"/>
  <c r="E25" i="4"/>
  <c r="E25" i="2" s="1"/>
  <c r="E26" i="4"/>
  <c r="E26" i="2" s="1"/>
  <c r="J45" i="4"/>
  <c r="J45" i="2" s="1"/>
  <c r="J56" i="4"/>
  <c r="J56" i="2" s="1"/>
  <c r="D63" i="4"/>
  <c r="D63" i="2" s="1"/>
  <c r="D68" i="4"/>
  <c r="D67" i="2" s="1"/>
  <c r="J11" i="5"/>
  <c r="J11" i="3" s="1"/>
  <c r="J19" i="5"/>
  <c r="J19" i="3" s="1"/>
  <c r="E30" i="5"/>
  <c r="E30" i="3" s="1"/>
  <c r="P38" i="3"/>
  <c r="I43" i="5"/>
  <c r="I43" i="3" s="1"/>
  <c r="F32" i="3"/>
  <c r="J18" i="4"/>
  <c r="J18" i="2" s="1"/>
  <c r="J23" i="4"/>
  <c r="J23" i="2" s="1"/>
  <c r="J25" i="4"/>
  <c r="J25" i="2" s="1"/>
  <c r="I26" i="4"/>
  <c r="I26" i="2" s="1"/>
  <c r="J28" i="4"/>
  <c r="J28" i="2" s="1"/>
  <c r="E28" i="4"/>
  <c r="E28" i="2" s="1"/>
  <c r="J51" i="4"/>
  <c r="J51" i="2" s="1"/>
  <c r="L51" i="2"/>
  <c r="D56" i="4"/>
  <c r="D56" i="2" s="1"/>
  <c r="I63" i="4"/>
  <c r="I63" i="2" s="1"/>
  <c r="J64" i="4"/>
  <c r="J64" i="2" s="1"/>
  <c r="E68" i="4"/>
  <c r="E67" i="2" s="1"/>
  <c r="E71" i="4"/>
  <c r="E70" i="2" s="1"/>
  <c r="I30" i="5"/>
  <c r="I30" i="3" s="1"/>
  <c r="D43" i="5"/>
  <c r="D43" i="3" s="1"/>
  <c r="J57" i="5"/>
  <c r="J57" i="3" s="1"/>
  <c r="E57" i="5"/>
  <c r="E57" i="3" s="1"/>
  <c r="D57" i="5"/>
  <c r="D57" i="3" s="1"/>
  <c r="D72" i="5"/>
  <c r="D71" i="3" s="1"/>
  <c r="E72" i="5"/>
  <c r="E71" i="3" s="1"/>
  <c r="D60" i="5"/>
  <c r="D60" i="3" s="1"/>
  <c r="D64" i="5"/>
  <c r="D64" i="3" s="1"/>
  <c r="D68" i="5"/>
  <c r="D68" i="3" s="1"/>
  <c r="I72" i="5"/>
  <c r="I71" i="3" s="1"/>
  <c r="J72" i="5"/>
  <c r="J71" i="3" s="1"/>
  <c r="D65" i="5"/>
  <c r="D65" i="3" s="1"/>
  <c r="D69" i="5"/>
  <c r="D69" i="3" s="1"/>
  <c r="E65" i="5"/>
  <c r="E65" i="3" s="1"/>
  <c r="E69" i="5"/>
  <c r="E69" i="3" s="1"/>
  <c r="E42" i="4"/>
  <c r="E42" i="2" s="1"/>
  <c r="E48" i="4"/>
  <c r="E48" i="2" s="1"/>
  <c r="E10" i="5"/>
  <c r="E10" i="3" s="1"/>
  <c r="D20" i="5"/>
  <c r="D20" i="3" s="1"/>
  <c r="E33" i="5"/>
  <c r="E33" i="3" s="1"/>
  <c r="F48" i="5"/>
  <c r="Q50" i="3"/>
  <c r="D54" i="5"/>
  <c r="D54" i="3" s="1"/>
  <c r="D58" i="5"/>
  <c r="D58" i="3" s="1"/>
  <c r="D62" i="5"/>
  <c r="D62" i="3" s="1"/>
  <c r="D66" i="5"/>
  <c r="D66" i="3" s="1"/>
  <c r="D71" i="5"/>
  <c r="D70" i="3" s="1"/>
  <c r="J10" i="5"/>
  <c r="J10" i="3" s="1"/>
  <c r="I20" i="5"/>
  <c r="I20" i="3" s="1"/>
  <c r="E54" i="5"/>
  <c r="E54" i="3" s="1"/>
  <c r="E58" i="5"/>
  <c r="E58" i="3" s="1"/>
  <c r="E62" i="5"/>
  <c r="E62" i="3" s="1"/>
  <c r="E66" i="5"/>
  <c r="E66" i="3" s="1"/>
  <c r="I5" i="4"/>
  <c r="I5" i="2" s="1"/>
  <c r="E5" i="4"/>
  <c r="I7" i="4"/>
  <c r="I7" i="2" s="1"/>
  <c r="D9" i="4"/>
  <c r="D9" i="2" s="1"/>
  <c r="D16" i="4"/>
  <c r="D16" i="2" s="1"/>
  <c r="D20" i="4"/>
  <c r="D20" i="2" s="1"/>
  <c r="J20" i="4"/>
  <c r="J20" i="2" s="1"/>
  <c r="E21" i="4"/>
  <c r="E21" i="2" s="1"/>
  <c r="D21" i="4"/>
  <c r="D21" i="2" s="1"/>
  <c r="I21" i="4"/>
  <c r="I21" i="2" s="1"/>
  <c r="I24" i="4"/>
  <c r="I24" i="2" s="1"/>
  <c r="E24" i="4"/>
  <c r="E24" i="2" s="1"/>
  <c r="D24" i="4"/>
  <c r="D24" i="2" s="1"/>
  <c r="J24" i="4"/>
  <c r="J24" i="2" s="1"/>
  <c r="D32" i="4"/>
  <c r="D32" i="2" s="1"/>
  <c r="J32" i="4"/>
  <c r="J32" i="2" s="1"/>
  <c r="I32" i="4"/>
  <c r="I32" i="2" s="1"/>
  <c r="E32" i="4"/>
  <c r="E32" i="2" s="1"/>
  <c r="D5" i="4"/>
  <c r="D5" i="2" s="1"/>
  <c r="J7" i="4"/>
  <c r="J7" i="2" s="1"/>
  <c r="I8" i="4"/>
  <c r="I8" i="2" s="1"/>
  <c r="E20" i="4"/>
  <c r="E20" i="2" s="1"/>
  <c r="D38" i="4"/>
  <c r="D38" i="2" s="1"/>
  <c r="J38" i="4"/>
  <c r="J38" i="2" s="1"/>
  <c r="I38" i="4"/>
  <c r="I38" i="2" s="1"/>
  <c r="E38" i="4"/>
  <c r="E38" i="2" s="1"/>
  <c r="J8" i="4"/>
  <c r="J8" i="2" s="1"/>
  <c r="I13" i="4"/>
  <c r="I13" i="2" s="1"/>
  <c r="E13" i="4"/>
  <c r="E13" i="2" s="1"/>
  <c r="I15" i="4"/>
  <c r="I15" i="2" s="1"/>
  <c r="I16" i="4"/>
  <c r="I16" i="2" s="1"/>
  <c r="J9" i="4"/>
  <c r="I11" i="4"/>
  <c r="I11" i="2" s="1"/>
  <c r="D13" i="4"/>
  <c r="D13" i="2" s="1"/>
  <c r="J15" i="4"/>
  <c r="J15" i="2" s="1"/>
  <c r="I33" i="4"/>
  <c r="I33" i="2" s="1"/>
  <c r="D33" i="4"/>
  <c r="D33" i="2" s="1"/>
  <c r="J33" i="4"/>
  <c r="J33" i="2" s="1"/>
  <c r="E7" i="4"/>
  <c r="E7" i="2" s="1"/>
  <c r="D7" i="4"/>
  <c r="D7" i="2" s="1"/>
  <c r="D8" i="4"/>
  <c r="D8" i="2" s="1"/>
  <c r="E27" i="4"/>
  <c r="E27" i="2" s="1"/>
  <c r="D27" i="4"/>
  <c r="D27" i="2" s="1"/>
  <c r="I27" i="4"/>
  <c r="I27" i="2" s="1"/>
  <c r="L33" i="2"/>
  <c r="E9" i="4"/>
  <c r="I9" i="4"/>
  <c r="I9" i="2" s="1"/>
  <c r="E15" i="4"/>
  <c r="E15" i="2" s="1"/>
  <c r="E16" i="4"/>
  <c r="E16" i="2" s="1"/>
  <c r="J16" i="4"/>
  <c r="J16" i="2" s="1"/>
  <c r="J10" i="4"/>
  <c r="J10" i="2" s="1"/>
  <c r="L29" i="2"/>
  <c r="E37" i="4"/>
  <c r="E37" i="2" s="1"/>
  <c r="I39" i="4"/>
  <c r="I39" i="2" s="1"/>
  <c r="D45" i="4"/>
  <c r="D45" i="2" s="1"/>
  <c r="D46" i="4"/>
  <c r="D46" i="2" s="1"/>
  <c r="J53" i="4"/>
  <c r="J53" i="2" s="1"/>
  <c r="I53" i="4"/>
  <c r="I53" i="2" s="1"/>
  <c r="I59" i="4"/>
  <c r="I59" i="2" s="1"/>
  <c r="J59" i="4"/>
  <c r="J59" i="2" s="1"/>
  <c r="E59" i="4"/>
  <c r="E59" i="2" s="1"/>
  <c r="D59" i="4"/>
  <c r="D59" i="2" s="1"/>
  <c r="J39" i="4"/>
  <c r="J39" i="2" s="1"/>
  <c r="D49" i="4"/>
  <c r="D49" i="2" s="1"/>
  <c r="D36" i="4"/>
  <c r="D36" i="2" s="1"/>
  <c r="E49" i="4"/>
  <c r="E49" i="2" s="1"/>
  <c r="B4" i="12"/>
  <c r="B46" i="12" s="1"/>
  <c r="AN46" i="12" s="1"/>
  <c r="B3" i="6"/>
  <c r="J6" i="4"/>
  <c r="J6" i="2" s="1"/>
  <c r="J14" i="4"/>
  <c r="J14" i="2" s="1"/>
  <c r="D39" i="4"/>
  <c r="D39" i="2" s="1"/>
  <c r="I45" i="4"/>
  <c r="I45" i="2" s="1"/>
  <c r="I51" i="4"/>
  <c r="I51" i="2" s="1"/>
  <c r="E51" i="4"/>
  <c r="E51" i="2" s="1"/>
  <c r="E58" i="4"/>
  <c r="E58" i="2" s="1"/>
  <c r="D58" i="4"/>
  <c r="D58" i="2" s="1"/>
  <c r="J58" i="4"/>
  <c r="J58" i="2" s="1"/>
  <c r="I58" i="4"/>
  <c r="I58" i="2" s="1"/>
  <c r="D6" i="4"/>
  <c r="D6" i="2" s="1"/>
  <c r="D14" i="4"/>
  <c r="D14" i="2" s="1"/>
  <c r="I19" i="4"/>
  <c r="I19" i="2" s="1"/>
  <c r="J22" i="4"/>
  <c r="J22" i="2" s="1"/>
  <c r="D23" i="4"/>
  <c r="D23" i="2" s="1"/>
  <c r="L25" i="2"/>
  <c r="E31" i="4"/>
  <c r="E31" i="2" s="1"/>
  <c r="I37" i="4"/>
  <c r="I37" i="2" s="1"/>
  <c r="J40" i="4"/>
  <c r="J40" i="2" s="1"/>
  <c r="D41" i="4"/>
  <c r="D41" i="2" s="1"/>
  <c r="I43" i="4"/>
  <c r="I43" i="2" s="1"/>
  <c r="J49" i="4"/>
  <c r="J49" i="2" s="1"/>
  <c r="D51" i="4"/>
  <c r="D51" i="2" s="1"/>
  <c r="L22" i="2"/>
  <c r="D28" i="4"/>
  <c r="D28" i="2" s="1"/>
  <c r="E46" i="4"/>
  <c r="E46" i="2" s="1"/>
  <c r="J61" i="4"/>
  <c r="J61" i="2" s="1"/>
  <c r="E61" i="4"/>
  <c r="E61" i="2" s="1"/>
  <c r="D61" i="4"/>
  <c r="D61" i="2" s="1"/>
  <c r="D44" i="4"/>
  <c r="D44" i="2" s="1"/>
  <c r="I47" i="4"/>
  <c r="I47" i="2" s="1"/>
  <c r="E50" i="4"/>
  <c r="E50" i="2" s="1"/>
  <c r="E54" i="4"/>
  <c r="E54" i="2" s="1"/>
  <c r="E56" i="4"/>
  <c r="E56" i="2" s="1"/>
  <c r="J62" i="4"/>
  <c r="J62" i="2" s="1"/>
  <c r="D25" i="5"/>
  <c r="D25" i="3" s="1"/>
  <c r="I25" i="5"/>
  <c r="I25" i="3" s="1"/>
  <c r="J25" i="5"/>
  <c r="J25" i="3" s="1"/>
  <c r="E25" i="5"/>
  <c r="E25" i="3" s="1"/>
  <c r="D57" i="4"/>
  <c r="D57" i="2" s="1"/>
  <c r="D65" i="4"/>
  <c r="D65" i="2" s="1"/>
  <c r="I71" i="4"/>
  <c r="I70" i="2" s="1"/>
  <c r="D71" i="4"/>
  <c r="D70" i="2" s="1"/>
  <c r="Q70" i="2"/>
  <c r="D6" i="5"/>
  <c r="D6" i="3" s="1"/>
  <c r="I6" i="5"/>
  <c r="I6" i="3" s="1"/>
  <c r="J6" i="5"/>
  <c r="J6" i="3" s="1"/>
  <c r="E6" i="5"/>
  <c r="E6" i="3" s="1"/>
  <c r="D16" i="5"/>
  <c r="D16" i="3" s="1"/>
  <c r="I16" i="5"/>
  <c r="I16" i="3" s="1"/>
  <c r="J16" i="5"/>
  <c r="J16" i="3" s="1"/>
  <c r="D62" i="4"/>
  <c r="D62" i="2" s="1"/>
  <c r="I62" i="4"/>
  <c r="I62" i="2" s="1"/>
  <c r="I66" i="4"/>
  <c r="I66" i="2" s="1"/>
  <c r="E66" i="4"/>
  <c r="E66" i="2" s="1"/>
  <c r="E5" i="5"/>
  <c r="E5" i="3" s="1"/>
  <c r="D5" i="5"/>
  <c r="D5" i="3" s="1"/>
  <c r="I5" i="5"/>
  <c r="I5" i="3" s="1"/>
  <c r="E16" i="5"/>
  <c r="E16" i="3" s="1"/>
  <c r="D9" i="5"/>
  <c r="D9" i="3" s="1"/>
  <c r="I9" i="5"/>
  <c r="I9" i="3" s="1"/>
  <c r="E9" i="5"/>
  <c r="E9" i="3" s="1"/>
  <c r="E73" i="4"/>
  <c r="E72" i="2" s="1"/>
  <c r="D73" i="4"/>
  <c r="D72" i="2" s="1"/>
  <c r="I73" i="4"/>
  <c r="I72" i="2" s="1"/>
  <c r="J9" i="5"/>
  <c r="J9" i="3" s="1"/>
  <c r="D14" i="5"/>
  <c r="D14" i="3" s="1"/>
  <c r="I14" i="5"/>
  <c r="I14" i="3" s="1"/>
  <c r="J14" i="5"/>
  <c r="J14" i="3" s="1"/>
  <c r="E14" i="5"/>
  <c r="E14" i="3" s="1"/>
  <c r="N18" i="3"/>
  <c r="E18" i="5"/>
  <c r="E18" i="3" s="1"/>
  <c r="I18" i="5"/>
  <c r="I18" i="3" s="1"/>
  <c r="D18" i="5"/>
  <c r="D18" i="3" s="1"/>
  <c r="J5" i="5"/>
  <c r="J5" i="3" s="1"/>
  <c r="J18" i="5"/>
  <c r="J18" i="3" s="1"/>
  <c r="J44" i="4"/>
  <c r="J44" i="2" s="1"/>
  <c r="D54" i="4"/>
  <c r="D54" i="2" s="1"/>
  <c r="I54" i="4"/>
  <c r="I54" i="2" s="1"/>
  <c r="I57" i="4"/>
  <c r="I57" i="2" s="1"/>
  <c r="J65" i="4"/>
  <c r="J65" i="2" s="1"/>
  <c r="D69" i="4"/>
  <c r="D68" i="2" s="1"/>
  <c r="I69" i="4"/>
  <c r="I68" i="2" s="1"/>
  <c r="J73" i="4"/>
  <c r="J72" i="2" s="1"/>
  <c r="D8" i="5"/>
  <c r="D8" i="3" s="1"/>
  <c r="I8" i="5"/>
  <c r="I8" i="3" s="1"/>
  <c r="J8" i="5"/>
  <c r="J8" i="3" s="1"/>
  <c r="F17" i="5"/>
  <c r="I45" i="5"/>
  <c r="I45" i="3" s="1"/>
  <c r="N45" i="3"/>
  <c r="D45" i="5"/>
  <c r="D45" i="3" s="1"/>
  <c r="J45" i="5"/>
  <c r="J45" i="3" s="1"/>
  <c r="E45" i="5"/>
  <c r="E45" i="3" s="1"/>
  <c r="J55" i="4"/>
  <c r="J55" i="2" s="1"/>
  <c r="J63" i="4"/>
  <c r="J63" i="2" s="1"/>
  <c r="B4" i="13"/>
  <c r="B47" i="13" s="1"/>
  <c r="AQ47" i="13" s="1"/>
  <c r="B3" i="7"/>
  <c r="B28" i="7" s="1"/>
  <c r="C29" i="5" s="1"/>
  <c r="C29" i="3" s="1"/>
  <c r="F29" i="3" s="1"/>
  <c r="D11" i="5"/>
  <c r="D11" i="3" s="1"/>
  <c r="I11" i="5"/>
  <c r="I11" i="3" s="1"/>
  <c r="E13" i="5"/>
  <c r="E13" i="3" s="1"/>
  <c r="I19" i="5"/>
  <c r="I19" i="3" s="1"/>
  <c r="E21" i="5"/>
  <c r="E21" i="3" s="1"/>
  <c r="I23" i="5"/>
  <c r="I23" i="3" s="1"/>
  <c r="D28" i="5"/>
  <c r="D28" i="3" s="1"/>
  <c r="I28" i="5"/>
  <c r="I28" i="3" s="1"/>
  <c r="E22" i="5"/>
  <c r="E22" i="3" s="1"/>
  <c r="D26" i="5"/>
  <c r="D26" i="3" s="1"/>
  <c r="I26" i="5"/>
  <c r="I26" i="3" s="1"/>
  <c r="E55" i="4"/>
  <c r="E55" i="2" s="1"/>
  <c r="E63" i="4"/>
  <c r="E63" i="2" s="1"/>
  <c r="J68" i="4"/>
  <c r="J67" i="2" s="1"/>
  <c r="E70" i="4"/>
  <c r="E69" i="2" s="1"/>
  <c r="J72" i="4"/>
  <c r="J71" i="2" s="1"/>
  <c r="D12" i="5"/>
  <c r="D12" i="3" s="1"/>
  <c r="I12" i="5"/>
  <c r="I12" i="3" s="1"/>
  <c r="J13" i="5"/>
  <c r="J13" i="3" s="1"/>
  <c r="J20" i="5"/>
  <c r="J20" i="3" s="1"/>
  <c r="D22" i="5"/>
  <c r="D22" i="3" s="1"/>
  <c r="J24" i="5"/>
  <c r="J24" i="3" s="1"/>
  <c r="D33" i="5"/>
  <c r="D33" i="3" s="1"/>
  <c r="I33" i="5"/>
  <c r="I33" i="3" s="1"/>
  <c r="P33" i="3"/>
  <c r="D7" i="5"/>
  <c r="D7" i="3" s="1"/>
  <c r="I7" i="5"/>
  <c r="I7" i="3" s="1"/>
  <c r="D15" i="5"/>
  <c r="D15" i="3" s="1"/>
  <c r="I15" i="5"/>
  <c r="I15" i="3" s="1"/>
  <c r="E19" i="5"/>
  <c r="E19" i="3" s="1"/>
  <c r="E23" i="5"/>
  <c r="E23" i="3" s="1"/>
  <c r="E26" i="5"/>
  <c r="E26" i="3" s="1"/>
  <c r="D10" i="5"/>
  <c r="D10" i="3" s="1"/>
  <c r="I10" i="5"/>
  <c r="I10" i="3" s="1"/>
  <c r="D27" i="5"/>
  <c r="D27" i="3" s="1"/>
  <c r="I27" i="5"/>
  <c r="I27" i="3" s="1"/>
  <c r="D13" i="5"/>
  <c r="D13" i="3" s="1"/>
  <c r="I13" i="5"/>
  <c r="I13" i="3" s="1"/>
  <c r="E20" i="5"/>
  <c r="E20" i="3" s="1"/>
  <c r="I22" i="5"/>
  <c r="I22" i="3" s="1"/>
  <c r="E24" i="5"/>
  <c r="E24" i="3" s="1"/>
  <c r="I47" i="5"/>
  <c r="I47" i="3" s="1"/>
  <c r="E47" i="5"/>
  <c r="E47" i="3" s="1"/>
  <c r="D47" i="5"/>
  <c r="D47" i="3" s="1"/>
  <c r="J47" i="5"/>
  <c r="J47" i="3" s="1"/>
  <c r="J30" i="5"/>
  <c r="J30" i="3" s="1"/>
  <c r="J31" i="5"/>
  <c r="J31" i="3" s="1"/>
  <c r="J42" i="5"/>
  <c r="J42" i="3" s="1"/>
  <c r="E44" i="5"/>
  <c r="E44" i="3" s="1"/>
  <c r="E50" i="5"/>
  <c r="E50" i="3" s="1"/>
  <c r="J34" i="5"/>
  <c r="J34" i="3" s="1"/>
  <c r="J35" i="5"/>
  <c r="J35" i="3" s="1"/>
  <c r="J36" i="5"/>
  <c r="J36" i="3" s="1"/>
  <c r="J37" i="5"/>
  <c r="J37" i="3" s="1"/>
  <c r="J38" i="5"/>
  <c r="J38" i="3" s="1"/>
  <c r="J39" i="5"/>
  <c r="J39" i="3" s="1"/>
  <c r="J40" i="5"/>
  <c r="J40" i="3" s="1"/>
  <c r="D42" i="5"/>
  <c r="D42" i="3" s="1"/>
  <c r="N42" i="3"/>
  <c r="D50" i="5"/>
  <c r="D50" i="3" s="1"/>
  <c r="E49" i="5"/>
  <c r="E49" i="3" s="1"/>
  <c r="E34" i="5"/>
  <c r="E34" i="3" s="1"/>
  <c r="E35" i="5"/>
  <c r="E35" i="3" s="1"/>
  <c r="E36" i="5"/>
  <c r="E36" i="3" s="1"/>
  <c r="E37" i="5"/>
  <c r="E37" i="3" s="1"/>
  <c r="E38" i="5"/>
  <c r="E38" i="3" s="1"/>
  <c r="E39" i="5"/>
  <c r="E39" i="3" s="1"/>
  <c r="E40" i="5"/>
  <c r="E40" i="3" s="1"/>
  <c r="E41" i="5"/>
  <c r="E41" i="3" s="1"/>
  <c r="E46" i="5"/>
  <c r="E46" i="3" s="1"/>
  <c r="I50" i="5"/>
  <c r="I50" i="3" s="1"/>
  <c r="J75" i="5"/>
  <c r="J74" i="3" s="1"/>
  <c r="J74" i="5"/>
  <c r="J73" i="3" s="1"/>
  <c r="L74" i="3"/>
  <c r="J73" i="5"/>
  <c r="J72" i="3" s="1"/>
  <c r="D76" i="5"/>
  <c r="D75" i="3" s="1"/>
  <c r="D75" i="5"/>
  <c r="D74" i="3" s="1"/>
  <c r="E76" i="5"/>
  <c r="E75" i="3" s="1"/>
  <c r="I52" i="5"/>
  <c r="I52" i="3" s="1"/>
  <c r="I53" i="5"/>
  <c r="I53" i="3" s="1"/>
  <c r="I54" i="5"/>
  <c r="I54" i="3" s="1"/>
  <c r="I55" i="5"/>
  <c r="I55" i="3" s="1"/>
  <c r="I56" i="5"/>
  <c r="I56" i="3" s="1"/>
  <c r="I57" i="5"/>
  <c r="I57" i="3" s="1"/>
  <c r="I58" i="5"/>
  <c r="I58" i="3" s="1"/>
  <c r="I59" i="5"/>
  <c r="I59" i="3" s="1"/>
  <c r="I60" i="5"/>
  <c r="I60" i="3" s="1"/>
  <c r="I61" i="5"/>
  <c r="I61" i="3" s="1"/>
  <c r="I62" i="5"/>
  <c r="I62" i="3" s="1"/>
  <c r="I63" i="5"/>
  <c r="I63" i="3" s="1"/>
  <c r="I64" i="5"/>
  <c r="I64" i="3" s="1"/>
  <c r="I65" i="5"/>
  <c r="I65" i="3" s="1"/>
  <c r="I66" i="5"/>
  <c r="I66" i="3" s="1"/>
  <c r="I67" i="5"/>
  <c r="I67" i="3" s="1"/>
  <c r="I68" i="5"/>
  <c r="I68" i="3" s="1"/>
  <c r="I69" i="5"/>
  <c r="I69" i="3" s="1"/>
  <c r="J71" i="5"/>
  <c r="J70" i="3" s="1"/>
  <c r="D74" i="5"/>
  <c r="D73" i="3" s="1"/>
  <c r="E75" i="5"/>
  <c r="E74" i="3" s="1"/>
  <c r="D73" i="5"/>
  <c r="D72" i="3" s="1"/>
  <c r="E74" i="5"/>
  <c r="E73" i="3" s="1"/>
  <c r="F29" i="5" l="1"/>
  <c r="B24" i="6"/>
  <c r="C26" i="4" s="1"/>
  <c r="B25" i="6"/>
  <c r="B26" i="6"/>
  <c r="B70" i="6"/>
  <c r="C65" i="4" s="1"/>
  <c r="B65" i="6"/>
  <c r="C73" i="4" s="1"/>
  <c r="B57" i="6"/>
  <c r="C58" i="4" s="1"/>
  <c r="B49" i="6"/>
  <c r="C50" i="4" s="1"/>
  <c r="B41" i="6"/>
  <c r="C41" i="4" s="1"/>
  <c r="B33" i="6"/>
  <c r="C34" i="4" s="1"/>
  <c r="C25" i="4"/>
  <c r="B17" i="6"/>
  <c r="B9" i="6"/>
  <c r="C10" i="4" s="1"/>
  <c r="B64" i="6"/>
  <c r="C72" i="4" s="1"/>
  <c r="B56" i="6"/>
  <c r="C57" i="4" s="1"/>
  <c r="B48" i="6"/>
  <c r="C49" i="4" s="1"/>
  <c r="B40" i="6"/>
  <c r="C42" i="4" s="1"/>
  <c r="B32" i="6"/>
  <c r="C33" i="4" s="1"/>
  <c r="B16" i="6"/>
  <c r="B8" i="6"/>
  <c r="C9" i="4" s="1"/>
  <c r="B63" i="6"/>
  <c r="C71" i="4" s="1"/>
  <c r="B55" i="6"/>
  <c r="C56" i="4" s="1"/>
  <c r="B47" i="6"/>
  <c r="C48" i="4" s="1"/>
  <c r="B39" i="6"/>
  <c r="C40" i="4" s="1"/>
  <c r="B31" i="6"/>
  <c r="C32" i="4" s="1"/>
  <c r="B23" i="6"/>
  <c r="C24" i="4" s="1"/>
  <c r="B15" i="6"/>
  <c r="C16" i="4" s="1"/>
  <c r="B7" i="6"/>
  <c r="C8" i="4" s="1"/>
  <c r="B71" i="6"/>
  <c r="C66" i="4" s="1"/>
  <c r="B62" i="6"/>
  <c r="C70" i="4" s="1"/>
  <c r="B54" i="6"/>
  <c r="C55" i="4" s="1"/>
  <c r="B46" i="6"/>
  <c r="C47" i="4" s="1"/>
  <c r="B38" i="6"/>
  <c r="C39" i="4" s="1"/>
  <c r="B30" i="6"/>
  <c r="C31" i="4" s="1"/>
  <c r="B22" i="6"/>
  <c r="C23" i="4" s="1"/>
  <c r="B14" i="6"/>
  <c r="C15" i="4" s="1"/>
  <c r="B6" i="6"/>
  <c r="C7" i="4" s="1"/>
  <c r="B69" i="6"/>
  <c r="C64" i="4" s="1"/>
  <c r="B61" i="6"/>
  <c r="C69" i="4" s="1"/>
  <c r="B53" i="6"/>
  <c r="C54" i="4" s="1"/>
  <c r="B45" i="6"/>
  <c r="C46" i="4" s="1"/>
  <c r="B37" i="6"/>
  <c r="C38" i="4" s="1"/>
  <c r="B29" i="6"/>
  <c r="C30" i="4" s="1"/>
  <c r="B21" i="6"/>
  <c r="C22" i="4" s="1"/>
  <c r="B13" i="6"/>
  <c r="C14" i="4" s="1"/>
  <c r="B5" i="6"/>
  <c r="C6" i="4" s="1"/>
  <c r="B68" i="6"/>
  <c r="C63" i="4" s="1"/>
  <c r="B60" i="6"/>
  <c r="C68" i="4" s="1"/>
  <c r="B52" i="6"/>
  <c r="C53" i="4" s="1"/>
  <c r="B44" i="6"/>
  <c r="C45" i="4" s="1"/>
  <c r="B36" i="6"/>
  <c r="C37" i="4" s="1"/>
  <c r="B28" i="6"/>
  <c r="C29" i="4" s="1"/>
  <c r="B20" i="6"/>
  <c r="C21" i="4" s="1"/>
  <c r="B12" i="6"/>
  <c r="C13" i="4" s="1"/>
  <c r="B4" i="6"/>
  <c r="C5" i="4" s="1"/>
  <c r="B67" i="6"/>
  <c r="C62" i="4" s="1"/>
  <c r="B59" i="6"/>
  <c r="C60" i="4" s="1"/>
  <c r="B51" i="6"/>
  <c r="C52" i="4" s="1"/>
  <c r="B43" i="6"/>
  <c r="C44" i="4" s="1"/>
  <c r="B35" i="6"/>
  <c r="C36" i="4" s="1"/>
  <c r="B27" i="6"/>
  <c r="C28" i="4" s="1"/>
  <c r="B19" i="6"/>
  <c r="C20" i="4" s="1"/>
  <c r="B11" i="6"/>
  <c r="C12" i="4" s="1"/>
  <c r="B66" i="6"/>
  <c r="C61" i="4" s="1"/>
  <c r="B58" i="6"/>
  <c r="C59" i="4" s="1"/>
  <c r="B50" i="6"/>
  <c r="C51" i="4" s="1"/>
  <c r="B42" i="6"/>
  <c r="C43" i="4" s="1"/>
  <c r="B34" i="6"/>
  <c r="C35" i="4" s="1"/>
  <c r="C27" i="4"/>
  <c r="B18" i="6"/>
  <c r="C19" i="4" s="1"/>
  <c r="B10" i="6"/>
  <c r="C11" i="4" s="1"/>
  <c r="B68" i="7"/>
  <c r="C76" i="5" s="1"/>
  <c r="B62" i="7"/>
  <c r="C63" i="5" s="1"/>
  <c r="B42" i="7"/>
  <c r="C43" i="5" s="1"/>
  <c r="B34" i="7"/>
  <c r="C35" i="5" s="1"/>
  <c r="B18" i="7"/>
  <c r="C19" i="5" s="1"/>
  <c r="B72" i="7"/>
  <c r="C67" i="5" s="1"/>
  <c r="B57" i="7"/>
  <c r="C58" i="5" s="1"/>
  <c r="B51" i="7"/>
  <c r="C52" i="5" s="1"/>
  <c r="B38" i="7"/>
  <c r="C39" i="5" s="1"/>
  <c r="B33" i="7"/>
  <c r="C34" i="5" s="1"/>
  <c r="B27" i="7"/>
  <c r="C28" i="5" s="1"/>
  <c r="B23" i="7"/>
  <c r="C24" i="5" s="1"/>
  <c r="B7" i="7"/>
  <c r="C8" i="5" s="1"/>
  <c r="B65" i="7"/>
  <c r="C73" i="5" s="1"/>
  <c r="B61" i="7"/>
  <c r="C62" i="5" s="1"/>
  <c r="B54" i="7"/>
  <c r="C55" i="5" s="1"/>
  <c r="B44" i="7"/>
  <c r="C44" i="5" s="1"/>
  <c r="B37" i="7"/>
  <c r="C38" i="5" s="1"/>
  <c r="B32" i="7"/>
  <c r="C33" i="5" s="1"/>
  <c r="B20" i="7"/>
  <c r="C21" i="5" s="1"/>
  <c r="B4" i="7"/>
  <c r="C5" i="5" s="1"/>
  <c r="B71" i="7"/>
  <c r="C66" i="5" s="1"/>
  <c r="B49" i="7"/>
  <c r="C50" i="5" s="1"/>
  <c r="B40" i="7"/>
  <c r="C41" i="5" s="1"/>
  <c r="B13" i="7"/>
  <c r="C14" i="5" s="1"/>
  <c r="B9" i="7"/>
  <c r="C10" i="5" s="1"/>
  <c r="B74" i="7"/>
  <c r="C69" i="5" s="1"/>
  <c r="B67" i="7"/>
  <c r="C75" i="5" s="1"/>
  <c r="B60" i="7"/>
  <c r="C61" i="5" s="1"/>
  <c r="B56" i="7"/>
  <c r="C57" i="5" s="1"/>
  <c r="B36" i="7"/>
  <c r="C37" i="5" s="1"/>
  <c r="B26" i="7"/>
  <c r="C26" i="5" s="1"/>
  <c r="B22" i="7"/>
  <c r="C23" i="5" s="1"/>
  <c r="B6" i="7"/>
  <c r="C7" i="5" s="1"/>
  <c r="B70" i="7"/>
  <c r="C65" i="5" s="1"/>
  <c r="B64" i="7"/>
  <c r="C72" i="5" s="1"/>
  <c r="B59" i="7"/>
  <c r="C60" i="5" s="1"/>
  <c r="B53" i="7"/>
  <c r="C54" i="5" s="1"/>
  <c r="B48" i="7"/>
  <c r="C49" i="5" s="1"/>
  <c r="B43" i="7"/>
  <c r="C45" i="5" s="1"/>
  <c r="B35" i="7"/>
  <c r="C36" i="5" s="1"/>
  <c r="B30" i="7"/>
  <c r="C31" i="5" s="1"/>
  <c r="B19" i="7"/>
  <c r="C20" i="5" s="1"/>
  <c r="B46" i="7"/>
  <c r="C47" i="5" s="1"/>
  <c r="B39" i="7"/>
  <c r="C40" i="5" s="1"/>
  <c r="B17" i="7"/>
  <c r="C18" i="5" s="1"/>
  <c r="B12" i="7"/>
  <c r="C13" i="5" s="1"/>
  <c r="B8" i="7"/>
  <c r="C9" i="5" s="1"/>
  <c r="B73" i="7"/>
  <c r="C68" i="5" s="1"/>
  <c r="B69" i="7"/>
  <c r="C64" i="5" s="1"/>
  <c r="B66" i="7"/>
  <c r="C74" i="5" s="1"/>
  <c r="B58" i="7"/>
  <c r="C59" i="5" s="1"/>
  <c r="B55" i="7"/>
  <c r="C56" i="5" s="1"/>
  <c r="B52" i="7"/>
  <c r="C53" i="5" s="1"/>
  <c r="B45" i="7"/>
  <c r="C46" i="5" s="1"/>
  <c r="B25" i="7"/>
  <c r="C27" i="5" s="1"/>
  <c r="B21" i="7"/>
  <c r="C22" i="5" s="1"/>
  <c r="B15" i="7"/>
  <c r="C16" i="5" s="1"/>
  <c r="B11" i="7"/>
  <c r="C12" i="5" s="1"/>
  <c r="B5" i="7"/>
  <c r="C6" i="5" s="1"/>
  <c r="B63" i="7"/>
  <c r="C71" i="5" s="1"/>
  <c r="B41" i="7"/>
  <c r="C42" i="5" s="1"/>
  <c r="B29" i="7"/>
  <c r="C30" i="5" s="1"/>
  <c r="B24" i="7"/>
  <c r="C25" i="5" s="1"/>
  <c r="B14" i="7"/>
  <c r="C15" i="5" s="1"/>
  <c r="B10" i="7"/>
  <c r="C11" i="5" s="1"/>
  <c r="B44" i="12"/>
  <c r="O44" i="12" s="1"/>
  <c r="B40" i="12"/>
  <c r="AW40" i="12" s="1"/>
  <c r="B36" i="12"/>
  <c r="AI36" i="12" s="1"/>
  <c r="B31" i="12"/>
  <c r="B27" i="12"/>
  <c r="AV27" i="12" s="1"/>
  <c r="B26" i="12"/>
  <c r="B13" i="12"/>
  <c r="B9" i="12"/>
  <c r="B33" i="12"/>
  <c r="B19" i="12"/>
  <c r="BN19" i="12" s="1"/>
  <c r="B42" i="12"/>
  <c r="B38" i="12"/>
  <c r="BJ38" i="12" s="1"/>
  <c r="B29" i="12"/>
  <c r="AA29" i="12" s="1"/>
  <c r="B22" i="12"/>
  <c r="B15" i="12"/>
  <c r="B12" i="12"/>
  <c r="B11" i="12"/>
  <c r="B5" i="12"/>
  <c r="B30" i="12"/>
  <c r="AI30" i="12" s="1"/>
  <c r="B8" i="12"/>
  <c r="AJ8" i="12" s="1"/>
  <c r="B41" i="12"/>
  <c r="AU41" i="12" s="1"/>
  <c r="B34" i="12"/>
  <c r="AW34" i="12" s="1"/>
  <c r="B18" i="12"/>
  <c r="U18" i="12" s="1"/>
  <c r="B28" i="12"/>
  <c r="BP28" i="12" s="1"/>
  <c r="B24" i="12"/>
  <c r="B23" i="12"/>
  <c r="B7" i="12"/>
  <c r="B17" i="12"/>
  <c r="BK17" i="12" s="1"/>
  <c r="B6" i="12"/>
  <c r="B45" i="12"/>
  <c r="H45" i="12" s="1"/>
  <c r="B39" i="12"/>
  <c r="D39" i="12" s="1"/>
  <c r="B32" i="12"/>
  <c r="BP32" i="12" s="1"/>
  <c r="B16" i="12"/>
  <c r="O16" i="12" s="1"/>
  <c r="B10" i="12"/>
  <c r="B37" i="12"/>
  <c r="Y37" i="12" s="1"/>
  <c r="B21" i="12"/>
  <c r="B14" i="12"/>
  <c r="B43" i="12"/>
  <c r="O43" i="12" s="1"/>
  <c r="B35" i="12"/>
  <c r="AD35" i="12" s="1"/>
  <c r="B25" i="12"/>
  <c r="B20" i="12"/>
  <c r="AK20" i="12" s="1"/>
  <c r="B23" i="13"/>
  <c r="B20" i="13"/>
  <c r="AM20" i="13" s="1"/>
  <c r="B13" i="13"/>
  <c r="B9" i="13"/>
  <c r="B46" i="13"/>
  <c r="H46" i="13" s="1"/>
  <c r="B42" i="13"/>
  <c r="AX42" i="13" s="1"/>
  <c r="B30" i="13"/>
  <c r="AK30" i="13" s="1"/>
  <c r="B25" i="13"/>
  <c r="I25" i="13" s="1"/>
  <c r="B16" i="13"/>
  <c r="B38" i="13"/>
  <c r="B33" i="13"/>
  <c r="B19" i="13"/>
  <c r="BQ19" i="13" s="1"/>
  <c r="B8" i="13"/>
  <c r="AL8" i="13" s="1"/>
  <c r="B45" i="13"/>
  <c r="O45" i="13" s="1"/>
  <c r="B41" i="13"/>
  <c r="AZ41" i="13" s="1"/>
  <c r="B37" i="13"/>
  <c r="B29" i="13"/>
  <c r="AB29" i="13" s="1"/>
  <c r="B22" i="13"/>
  <c r="B32" i="13"/>
  <c r="BS32" i="13" s="1"/>
  <c r="B18" i="13"/>
  <c r="U18" i="13" s="1"/>
  <c r="B15" i="13"/>
  <c r="B12" i="13"/>
  <c r="B11" i="13"/>
  <c r="B44" i="13"/>
  <c r="O44" i="13" s="1"/>
  <c r="B40" i="13"/>
  <c r="D40" i="13" s="1"/>
  <c r="B36" i="13"/>
  <c r="Z36" i="13" s="1"/>
  <c r="B28" i="13"/>
  <c r="BS28" i="13" s="1"/>
  <c r="B14" i="13"/>
  <c r="B34" i="13"/>
  <c r="AF34" i="13" s="1"/>
  <c r="B24" i="13"/>
  <c r="B21" i="13"/>
  <c r="B17" i="13"/>
  <c r="BN17" i="13" s="1"/>
  <c r="B7" i="13"/>
  <c r="B5" i="13"/>
  <c r="I5" i="13" s="1"/>
  <c r="B43" i="13"/>
  <c r="B39" i="13"/>
  <c r="BM39" i="13" s="1"/>
  <c r="B35" i="13"/>
  <c r="AK35" i="13" s="1"/>
  <c r="B31" i="13"/>
  <c r="B27" i="13"/>
  <c r="AY27" i="13" s="1"/>
  <c r="B26" i="13"/>
  <c r="B10" i="13"/>
  <c r="B6" i="13"/>
  <c r="I12" i="13" l="1"/>
  <c r="I2" i="13" s="1"/>
  <c r="N12" i="13"/>
  <c r="M12" i="13"/>
  <c r="M12" i="12"/>
  <c r="N12" i="12"/>
  <c r="Q25" i="12"/>
  <c r="P25" i="12"/>
  <c r="AK22" i="13"/>
  <c r="K22" i="13"/>
  <c r="BQ10" i="13"/>
  <c r="BP10" i="13"/>
  <c r="O16" i="13"/>
  <c r="AN16" i="13"/>
  <c r="AN2" i="13" s="1"/>
  <c r="G42" i="5" s="1"/>
  <c r="G42" i="3" s="1"/>
  <c r="BQ23" i="13"/>
  <c r="BD23" i="13"/>
  <c r="W23" i="13"/>
  <c r="BO23" i="13"/>
  <c r="BC23" i="13"/>
  <c r="T23" i="13"/>
  <c r="BM23" i="13"/>
  <c r="AH23" i="13"/>
  <c r="L23" i="13"/>
  <c r="BL23" i="13"/>
  <c r="AG23" i="13"/>
  <c r="G23" i="13"/>
  <c r="BK23" i="13"/>
  <c r="AF23" i="13"/>
  <c r="F23" i="13"/>
  <c r="BJ23" i="13"/>
  <c r="AC23" i="13"/>
  <c r="E23" i="13"/>
  <c r="BI23" i="13"/>
  <c r="Y23" i="13"/>
  <c r="D23" i="13"/>
  <c r="BT23" i="13"/>
  <c r="BE23" i="13"/>
  <c r="X23" i="13"/>
  <c r="C23" i="13"/>
  <c r="BN10" i="12"/>
  <c r="BM10" i="12"/>
  <c r="BQ23" i="12"/>
  <c r="BB23" i="12"/>
  <c r="W23" i="12"/>
  <c r="C23" i="12"/>
  <c r="BJ23" i="12"/>
  <c r="AF23" i="12"/>
  <c r="L23" i="12"/>
  <c r="BI23" i="12"/>
  <c r="AE23" i="12"/>
  <c r="G23" i="12"/>
  <c r="BA23" i="12"/>
  <c r="E23" i="12"/>
  <c r="AZ23" i="12"/>
  <c r="D23" i="12"/>
  <c r="AD23" i="12"/>
  <c r="BN23" i="12"/>
  <c r="AB23" i="12"/>
  <c r="BL23" i="12"/>
  <c r="X23" i="12"/>
  <c r="BH23" i="12"/>
  <c r="V23" i="12"/>
  <c r="BG23" i="12"/>
  <c r="T23" i="12"/>
  <c r="BF23" i="12"/>
  <c r="F23" i="12"/>
  <c r="BQ5" i="12"/>
  <c r="BG5" i="12"/>
  <c r="AV5" i="12"/>
  <c r="AM5" i="12"/>
  <c r="AE5" i="12"/>
  <c r="W5" i="12"/>
  <c r="N5" i="12"/>
  <c r="F5" i="12"/>
  <c r="BM5" i="12"/>
  <c r="BD5" i="12"/>
  <c r="AR5" i="12"/>
  <c r="AJ5" i="12"/>
  <c r="AB5" i="12"/>
  <c r="T5" i="12"/>
  <c r="K5" i="12"/>
  <c r="C5" i="12"/>
  <c r="BL5" i="12"/>
  <c r="BC5" i="12"/>
  <c r="AQ5" i="12"/>
  <c r="AI5" i="12"/>
  <c r="AA5" i="12"/>
  <c r="S5" i="12"/>
  <c r="J5" i="12"/>
  <c r="BH5" i="12"/>
  <c r="AP5" i="12"/>
  <c r="AD5" i="12"/>
  <c r="Q5" i="12"/>
  <c r="D5" i="12"/>
  <c r="BF5" i="12"/>
  <c r="AO5" i="12"/>
  <c r="AC5" i="12"/>
  <c r="P5" i="12"/>
  <c r="BE5" i="12"/>
  <c r="AN5" i="12"/>
  <c r="Z5" i="12"/>
  <c r="M5" i="12"/>
  <c r="AY5" i="12"/>
  <c r="AL5" i="12"/>
  <c r="Y5" i="12"/>
  <c r="L5" i="12"/>
  <c r="BP5" i="12"/>
  <c r="AX5" i="12"/>
  <c r="AK5" i="12"/>
  <c r="X5" i="12"/>
  <c r="I5" i="12"/>
  <c r="BO5" i="12"/>
  <c r="AW5" i="12"/>
  <c r="AW2" i="12" s="1"/>
  <c r="G54" i="4" s="1"/>
  <c r="G54" i="2" s="1"/>
  <c r="AH5" i="12"/>
  <c r="V5" i="12"/>
  <c r="H5" i="12"/>
  <c r="BK5" i="12"/>
  <c r="AT5" i="12"/>
  <c r="AG5" i="12"/>
  <c r="U5" i="12"/>
  <c r="G5" i="12"/>
  <c r="BI5" i="12"/>
  <c r="AS5" i="12"/>
  <c r="AF5" i="12"/>
  <c r="R5" i="12"/>
  <c r="E5" i="12"/>
  <c r="F6" i="5"/>
  <c r="C6" i="3"/>
  <c r="F6" i="3" s="1"/>
  <c r="F59" i="5"/>
  <c r="C59" i="3"/>
  <c r="F59" i="3" s="1"/>
  <c r="F47" i="5"/>
  <c r="C47" i="3"/>
  <c r="F47" i="3" s="1"/>
  <c r="F72" i="5"/>
  <c r="C71" i="3"/>
  <c r="F71" i="3" s="1"/>
  <c r="F75" i="5"/>
  <c r="C74" i="3"/>
  <c r="F74" i="3" s="1"/>
  <c r="F21" i="5"/>
  <c r="C21" i="3"/>
  <c r="F21" i="3" s="1"/>
  <c r="F24" i="5"/>
  <c r="C24" i="3"/>
  <c r="F24" i="3" s="1"/>
  <c r="F35" i="5"/>
  <c r="C35" i="3"/>
  <c r="F35" i="3" s="1"/>
  <c r="F43" i="4"/>
  <c r="C43" i="2"/>
  <c r="F43" i="2" s="1"/>
  <c r="F44" i="4"/>
  <c r="C44" i="2"/>
  <c r="F44" i="2" s="1"/>
  <c r="F37" i="4"/>
  <c r="C37" i="2"/>
  <c r="F37" i="2" s="1"/>
  <c r="F30" i="4"/>
  <c r="C30" i="2"/>
  <c r="F30" i="2" s="1"/>
  <c r="F23" i="4"/>
  <c r="C23" i="2"/>
  <c r="F23" i="2" s="1"/>
  <c r="F16" i="4"/>
  <c r="C16" i="2"/>
  <c r="F16" i="2" s="1"/>
  <c r="C18" i="4"/>
  <c r="C17" i="4"/>
  <c r="BT5" i="13"/>
  <c r="BJ5" i="13"/>
  <c r="AY5" i="13"/>
  <c r="AP5" i="13"/>
  <c r="AG5" i="13"/>
  <c r="Y5" i="13"/>
  <c r="Q5" i="13"/>
  <c r="BS5" i="13"/>
  <c r="BI5" i="13"/>
  <c r="AW5" i="13"/>
  <c r="AO5" i="13"/>
  <c r="AF5" i="13"/>
  <c r="X5" i="13"/>
  <c r="P5" i="13"/>
  <c r="G5" i="13"/>
  <c r="BR5" i="13"/>
  <c r="BH5" i="13"/>
  <c r="AV5" i="13"/>
  <c r="AM5" i="13"/>
  <c r="AE5" i="13"/>
  <c r="W5" i="13"/>
  <c r="N5" i="13"/>
  <c r="F5" i="13"/>
  <c r="BP5" i="13"/>
  <c r="BG5" i="13"/>
  <c r="AU5" i="13"/>
  <c r="AL5" i="13"/>
  <c r="AD5" i="13"/>
  <c r="V5" i="13"/>
  <c r="M5" i="13"/>
  <c r="E5" i="13"/>
  <c r="BO5" i="13"/>
  <c r="BF5" i="13"/>
  <c r="AT5" i="13"/>
  <c r="AK5" i="13"/>
  <c r="AC5" i="13"/>
  <c r="U5" i="13"/>
  <c r="L5" i="13"/>
  <c r="D5" i="13"/>
  <c r="BN5" i="13"/>
  <c r="BB5" i="13"/>
  <c r="AS5" i="13"/>
  <c r="AJ5" i="13"/>
  <c r="AB5" i="13"/>
  <c r="T5" i="13"/>
  <c r="K5" i="13"/>
  <c r="C5" i="13"/>
  <c r="BL5" i="13"/>
  <c r="BA5" i="13"/>
  <c r="AR5" i="13"/>
  <c r="AI5" i="13"/>
  <c r="AA5" i="13"/>
  <c r="S5" i="13"/>
  <c r="H5" i="13"/>
  <c r="BK5" i="13"/>
  <c r="AZ5" i="13"/>
  <c r="AQ5" i="13"/>
  <c r="AH5" i="13"/>
  <c r="Z5" i="13"/>
  <c r="R5" i="13"/>
  <c r="J5" i="13"/>
  <c r="BR26" i="13"/>
  <c r="BH26" i="13"/>
  <c r="BG26" i="13"/>
  <c r="BB26" i="13"/>
  <c r="AA26" i="13"/>
  <c r="Q26" i="13"/>
  <c r="P26" i="13"/>
  <c r="BP25" i="13"/>
  <c r="AP25" i="13"/>
  <c r="AO25" i="13"/>
  <c r="AJ25" i="13"/>
  <c r="AI25" i="13"/>
  <c r="N25" i="13"/>
  <c r="M25" i="13"/>
  <c r="J25" i="13"/>
  <c r="AJ24" i="12"/>
  <c r="S24" i="12"/>
  <c r="R24" i="12"/>
  <c r="H24" i="12"/>
  <c r="AK11" i="12"/>
  <c r="C11" i="12"/>
  <c r="U11" i="12"/>
  <c r="K11" i="12"/>
  <c r="AV11" i="12"/>
  <c r="AP11" i="12"/>
  <c r="AO11" i="12"/>
  <c r="AS33" i="12"/>
  <c r="AR33" i="12"/>
  <c r="AQ33" i="12"/>
  <c r="F12" i="5"/>
  <c r="C12" i="3"/>
  <c r="F12" i="3" s="1"/>
  <c r="F74" i="5"/>
  <c r="C73" i="3"/>
  <c r="F73" i="3" s="1"/>
  <c r="F20" i="5"/>
  <c r="C20" i="3"/>
  <c r="F20" i="3" s="1"/>
  <c r="F65" i="5"/>
  <c r="C65" i="3"/>
  <c r="F65" i="3" s="1"/>
  <c r="F69" i="5"/>
  <c r="C69" i="3"/>
  <c r="F69" i="3" s="1"/>
  <c r="F33" i="5"/>
  <c r="C33" i="3"/>
  <c r="F33" i="3" s="1"/>
  <c r="F28" i="5"/>
  <c r="C28" i="3"/>
  <c r="F28" i="3" s="1"/>
  <c r="F43" i="5"/>
  <c r="C43" i="3"/>
  <c r="F43" i="3" s="1"/>
  <c r="F51" i="4"/>
  <c r="C51" i="2"/>
  <c r="F51" i="2" s="1"/>
  <c r="F52" i="4"/>
  <c r="C52" i="2"/>
  <c r="F52" i="2" s="1"/>
  <c r="F45" i="4"/>
  <c r="C45" i="2"/>
  <c r="F45" i="2" s="1"/>
  <c r="F38" i="4"/>
  <c r="C38" i="2"/>
  <c r="F38" i="2" s="1"/>
  <c r="F31" i="4"/>
  <c r="C31" i="2"/>
  <c r="F31" i="2" s="1"/>
  <c r="F24" i="4"/>
  <c r="C24" i="2"/>
  <c r="F24" i="2" s="1"/>
  <c r="F26" i="4"/>
  <c r="C26" i="2"/>
  <c r="F26" i="2" s="1"/>
  <c r="F25" i="4"/>
  <c r="C25" i="2"/>
  <c r="F25" i="2" s="1"/>
  <c r="BE7" i="13"/>
  <c r="BD7" i="13"/>
  <c r="BC7" i="13"/>
  <c r="AX21" i="13"/>
  <c r="AX2" i="13" s="1"/>
  <c r="G53" i="5" s="1"/>
  <c r="G53" i="3" s="1"/>
  <c r="AW21" i="13"/>
  <c r="AM11" i="13"/>
  <c r="U11" i="13"/>
  <c r="K11" i="13"/>
  <c r="C11" i="13"/>
  <c r="AY11" i="13"/>
  <c r="AS11" i="13"/>
  <c r="AR11" i="13"/>
  <c r="J25" i="12"/>
  <c r="AL25" i="12"/>
  <c r="AH25" i="12"/>
  <c r="BM25" i="12"/>
  <c r="AM25" i="12"/>
  <c r="AG25" i="12"/>
  <c r="N25" i="12"/>
  <c r="M25" i="12"/>
  <c r="I25" i="12"/>
  <c r="BF12" i="12"/>
  <c r="I12" i="12"/>
  <c r="BK12" i="12"/>
  <c r="AD12" i="12"/>
  <c r="C12" i="12"/>
  <c r="BJ12" i="12"/>
  <c r="Z12" i="12"/>
  <c r="Q12" i="12"/>
  <c r="BQ12" i="12"/>
  <c r="P12" i="12"/>
  <c r="BP12" i="12"/>
  <c r="K12" i="12"/>
  <c r="BI12" i="12"/>
  <c r="G12" i="12"/>
  <c r="BH12" i="12"/>
  <c r="F12" i="12"/>
  <c r="BG12" i="12"/>
  <c r="AF12" i="12"/>
  <c r="AE12" i="12"/>
  <c r="BE9" i="12"/>
  <c r="AG9" i="12"/>
  <c r="BA9" i="12"/>
  <c r="X9" i="12"/>
  <c r="AZ9" i="12"/>
  <c r="W9" i="12"/>
  <c r="AI9" i="12"/>
  <c r="AH9" i="12"/>
  <c r="AC9" i="12"/>
  <c r="AB9" i="12"/>
  <c r="L9" i="12"/>
  <c r="BD9" i="12"/>
  <c r="J9" i="12"/>
  <c r="BB9" i="12"/>
  <c r="E9" i="12"/>
  <c r="F11" i="5"/>
  <c r="C11" i="3"/>
  <c r="F11" i="3" s="1"/>
  <c r="F16" i="5"/>
  <c r="C16" i="3"/>
  <c r="F16" i="3" s="1"/>
  <c r="F64" i="5"/>
  <c r="C64" i="3"/>
  <c r="F64" i="3" s="1"/>
  <c r="F31" i="5"/>
  <c r="C31" i="3"/>
  <c r="F31" i="3" s="1"/>
  <c r="F7" i="5"/>
  <c r="C7" i="3"/>
  <c r="F7" i="3" s="1"/>
  <c r="F10" i="5"/>
  <c r="C10" i="3"/>
  <c r="F10" i="3" s="1"/>
  <c r="F38" i="5"/>
  <c r="C38" i="3"/>
  <c r="F38" i="3" s="1"/>
  <c r="F34" i="5"/>
  <c r="C34" i="3"/>
  <c r="F34" i="3" s="1"/>
  <c r="F63" i="5"/>
  <c r="C63" i="3"/>
  <c r="F63" i="3" s="1"/>
  <c r="F59" i="4"/>
  <c r="C59" i="2"/>
  <c r="F59" i="2" s="1"/>
  <c r="F60" i="4"/>
  <c r="C60" i="2"/>
  <c r="F60" i="2" s="1"/>
  <c r="F53" i="4"/>
  <c r="C53" i="2"/>
  <c r="F53" i="2" s="1"/>
  <c r="F46" i="4"/>
  <c r="C46" i="2"/>
  <c r="F46" i="2" s="1"/>
  <c r="F39" i="4"/>
  <c r="C39" i="2"/>
  <c r="F39" i="2" s="1"/>
  <c r="F32" i="4"/>
  <c r="C32" i="2"/>
  <c r="F32" i="2" s="1"/>
  <c r="F33" i="4"/>
  <c r="C33" i="2"/>
  <c r="F33" i="2" s="1"/>
  <c r="F34" i="4"/>
  <c r="C34" i="2"/>
  <c r="F34" i="2" s="1"/>
  <c r="BN31" i="13"/>
  <c r="BA31" i="13"/>
  <c r="AL24" i="13"/>
  <c r="S24" i="13"/>
  <c r="R24" i="13"/>
  <c r="H24" i="13"/>
  <c r="BI12" i="13"/>
  <c r="BT12" i="13"/>
  <c r="AH12" i="13"/>
  <c r="G12" i="13"/>
  <c r="BS12" i="13"/>
  <c r="AG12" i="13"/>
  <c r="F12" i="13"/>
  <c r="BN12" i="13"/>
  <c r="AF12" i="13"/>
  <c r="C12" i="13"/>
  <c r="BM12" i="13"/>
  <c r="AA12" i="13"/>
  <c r="BL12" i="13"/>
  <c r="Q12" i="13"/>
  <c r="BK12" i="13"/>
  <c r="P12" i="13"/>
  <c r="BJ12" i="13"/>
  <c r="K12" i="13"/>
  <c r="U35" i="12"/>
  <c r="AF35" i="12"/>
  <c r="AE35" i="12"/>
  <c r="BC35" i="12"/>
  <c r="AT35" i="12"/>
  <c r="AC35" i="12"/>
  <c r="AA35" i="12"/>
  <c r="Y35" i="12"/>
  <c r="T35" i="12"/>
  <c r="O35" i="12"/>
  <c r="O2" i="12" s="1"/>
  <c r="G17" i="4" s="1"/>
  <c r="G17" i="2" s="1"/>
  <c r="AM15" i="12"/>
  <c r="AN15" i="12"/>
  <c r="AX13" i="12"/>
  <c r="AY13" i="12"/>
  <c r="F15" i="5"/>
  <c r="C15" i="3"/>
  <c r="F15" i="3" s="1"/>
  <c r="F22" i="5"/>
  <c r="C22" i="3"/>
  <c r="F22" i="3" s="1"/>
  <c r="F68" i="5"/>
  <c r="C68" i="3"/>
  <c r="F68" i="3" s="1"/>
  <c r="F36" i="5"/>
  <c r="C36" i="3"/>
  <c r="F36" i="3" s="1"/>
  <c r="F23" i="5"/>
  <c r="C23" i="3"/>
  <c r="F23" i="3" s="1"/>
  <c r="F14" i="5"/>
  <c r="C14" i="3"/>
  <c r="F14" i="3" s="1"/>
  <c r="F44" i="5"/>
  <c r="C44" i="3"/>
  <c r="F44" i="3" s="1"/>
  <c r="F39" i="5"/>
  <c r="C39" i="3"/>
  <c r="F39" i="3" s="1"/>
  <c r="F76" i="5"/>
  <c r="C75" i="3"/>
  <c r="F75" i="3" s="1"/>
  <c r="F61" i="4"/>
  <c r="C61" i="2"/>
  <c r="F61" i="2" s="1"/>
  <c r="F62" i="4"/>
  <c r="C62" i="2"/>
  <c r="F62" i="2" s="1"/>
  <c r="F68" i="4"/>
  <c r="C67" i="2"/>
  <c r="F67" i="2" s="1"/>
  <c r="F54" i="4"/>
  <c r="C54" i="2"/>
  <c r="F54" i="2" s="1"/>
  <c r="F47" i="4"/>
  <c r="C47" i="2"/>
  <c r="F47" i="2" s="1"/>
  <c r="F40" i="4"/>
  <c r="C40" i="2"/>
  <c r="F40" i="2" s="1"/>
  <c r="F42" i="4"/>
  <c r="C42" i="2"/>
  <c r="F42" i="2" s="1"/>
  <c r="F41" i="4"/>
  <c r="C41" i="2"/>
  <c r="F41" i="2" s="1"/>
  <c r="BF34" i="13"/>
  <c r="V34" i="13"/>
  <c r="AW34" i="13"/>
  <c r="U34" i="13"/>
  <c r="AH34" i="13"/>
  <c r="T34" i="13"/>
  <c r="AG34" i="13"/>
  <c r="O34" i="13"/>
  <c r="AE34" i="13"/>
  <c r="AD34" i="13"/>
  <c r="AB34" i="13"/>
  <c r="Z34" i="13"/>
  <c r="AQ15" i="13"/>
  <c r="AP15" i="13"/>
  <c r="K22" i="12"/>
  <c r="AI22" i="12"/>
  <c r="BD26" i="12"/>
  <c r="AY26" i="12"/>
  <c r="BO26" i="12"/>
  <c r="BE26" i="12"/>
  <c r="Z26" i="12"/>
  <c r="F25" i="5"/>
  <c r="C25" i="3"/>
  <c r="F25" i="3" s="1"/>
  <c r="F27" i="5"/>
  <c r="C27" i="3"/>
  <c r="F27" i="3" s="1"/>
  <c r="F9" i="5"/>
  <c r="C9" i="3"/>
  <c r="F9" i="3" s="1"/>
  <c r="F45" i="5"/>
  <c r="C45" i="3"/>
  <c r="F45" i="3" s="1"/>
  <c r="F26" i="5"/>
  <c r="C26" i="3"/>
  <c r="F26" i="3" s="1"/>
  <c r="F41" i="5"/>
  <c r="C41" i="3"/>
  <c r="F41" i="3" s="1"/>
  <c r="F55" i="5"/>
  <c r="C55" i="3"/>
  <c r="F55" i="3" s="1"/>
  <c r="F52" i="5"/>
  <c r="C52" i="3"/>
  <c r="F52" i="3" s="1"/>
  <c r="F11" i="4"/>
  <c r="C11" i="2"/>
  <c r="F11" i="2" s="1"/>
  <c r="F12" i="4"/>
  <c r="C12" i="2"/>
  <c r="F12" i="2" s="1"/>
  <c r="F5" i="4"/>
  <c r="C5" i="2"/>
  <c r="F5" i="2" s="1"/>
  <c r="F63" i="4"/>
  <c r="C63" i="2"/>
  <c r="F63" i="2" s="1"/>
  <c r="F69" i="4"/>
  <c r="C68" i="2"/>
  <c r="F68" i="2" s="1"/>
  <c r="F55" i="4"/>
  <c r="C55" i="2"/>
  <c r="F55" i="2" s="1"/>
  <c r="F48" i="4"/>
  <c r="C48" i="2"/>
  <c r="F48" i="2" s="1"/>
  <c r="F49" i="4"/>
  <c r="C49" i="2"/>
  <c r="F49" i="2" s="1"/>
  <c r="F50" i="4"/>
  <c r="C50" i="2"/>
  <c r="F50" i="2" s="1"/>
  <c r="BH9" i="13"/>
  <c r="AI9" i="13"/>
  <c r="BG9" i="13"/>
  <c r="AD9" i="13"/>
  <c r="BE9" i="13"/>
  <c r="AC9" i="13"/>
  <c r="BD9" i="13"/>
  <c r="Y9" i="13"/>
  <c r="BC9" i="13"/>
  <c r="X9" i="13"/>
  <c r="L9" i="13"/>
  <c r="AK9" i="13"/>
  <c r="J9" i="13"/>
  <c r="AJ9" i="13"/>
  <c r="E9" i="13"/>
  <c r="F30" i="5"/>
  <c r="C30" i="3"/>
  <c r="F30" i="3" s="1"/>
  <c r="F46" i="5"/>
  <c r="C46" i="3"/>
  <c r="F46" i="3" s="1"/>
  <c r="F13" i="5"/>
  <c r="C13" i="3"/>
  <c r="F13" i="3" s="1"/>
  <c r="F49" i="5"/>
  <c r="C49" i="3"/>
  <c r="F49" i="3" s="1"/>
  <c r="F37" i="5"/>
  <c r="C37" i="3"/>
  <c r="F37" i="3" s="1"/>
  <c r="F50" i="5"/>
  <c r="C50" i="3"/>
  <c r="F50" i="3" s="1"/>
  <c r="F62" i="5"/>
  <c r="C62" i="3"/>
  <c r="F62" i="3" s="1"/>
  <c r="F58" i="5"/>
  <c r="C58" i="3"/>
  <c r="F58" i="3" s="1"/>
  <c r="F19" i="4"/>
  <c r="C19" i="2"/>
  <c r="F19" i="2" s="1"/>
  <c r="F20" i="4"/>
  <c r="C20" i="2"/>
  <c r="F20" i="2" s="1"/>
  <c r="F13" i="4"/>
  <c r="C13" i="2"/>
  <c r="F13" i="2" s="1"/>
  <c r="F6" i="4"/>
  <c r="C6" i="2"/>
  <c r="F6" i="2" s="1"/>
  <c r="F64" i="4"/>
  <c r="C64" i="2"/>
  <c r="F64" i="2" s="1"/>
  <c r="F70" i="4"/>
  <c r="C69" i="2"/>
  <c r="F69" i="2" s="1"/>
  <c r="F56" i="4"/>
  <c r="C56" i="2"/>
  <c r="F56" i="2" s="1"/>
  <c r="F57" i="4"/>
  <c r="C57" i="2"/>
  <c r="F57" i="2" s="1"/>
  <c r="F58" i="4"/>
  <c r="C58" i="2"/>
  <c r="F58" i="2" s="1"/>
  <c r="AU33" i="13"/>
  <c r="AT33" i="13"/>
  <c r="AV33" i="13"/>
  <c r="BB13" i="13"/>
  <c r="BA13" i="13"/>
  <c r="AU21" i="12"/>
  <c r="AU2" i="12" s="1"/>
  <c r="G50" i="4" s="1"/>
  <c r="G50" i="2" s="1"/>
  <c r="AT21" i="12"/>
  <c r="BK31" i="12"/>
  <c r="AX31" i="12"/>
  <c r="F42" i="5"/>
  <c r="C42" i="3"/>
  <c r="F42" i="3" s="1"/>
  <c r="F53" i="5"/>
  <c r="C53" i="3"/>
  <c r="F53" i="3" s="1"/>
  <c r="F18" i="5"/>
  <c r="C18" i="3"/>
  <c r="F18" i="3" s="1"/>
  <c r="F54" i="5"/>
  <c r="C54" i="3"/>
  <c r="F54" i="3" s="1"/>
  <c r="F57" i="5"/>
  <c r="C57" i="3"/>
  <c r="F57" i="3" s="1"/>
  <c r="F66" i="5"/>
  <c r="C66" i="3"/>
  <c r="F66" i="3" s="1"/>
  <c r="F73" i="5"/>
  <c r="C72" i="3"/>
  <c r="F72" i="3" s="1"/>
  <c r="F67" i="5"/>
  <c r="C67" i="3"/>
  <c r="F67" i="3" s="1"/>
  <c r="F27" i="4"/>
  <c r="C27" i="2"/>
  <c r="F27" i="2" s="1"/>
  <c r="F28" i="4"/>
  <c r="C28" i="2"/>
  <c r="F28" i="2" s="1"/>
  <c r="F21" i="4"/>
  <c r="C21" i="2"/>
  <c r="F21" i="2" s="1"/>
  <c r="F14" i="4"/>
  <c r="C14" i="2"/>
  <c r="F14" i="2" s="1"/>
  <c r="F7" i="4"/>
  <c r="C7" i="2"/>
  <c r="F7" i="2" s="1"/>
  <c r="F66" i="4"/>
  <c r="C66" i="2"/>
  <c r="F66" i="2" s="1"/>
  <c r="F71" i="4"/>
  <c r="C70" i="2"/>
  <c r="F70" i="2" s="1"/>
  <c r="F72" i="4"/>
  <c r="C71" i="2"/>
  <c r="F71" i="2" s="1"/>
  <c r="F73" i="4"/>
  <c r="C72" i="2"/>
  <c r="F72" i="2" s="1"/>
  <c r="AZ38" i="13"/>
  <c r="AE38" i="13"/>
  <c r="BB7" i="12"/>
  <c r="BA7" i="12"/>
  <c r="AZ7" i="12"/>
  <c r="F71" i="5"/>
  <c r="C70" i="3"/>
  <c r="F70" i="3" s="1"/>
  <c r="F56" i="5"/>
  <c r="C56" i="3"/>
  <c r="F56" i="3" s="1"/>
  <c r="F40" i="5"/>
  <c r="C40" i="3"/>
  <c r="F40" i="3" s="1"/>
  <c r="F60" i="5"/>
  <c r="C60" i="3"/>
  <c r="F60" i="3" s="1"/>
  <c r="F61" i="5"/>
  <c r="C61" i="3"/>
  <c r="F61" i="3" s="1"/>
  <c r="F5" i="5"/>
  <c r="C5" i="3"/>
  <c r="F5" i="3" s="1"/>
  <c r="F8" i="5"/>
  <c r="C8" i="3"/>
  <c r="F8" i="3" s="1"/>
  <c r="F19" i="5"/>
  <c r="C19" i="3"/>
  <c r="F19" i="3" s="1"/>
  <c r="F35" i="4"/>
  <c r="C35" i="2"/>
  <c r="F35" i="2" s="1"/>
  <c r="F36" i="4"/>
  <c r="C36" i="2"/>
  <c r="F36" i="2" s="1"/>
  <c r="F29" i="4"/>
  <c r="C29" i="2"/>
  <c r="F29" i="2" s="1"/>
  <c r="F22" i="4"/>
  <c r="C22" i="2"/>
  <c r="F22" i="2" s="1"/>
  <c r="F15" i="4"/>
  <c r="C15" i="2"/>
  <c r="F15" i="2" s="1"/>
  <c r="F8" i="4"/>
  <c r="C8" i="2"/>
  <c r="F8" i="2" s="1"/>
  <c r="F9" i="4"/>
  <c r="C9" i="2"/>
  <c r="F9" i="2" s="1"/>
  <c r="F10" i="4"/>
  <c r="C10" i="2"/>
  <c r="F10" i="2" s="1"/>
  <c r="F65" i="4"/>
  <c r="C65" i="2"/>
  <c r="F65" i="2" s="1"/>
  <c r="AS2" i="13" l="1"/>
  <c r="AQ2" i="13"/>
  <c r="AN2" i="12"/>
  <c r="G40" i="4" s="1"/>
  <c r="AP2" i="12"/>
  <c r="G44" i="4" s="1"/>
  <c r="AF2" i="12"/>
  <c r="G34" i="4" s="1"/>
  <c r="G34" i="2" s="1"/>
  <c r="AD2" i="12"/>
  <c r="G32" i="4" s="1"/>
  <c r="AG2" i="13"/>
  <c r="G35" i="5" s="1"/>
  <c r="G35" i="3" s="1"/>
  <c r="AF2" i="13"/>
  <c r="G34" i="5" s="1"/>
  <c r="AE2" i="12"/>
  <c r="G33" i="4" s="1"/>
  <c r="G33" i="2" s="1"/>
  <c r="AH2" i="13"/>
  <c r="M2" i="13"/>
  <c r="G15" i="5" s="1"/>
  <c r="G15" i="3" s="1"/>
  <c r="N2" i="13"/>
  <c r="G16" i="5" s="1"/>
  <c r="G16" i="3" s="1"/>
  <c r="N2" i="12"/>
  <c r="G16" i="4" s="1"/>
  <c r="M2" i="12"/>
  <c r="G15" i="4" s="1"/>
  <c r="H2" i="13"/>
  <c r="G10" i="5" s="1"/>
  <c r="G10" i="3" s="1"/>
  <c r="K2" i="13"/>
  <c r="G13" i="5" s="1"/>
  <c r="G13" i="3" s="1"/>
  <c r="K2" i="12"/>
  <c r="G13" i="4" s="1"/>
  <c r="I2" i="12"/>
  <c r="G11" i="4" s="1"/>
  <c r="G11" i="2" s="1"/>
  <c r="H53" i="5"/>
  <c r="H53" i="3" s="1"/>
  <c r="G11" i="5"/>
  <c r="BO2" i="13"/>
  <c r="G64" i="5" s="1"/>
  <c r="G64" i="3" s="1"/>
  <c r="L2" i="13"/>
  <c r="G14" i="5" s="1"/>
  <c r="G14" i="3" s="1"/>
  <c r="W2" i="13"/>
  <c r="G25" i="5" s="1"/>
  <c r="G25" i="3" s="1"/>
  <c r="D2" i="13"/>
  <c r="G6" i="5" s="1"/>
  <c r="G6" i="3" s="1"/>
  <c r="BC2" i="13"/>
  <c r="G58" i="5" s="1"/>
  <c r="G58" i="3" s="1"/>
  <c r="AD2" i="13"/>
  <c r="G32" i="5" s="1"/>
  <c r="H32" i="5" s="1"/>
  <c r="H32" i="3" s="1"/>
  <c r="BM2" i="13"/>
  <c r="G76" i="5" s="1"/>
  <c r="G75" i="3" s="1"/>
  <c r="H42" i="5"/>
  <c r="H42" i="3" s="1"/>
  <c r="AE2" i="13"/>
  <c r="G33" i="5" s="1"/>
  <c r="G33" i="3" s="1"/>
  <c r="BL2" i="13"/>
  <c r="G72" i="5" s="1"/>
  <c r="G71" i="3" s="1"/>
  <c r="BS2" i="13"/>
  <c r="G68" i="5" s="1"/>
  <c r="BT2" i="13"/>
  <c r="G69" i="5" s="1"/>
  <c r="BD2" i="13"/>
  <c r="G59" i="5" s="1"/>
  <c r="G59" i="3" s="1"/>
  <c r="S2" i="13"/>
  <c r="G21" i="5" s="1"/>
  <c r="G21" i="3" s="1"/>
  <c r="V4" i="13"/>
  <c r="V2" i="13" s="1"/>
  <c r="G24" i="5" s="1"/>
  <c r="Y2" i="13"/>
  <c r="G27" i="5" s="1"/>
  <c r="BE2" i="13"/>
  <c r="G60" i="5" s="1"/>
  <c r="G60" i="3" s="1"/>
  <c r="AP2" i="13"/>
  <c r="G45" i="5" s="1"/>
  <c r="AJ2" i="13"/>
  <c r="G38" i="5" s="1"/>
  <c r="AL2" i="13"/>
  <c r="G40" i="5" s="1"/>
  <c r="G40" i="3" s="1"/>
  <c r="AM2" i="13"/>
  <c r="G41" i="5" s="1"/>
  <c r="G41" i="3" s="1"/>
  <c r="R2" i="13"/>
  <c r="G20" i="5" s="1"/>
  <c r="G20" i="3" s="1"/>
  <c r="AA2" i="13"/>
  <c r="G29" i="5" s="1"/>
  <c r="H29" i="5" s="1"/>
  <c r="H29" i="3" s="1"/>
  <c r="AC2" i="13"/>
  <c r="G31" i="5" s="1"/>
  <c r="AK2" i="13"/>
  <c r="G39" i="5" s="1"/>
  <c r="AO2" i="13"/>
  <c r="G44" i="5" s="1"/>
  <c r="G44" i="3" s="1"/>
  <c r="BL2" i="12"/>
  <c r="G61" i="4" s="1"/>
  <c r="G61" i="2" s="1"/>
  <c r="Q2" i="12"/>
  <c r="G19" i="4" s="1"/>
  <c r="H54" i="4"/>
  <c r="H54" i="2" s="1"/>
  <c r="E2" i="12"/>
  <c r="G7" i="4" s="1"/>
  <c r="G7" i="2" s="1"/>
  <c r="AJ2" i="12"/>
  <c r="G38" i="4" s="1"/>
  <c r="G38" i="2" s="1"/>
  <c r="Y2" i="12"/>
  <c r="G27" i="4" s="1"/>
  <c r="G27" i="2" s="1"/>
  <c r="BJ2" i="12"/>
  <c r="G73" i="4" s="1"/>
  <c r="G72" i="2" s="1"/>
  <c r="AA2" i="12"/>
  <c r="G29" i="4" s="1"/>
  <c r="G29" i="2" s="1"/>
  <c r="X2" i="12"/>
  <c r="G26" i="4" s="1"/>
  <c r="G26" i="2" s="1"/>
  <c r="D2" i="12"/>
  <c r="G6" i="4" s="1"/>
  <c r="BF2" i="12"/>
  <c r="G72" i="4" s="1"/>
  <c r="G71" i="2" s="1"/>
  <c r="H2" i="12"/>
  <c r="G10" i="4" s="1"/>
  <c r="G10" i="2" s="1"/>
  <c r="BB2" i="12"/>
  <c r="G57" i="4" s="1"/>
  <c r="G57" i="2" s="1"/>
  <c r="Q2" i="13"/>
  <c r="G19" i="5" s="1"/>
  <c r="Z2" i="13"/>
  <c r="G28" i="5" s="1"/>
  <c r="AI2" i="13"/>
  <c r="G37" i="5" s="1"/>
  <c r="AZ2" i="13"/>
  <c r="G55" i="5" s="1"/>
  <c r="BN2" i="13"/>
  <c r="G73" i="5" s="1"/>
  <c r="G72" i="3" s="1"/>
  <c r="BP2" i="13"/>
  <c r="G66" i="5" s="1"/>
  <c r="BR2" i="13"/>
  <c r="G67" i="5" s="1"/>
  <c r="G2" i="12"/>
  <c r="G9" i="4" s="1"/>
  <c r="AC2" i="12"/>
  <c r="G31" i="4" s="1"/>
  <c r="J2" i="12"/>
  <c r="G12" i="4" s="1"/>
  <c r="BK2" i="13"/>
  <c r="G71" i="5" s="1"/>
  <c r="G70" i="3" s="1"/>
  <c r="C2" i="13"/>
  <c r="G5" i="5" s="1"/>
  <c r="E2" i="13"/>
  <c r="G7" i="5" s="1"/>
  <c r="F2" i="13"/>
  <c r="G8" i="5" s="1"/>
  <c r="G2" i="13"/>
  <c r="G9" i="5" s="1"/>
  <c r="H17" i="4"/>
  <c r="H17" i="2" s="1"/>
  <c r="F17" i="4"/>
  <c r="C17" i="2"/>
  <c r="F17" i="2" s="1"/>
  <c r="U2" i="12"/>
  <c r="G23" i="4" s="1"/>
  <c r="BO2" i="12"/>
  <c r="G64" i="4" s="1"/>
  <c r="AL2" i="12"/>
  <c r="G41" i="4" s="1"/>
  <c r="AO2" i="12"/>
  <c r="S2" i="12"/>
  <c r="G21" i="4" s="1"/>
  <c r="T2" i="12"/>
  <c r="G22" i="4" s="1"/>
  <c r="W2" i="12"/>
  <c r="G25" i="4" s="1"/>
  <c r="BN2" i="12"/>
  <c r="G62" i="4" s="1"/>
  <c r="F18" i="4"/>
  <c r="C18" i="2"/>
  <c r="F18" i="2" s="1"/>
  <c r="AG2" i="12"/>
  <c r="G35" i="4" s="1"/>
  <c r="AY2" i="12"/>
  <c r="G53" i="4" s="1"/>
  <c r="AB2" i="12"/>
  <c r="G30" i="4" s="1"/>
  <c r="J2" i="13"/>
  <c r="G12" i="5" s="1"/>
  <c r="T2" i="13"/>
  <c r="G22" i="5" s="1"/>
  <c r="U2" i="13"/>
  <c r="G23" i="5" s="1"/>
  <c r="X2" i="13"/>
  <c r="G26" i="5" s="1"/>
  <c r="AT2" i="12"/>
  <c r="G49" i="4" s="1"/>
  <c r="AI2" i="12"/>
  <c r="G37" i="4" s="1"/>
  <c r="AM2" i="12"/>
  <c r="G42" i="4" s="1"/>
  <c r="R2" i="12"/>
  <c r="G20" i="4" s="1"/>
  <c r="BK2" i="12"/>
  <c r="G70" i="4" s="1"/>
  <c r="G69" i="2" s="1"/>
  <c r="AK2" i="12"/>
  <c r="G39" i="4" s="1"/>
  <c r="Z2" i="12"/>
  <c r="G28" i="4" s="1"/>
  <c r="AQ2" i="12"/>
  <c r="G47" i="4" s="1"/>
  <c r="AR2" i="12"/>
  <c r="G46" i="4" s="1"/>
  <c r="AV2" i="12"/>
  <c r="G51" i="4" s="1"/>
  <c r="O2" i="13"/>
  <c r="G17" i="5" s="1"/>
  <c r="BC2" i="12"/>
  <c r="G58" i="4" s="1"/>
  <c r="BD2" i="12"/>
  <c r="G59" i="4" s="1"/>
  <c r="BG2" i="12"/>
  <c r="G71" i="4" s="1"/>
  <c r="G70" i="2" s="1"/>
  <c r="P2" i="13"/>
  <c r="G18" i="5" s="1"/>
  <c r="AB2" i="13"/>
  <c r="G30" i="5" s="1"/>
  <c r="G36" i="5"/>
  <c r="AR2" i="13"/>
  <c r="G47" i="5"/>
  <c r="AT2" i="13"/>
  <c r="G50" i="5" s="1"/>
  <c r="AU2" i="13"/>
  <c r="G49" i="5" s="1"/>
  <c r="AV2" i="13"/>
  <c r="G51" i="5" s="1"/>
  <c r="AW2" i="13"/>
  <c r="G52" i="5" s="1"/>
  <c r="AY2" i="13"/>
  <c r="G54" i="5" s="1"/>
  <c r="AS2" i="12"/>
  <c r="G48" i="4" s="1"/>
  <c r="V2" i="12"/>
  <c r="G24" i="4" s="1"/>
  <c r="BP2" i="12"/>
  <c r="G65" i="4" s="1"/>
  <c r="BE2" i="12"/>
  <c r="G60" i="4" s="1"/>
  <c r="BM2" i="12"/>
  <c r="G63" i="4" s="1"/>
  <c r="BQ2" i="12"/>
  <c r="G66" i="4" s="1"/>
  <c r="BQ2" i="13"/>
  <c r="G65" i="5" s="1"/>
  <c r="AX2" i="12"/>
  <c r="G52" i="4" s="1"/>
  <c r="AZ2" i="12"/>
  <c r="G55" i="4" s="1"/>
  <c r="BA2" i="12"/>
  <c r="G56" i="4" s="1"/>
  <c r="H50" i="4"/>
  <c r="H50" i="2" s="1"/>
  <c r="G43" i="5"/>
  <c r="BA2" i="13"/>
  <c r="G57" i="5" s="1"/>
  <c r="BB2" i="13"/>
  <c r="G56" i="5" s="1"/>
  <c r="BF2" i="13"/>
  <c r="G61" i="5" s="1"/>
  <c r="BG2" i="13"/>
  <c r="G62" i="5" s="1"/>
  <c r="BH2" i="13"/>
  <c r="G63" i="5" s="1"/>
  <c r="BI2" i="13"/>
  <c r="G75" i="5" s="1"/>
  <c r="G74" i="3" s="1"/>
  <c r="BJ2" i="13"/>
  <c r="G74" i="5" s="1"/>
  <c r="G73" i="3" s="1"/>
  <c r="BI2" i="12"/>
  <c r="G69" i="4" s="1"/>
  <c r="G68" i="2" s="1"/>
  <c r="AH2" i="12"/>
  <c r="G36" i="4" s="1"/>
  <c r="L2" i="12"/>
  <c r="G14" i="4" s="1"/>
  <c r="P2" i="12"/>
  <c r="G18" i="4" s="1"/>
  <c r="G18" i="2" s="1"/>
  <c r="BH2" i="12"/>
  <c r="G68" i="4" s="1"/>
  <c r="G67" i="2" s="1"/>
  <c r="C2" i="12"/>
  <c r="G5" i="4" s="1"/>
  <c r="F2" i="12"/>
  <c r="G8" i="4" s="1"/>
  <c r="H25" i="5" l="1"/>
  <c r="H25" i="3" s="1"/>
  <c r="H6" i="5"/>
  <c r="H6" i="3" s="1"/>
  <c r="H64" i="5"/>
  <c r="H64" i="3" s="1"/>
  <c r="H10" i="5"/>
  <c r="H10" i="3" s="1"/>
  <c r="H14" i="5"/>
  <c r="H14" i="3" s="1"/>
  <c r="G32" i="3"/>
  <c r="H35" i="5"/>
  <c r="H35" i="3" s="1"/>
  <c r="H58" i="5"/>
  <c r="H58" i="3" s="1"/>
  <c r="H44" i="5"/>
  <c r="H44" i="3" s="1"/>
  <c r="H59" i="5"/>
  <c r="H59" i="3" s="1"/>
  <c r="H16" i="5"/>
  <c r="H16" i="3" s="1"/>
  <c r="H33" i="5"/>
  <c r="H33" i="3" s="1"/>
  <c r="H20" i="5"/>
  <c r="H20" i="3" s="1"/>
  <c r="G29" i="3"/>
  <c r="H13" i="5"/>
  <c r="H13" i="3" s="1"/>
  <c r="H40" i="5"/>
  <c r="H40" i="3" s="1"/>
  <c r="H15" i="5"/>
  <c r="H15" i="3" s="1"/>
  <c r="H60" i="5"/>
  <c r="H60" i="3" s="1"/>
  <c r="H21" i="5"/>
  <c r="H21" i="3" s="1"/>
  <c r="G27" i="3"/>
  <c r="H27" i="5"/>
  <c r="H27" i="3" s="1"/>
  <c r="G31" i="3"/>
  <c r="H31" i="5"/>
  <c r="H31" i="3" s="1"/>
  <c r="G24" i="3"/>
  <c r="H24" i="5"/>
  <c r="H24" i="3" s="1"/>
  <c r="G69" i="3"/>
  <c r="H69" i="5"/>
  <c r="H69" i="3" s="1"/>
  <c r="G38" i="3"/>
  <c r="H38" i="5"/>
  <c r="H38" i="3" s="1"/>
  <c r="G68" i="3"/>
  <c r="H68" i="5"/>
  <c r="H68" i="3" s="1"/>
  <c r="H41" i="5"/>
  <c r="H41" i="3" s="1"/>
  <c r="G45" i="3"/>
  <c r="H45" i="5"/>
  <c r="H45" i="3" s="1"/>
  <c r="G39" i="3"/>
  <c r="H39" i="5"/>
  <c r="H39" i="3" s="1"/>
  <c r="H61" i="4"/>
  <c r="H61" i="2" s="1"/>
  <c r="H11" i="4"/>
  <c r="H11" i="2" s="1"/>
  <c r="H38" i="4"/>
  <c r="H38" i="2" s="1"/>
  <c r="H7" i="4"/>
  <c r="H7" i="2" s="1"/>
  <c r="H57" i="4"/>
  <c r="H57" i="2" s="1"/>
  <c r="H33" i="4"/>
  <c r="H33" i="2" s="1"/>
  <c r="H34" i="4"/>
  <c r="H34" i="2" s="1"/>
  <c r="H26" i="4"/>
  <c r="H26" i="2" s="1"/>
  <c r="H27" i="4"/>
  <c r="H27" i="2" s="1"/>
  <c r="H10" i="4"/>
  <c r="H10" i="2" s="1"/>
  <c r="H29" i="4"/>
  <c r="H29" i="2" s="1"/>
  <c r="G6" i="2"/>
  <c r="H6" i="4"/>
  <c r="H6" i="2" s="1"/>
  <c r="G56" i="3"/>
  <c r="H56" i="5"/>
  <c r="H56" i="3" s="1"/>
  <c r="G46" i="2"/>
  <c r="H46" i="4"/>
  <c r="H46" i="2" s="1"/>
  <c r="G55" i="3"/>
  <c r="H55" i="5"/>
  <c r="H55" i="3" s="1"/>
  <c r="G51" i="3"/>
  <c r="H51" i="5"/>
  <c r="H51" i="3" s="1"/>
  <c r="G39" i="2"/>
  <c r="H39" i="4"/>
  <c r="H39" i="2" s="1"/>
  <c r="G9" i="2"/>
  <c r="H9" i="4"/>
  <c r="H9" i="2" s="1"/>
  <c r="G62" i="3"/>
  <c r="H62" i="5"/>
  <c r="H62" i="3" s="1"/>
  <c r="G55" i="2"/>
  <c r="H55" i="4"/>
  <c r="H55" i="2" s="1"/>
  <c r="G65" i="2"/>
  <c r="H65" i="4"/>
  <c r="H65" i="2" s="1"/>
  <c r="G50" i="3"/>
  <c r="H50" i="5"/>
  <c r="H50" i="3" s="1"/>
  <c r="G17" i="3"/>
  <c r="H17" i="5"/>
  <c r="H17" i="3" s="1"/>
  <c r="G20" i="2"/>
  <c r="H20" i="4"/>
  <c r="H20" i="2" s="1"/>
  <c r="G12" i="3"/>
  <c r="H12" i="5"/>
  <c r="H12" i="3" s="1"/>
  <c r="G25" i="2"/>
  <c r="H25" i="4"/>
  <c r="H25" i="2" s="1"/>
  <c r="G66" i="3"/>
  <c r="H66" i="5"/>
  <c r="H66" i="3" s="1"/>
  <c r="G37" i="2"/>
  <c r="H37" i="4"/>
  <c r="H37" i="2" s="1"/>
  <c r="G5" i="2"/>
  <c r="H5" i="4"/>
  <c r="H5" i="2" s="1"/>
  <c r="G23" i="3"/>
  <c r="H23" i="5"/>
  <c r="H23" i="3" s="1"/>
  <c r="G23" i="2"/>
  <c r="H23" i="4"/>
  <c r="H23" i="2" s="1"/>
  <c r="G63" i="3"/>
  <c r="H63" i="5"/>
  <c r="H63" i="3" s="1"/>
  <c r="G60" i="2"/>
  <c r="H60" i="4"/>
  <c r="H60" i="2" s="1"/>
  <c r="G14" i="2"/>
  <c r="H14" i="4"/>
  <c r="H14" i="2" s="1"/>
  <c r="G61" i="3"/>
  <c r="H61" i="5"/>
  <c r="H61" i="3" s="1"/>
  <c r="G56" i="2"/>
  <c r="H56" i="4"/>
  <c r="H56" i="2" s="1"/>
  <c r="G40" i="2"/>
  <c r="H40" i="4"/>
  <c r="H40" i="2" s="1"/>
  <c r="G24" i="2"/>
  <c r="H24" i="4"/>
  <c r="H24" i="2" s="1"/>
  <c r="G47" i="3"/>
  <c r="H47" i="5"/>
  <c r="H47" i="3" s="1"/>
  <c r="G51" i="2"/>
  <c r="H51" i="4"/>
  <c r="H51" i="2" s="1"/>
  <c r="G42" i="2"/>
  <c r="H42" i="4"/>
  <c r="H42" i="2" s="1"/>
  <c r="G30" i="2"/>
  <c r="H30" i="4"/>
  <c r="H30" i="2" s="1"/>
  <c r="G22" i="2"/>
  <c r="H22" i="4"/>
  <c r="H22" i="2" s="1"/>
  <c r="G37" i="3"/>
  <c r="H37" i="5"/>
  <c r="H37" i="3" s="1"/>
  <c r="G48" i="2"/>
  <c r="H48" i="4"/>
  <c r="H48" i="2" s="1"/>
  <c r="G53" i="2"/>
  <c r="H53" i="4"/>
  <c r="H53" i="2" s="1"/>
  <c r="G28" i="3"/>
  <c r="H28" i="5"/>
  <c r="H28" i="3" s="1"/>
  <c r="G57" i="3"/>
  <c r="H57" i="5"/>
  <c r="H57" i="3" s="1"/>
  <c r="G65" i="3"/>
  <c r="H65" i="5"/>
  <c r="H65" i="3" s="1"/>
  <c r="G36" i="3"/>
  <c r="H36" i="5"/>
  <c r="H36" i="3" s="1"/>
  <c r="G58" i="2"/>
  <c r="H58" i="4"/>
  <c r="H58" i="2" s="1"/>
  <c r="G47" i="2"/>
  <c r="H47" i="4"/>
  <c r="H47" i="2" s="1"/>
  <c r="G15" i="2"/>
  <c r="H15" i="4"/>
  <c r="H15" i="2" s="1"/>
  <c r="G35" i="2"/>
  <c r="H35" i="4"/>
  <c r="H35" i="2" s="1"/>
  <c r="G43" i="4"/>
  <c r="G45" i="4"/>
  <c r="G11" i="3"/>
  <c r="H11" i="5"/>
  <c r="H11" i="3" s="1"/>
  <c r="G13" i="2"/>
  <c r="H13" i="4"/>
  <c r="H13" i="2" s="1"/>
  <c r="G19" i="3"/>
  <c r="H19" i="5"/>
  <c r="H19" i="3" s="1"/>
  <c r="G52" i="2"/>
  <c r="H52" i="4"/>
  <c r="H52" i="2" s="1"/>
  <c r="G16" i="2"/>
  <c r="H16" i="4"/>
  <c r="H16" i="2" s="1"/>
  <c r="G54" i="3"/>
  <c r="H54" i="5"/>
  <c r="H54" i="3" s="1"/>
  <c r="G30" i="3"/>
  <c r="H30" i="5"/>
  <c r="H30" i="3" s="1"/>
  <c r="G32" i="2"/>
  <c r="H32" i="4"/>
  <c r="H32" i="2" s="1"/>
  <c r="G19" i="2"/>
  <c r="H19" i="4"/>
  <c r="H19" i="2" s="1"/>
  <c r="G49" i="2"/>
  <c r="H49" i="4"/>
  <c r="H49" i="2" s="1"/>
  <c r="G41" i="2"/>
  <c r="H41" i="4"/>
  <c r="H41" i="2" s="1"/>
  <c r="G9" i="3"/>
  <c r="H9" i="5"/>
  <c r="H9" i="3" s="1"/>
  <c r="G12" i="2"/>
  <c r="H12" i="4"/>
  <c r="H12" i="2" s="1"/>
  <c r="G36" i="2"/>
  <c r="H36" i="4"/>
  <c r="H36" i="2" s="1"/>
  <c r="G59" i="2"/>
  <c r="H59" i="4"/>
  <c r="H59" i="2" s="1"/>
  <c r="G43" i="3"/>
  <c r="H43" i="5"/>
  <c r="H43" i="3" s="1"/>
  <c r="G66" i="2"/>
  <c r="H66" i="4"/>
  <c r="H66" i="2" s="1"/>
  <c r="G8" i="2"/>
  <c r="H8" i="4"/>
  <c r="H8" i="2" s="1"/>
  <c r="G63" i="2"/>
  <c r="H63" i="4"/>
  <c r="H63" i="2" s="1"/>
  <c r="G52" i="3"/>
  <c r="H52" i="5"/>
  <c r="H52" i="3" s="1"/>
  <c r="G28" i="2"/>
  <c r="H28" i="4"/>
  <c r="H28" i="2" s="1"/>
  <c r="G26" i="3"/>
  <c r="H26" i="5"/>
  <c r="H26" i="3" s="1"/>
  <c r="H18" i="4"/>
  <c r="H18" i="2" s="1"/>
  <c r="G64" i="2"/>
  <c r="H64" i="4"/>
  <c r="H64" i="2" s="1"/>
  <c r="G8" i="3"/>
  <c r="H8" i="5"/>
  <c r="H8" i="3" s="1"/>
  <c r="G31" i="2"/>
  <c r="H31" i="4"/>
  <c r="H31" i="2" s="1"/>
  <c r="G48" i="5"/>
  <c r="G46" i="5"/>
  <c r="G21" i="2"/>
  <c r="H21" i="4"/>
  <c r="H21" i="2" s="1"/>
  <c r="G44" i="2"/>
  <c r="H44" i="4"/>
  <c r="H44" i="2" s="1"/>
  <c r="G7" i="3"/>
  <c r="H7" i="5"/>
  <c r="H7" i="3" s="1"/>
  <c r="G49" i="3"/>
  <c r="H49" i="5"/>
  <c r="H49" i="3" s="1"/>
  <c r="G18" i="3"/>
  <c r="H18" i="5"/>
  <c r="H18" i="3" s="1"/>
  <c r="G22" i="3"/>
  <c r="H22" i="5"/>
  <c r="H22" i="3" s="1"/>
  <c r="G62" i="2"/>
  <c r="H62" i="4"/>
  <c r="H62" i="2" s="1"/>
  <c r="G5" i="3"/>
  <c r="H5" i="5"/>
  <c r="H5" i="3" s="1"/>
  <c r="G67" i="3"/>
  <c r="H67" i="5"/>
  <c r="H67" i="3" s="1"/>
  <c r="G34" i="3"/>
  <c r="H34" i="5"/>
  <c r="H34" i="3" s="1"/>
  <c r="G45" i="2" l="1"/>
  <c r="H45" i="4"/>
  <c r="H45" i="2" s="1"/>
  <c r="G46" i="3"/>
  <c r="H46" i="5"/>
  <c r="H46" i="3" s="1"/>
  <c r="G48" i="3"/>
  <c r="H48" i="5"/>
  <c r="H48" i="3" s="1"/>
  <c r="G43" i="2"/>
  <c r="H43" i="4"/>
  <c r="H4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00000000-0006-0000-0500-000001000000}">
      <text>
        <r>
          <rPr>
            <b/>
            <sz val="9"/>
            <color rgb="FF000000"/>
            <rFont val="돋움"/>
            <family val="3"/>
            <charset val="129"/>
          </rPr>
          <t>수정하지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마세요</t>
        </r>
      </text>
    </comment>
    <comment ref="E3" authorId="0" shapeId="0" xr:uid="{00000000-0006-0000-0500-000002000000}">
      <text>
        <r>
          <rPr>
            <b/>
            <sz val="9"/>
            <color rgb="FF000000"/>
            <rFont val="돋움"/>
            <family val="3"/>
            <charset val="129"/>
          </rPr>
          <t>여기부터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가로로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학생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입력하세요</t>
        </r>
      </text>
    </comment>
    <comment ref="C61" authorId="0" shapeId="0" xr:uid="{00000000-0006-0000-0500-000003000000}">
      <text>
        <r>
          <rPr>
            <b/>
            <sz val="9"/>
            <color rgb="FF000000"/>
            <rFont val="굴림"/>
            <family val="3"/>
            <charset val="129"/>
          </rPr>
          <t xml:space="preserve">한국체대는 1단계 기준점로 입력하세요.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00000000-0006-0000-0600-000001000000}">
      <text>
        <r>
          <rPr>
            <b/>
            <sz val="9"/>
            <color rgb="FF000000"/>
            <rFont val="돋움"/>
            <family val="3"/>
            <charset val="129"/>
          </rPr>
          <t>수정하지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마세요</t>
        </r>
      </text>
    </comment>
    <comment ref="E3" authorId="0" shapeId="0" xr:uid="{00000000-0006-0000-0600-000002000000}">
      <text>
        <r>
          <rPr>
            <b/>
            <sz val="9"/>
            <color rgb="FF000000"/>
            <rFont val="돋움"/>
            <family val="3"/>
            <charset val="129"/>
          </rPr>
          <t>여기부터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가로로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학생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입력하세요</t>
        </r>
      </text>
    </comment>
    <comment ref="G61" authorId="0" shapeId="0" xr:uid="{7E516ED8-4376-44FD-ACBF-A541266F9B59}">
      <text>
        <r>
          <rPr>
            <b/>
            <sz val="9"/>
            <color rgb="FF000000"/>
            <rFont val="굴림"/>
            <family val="3"/>
            <charset val="129"/>
          </rPr>
          <t xml:space="preserve">한국체대는 1단계 기준점로 입력하세요.
</t>
        </r>
      </text>
    </comment>
    <comment ref="C63" authorId="0" shapeId="0" xr:uid="{00000000-0006-0000-0600-000003000000}">
      <text>
        <r>
          <rPr>
            <b/>
            <sz val="9"/>
            <color rgb="FF000000"/>
            <rFont val="굴림"/>
            <family val="3"/>
            <charset val="129"/>
          </rPr>
          <t>한국체대는 1단계 점수로 입력하세요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황규훈</author>
  </authors>
  <commentList>
    <comment ref="B3" authorId="0" shapeId="0" xr:uid="{00000000-0006-0000-0700-000001000000}">
      <text>
        <r>
          <rPr>
            <b/>
            <sz val="9"/>
            <color rgb="FF000000"/>
            <rFont val="돋움"/>
            <family val="3"/>
            <charset val="129"/>
          </rPr>
          <t>여기부터 가로로 학생입력하세요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황규훈</author>
  </authors>
  <commentList>
    <comment ref="B3" authorId="0" shapeId="0" xr:uid="{00000000-0006-0000-0800-000001000000}">
      <text>
        <r>
          <rPr>
            <b/>
            <sz val="9"/>
            <color rgb="FF000000"/>
            <rFont val="돋움"/>
            <family val="3"/>
            <charset val="129"/>
          </rPr>
          <t>여기부터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가로로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학생입력하세요</t>
        </r>
      </text>
    </comment>
  </commentList>
</comments>
</file>

<file path=xl/sharedStrings.xml><?xml version="1.0" encoding="utf-8"?>
<sst xmlns="http://schemas.openxmlformats.org/spreadsheetml/2006/main" count="2529" uniqueCount="863">
  <si>
    <r>
      <t>학생상담(남)/(여) 시트 상담학생칸 이름 콤보박스에서 상담 학생을 선택합니다.</t>
    </r>
    <r>
      <rPr>
        <b/>
        <sz val="12"/>
        <color rgb="FFFF0000"/>
        <rFont val="맑은 고딕"/>
        <family val="3"/>
        <charset val="129"/>
      </rPr>
      <t>[상담학생의 성별에 맞는 시트를 클릭합니다.]</t>
    </r>
  </si>
  <si>
    <r>
      <t>개인실기(남)/(여) 시트에서 상담학생 이름과 실기 기록을 입력합니다.</t>
    </r>
    <r>
      <rPr>
        <b/>
        <sz val="12"/>
        <color rgb="FFFF0000"/>
        <rFont val="맑은 고딕"/>
        <family val="3"/>
        <charset val="129"/>
      </rPr>
      <t>[반드시 성별을 구분하여 입력하여야 합니다.]</t>
    </r>
  </si>
  <si>
    <r>
      <t>내신(남)/(여) 시트에 상담학생 이름과 내신성적을 입력합니다.</t>
    </r>
    <r>
      <rPr>
        <b/>
        <sz val="12"/>
        <color rgb="FFFF0000"/>
        <rFont val="맑은 고딕"/>
        <family val="3"/>
        <charset val="129"/>
      </rPr>
      <t>[반드시 성별을 구분하여 입력하여야 합니다.]</t>
    </r>
  </si>
  <si>
    <t>배구(단국대)</t>
  </si>
  <si>
    <t>제멀 강화</t>
  </si>
  <si>
    <t>25년신설</t>
  </si>
  <si>
    <t>용인대체육</t>
  </si>
  <si>
    <t>좌전굴농던폐지</t>
  </si>
  <si>
    <t>용인대 체육</t>
  </si>
  <si>
    <t>20미 2급간</t>
  </si>
  <si>
    <t>남자 4급간</t>
  </si>
  <si>
    <t>제멀 2급간</t>
  </si>
  <si>
    <t>매던 신설</t>
  </si>
  <si>
    <t>여자 5급간</t>
  </si>
  <si>
    <t>남자 3급간</t>
  </si>
  <si>
    <t>68에서 63</t>
  </si>
  <si>
    <t>강남대 체육</t>
  </si>
  <si>
    <t>여자 7급간</t>
  </si>
  <si>
    <t>25신설</t>
  </si>
  <si>
    <t>75에서 70</t>
  </si>
  <si>
    <t>용인대
체육</t>
  </si>
  <si>
    <t>20미 강화</t>
  </si>
  <si>
    <t>단국대체교</t>
  </si>
  <si>
    <t>남자 5급간</t>
  </si>
  <si>
    <t xml:space="preserve">24년 </t>
  </si>
  <si>
    <t>남자만 강화</t>
  </si>
  <si>
    <t>2급간강화</t>
  </si>
  <si>
    <t xml:space="preserve">여자제멀 </t>
  </si>
  <si>
    <t>24년 신설</t>
  </si>
  <si>
    <t>여자 6급간</t>
  </si>
  <si>
    <t>24년 레저</t>
  </si>
  <si>
    <t>여자 4급간</t>
  </si>
  <si>
    <t>면접 중요</t>
  </si>
  <si>
    <t>24년특체</t>
  </si>
  <si>
    <t>9.91~10.1</t>
  </si>
  <si>
    <t>9.71~9.9</t>
  </si>
  <si>
    <t>제멀 270/280</t>
  </si>
  <si>
    <t>서원대
헬스케어운동</t>
  </si>
  <si>
    <t>윗몸폐지 73개만점</t>
  </si>
  <si>
    <t>149.9~140</t>
  </si>
  <si>
    <t>안양대 스포츠자율전공</t>
  </si>
  <si>
    <t>대진대 스포츠겅강과학</t>
  </si>
  <si>
    <t>상명대 스포츠건강</t>
  </si>
  <si>
    <t>단국대 체육교육</t>
  </si>
  <si>
    <t>대전대 스포츠건강재활</t>
  </si>
  <si>
    <t>대전대 스포츠운동과학</t>
  </si>
  <si>
    <t>24년
충원합격</t>
  </si>
  <si>
    <t>2025
모집정원</t>
  </si>
  <si>
    <t>25년
모집정원</t>
  </si>
  <si>
    <t>10m(단국대)</t>
  </si>
  <si>
    <t>2024
충원합격</t>
  </si>
  <si>
    <t>제멀 각5cm 상승</t>
  </si>
  <si>
    <t>상명대
스포츠건강</t>
  </si>
  <si>
    <t>24년 윗몸페지</t>
  </si>
  <si>
    <t>윗몸폐지 메던 신설</t>
  </si>
  <si>
    <t>스포츠앤테크놀러지</t>
  </si>
  <si>
    <t>윗몸페지 농구신설</t>
  </si>
  <si>
    <t>여자사스 1개 상승</t>
  </si>
  <si>
    <t>169.9~160</t>
  </si>
  <si>
    <t>24년 만점기준</t>
  </si>
  <si>
    <t>11.11~11.3</t>
  </si>
  <si>
    <t>8.51~8.7</t>
  </si>
  <si>
    <t>안양대 스포츠지도</t>
  </si>
  <si>
    <t>1단계
90%점수</t>
  </si>
  <si>
    <t>2023
모집정원</t>
  </si>
  <si>
    <t>제자리멀리뛰기(cm)</t>
  </si>
  <si>
    <t>20년
충원합격</t>
  </si>
  <si>
    <t>23년 만점기준 강화</t>
  </si>
  <si>
    <t>23년
충원합격</t>
  </si>
  <si>
    <t>19년
충원합격</t>
  </si>
  <si>
    <t>여 0.3초 강화</t>
  </si>
  <si>
    <t>제멀만점기준 강화</t>
  </si>
  <si>
    <t>219.9~210</t>
  </si>
  <si>
    <t>제멀 여 5cm강화</t>
  </si>
  <si>
    <t>남서울대
스포츠건강</t>
  </si>
  <si>
    <t>8.71~8.9</t>
  </si>
  <si>
    <t>경기대 스포츠과학</t>
  </si>
  <si>
    <t>21년
모집정원</t>
  </si>
  <si>
    <t>한남대 스포츠과학</t>
  </si>
  <si>
    <t>합격자하위
실기점수</t>
  </si>
  <si>
    <t>21년
충원합격</t>
  </si>
  <si>
    <t>상명대
(천)스산</t>
  </si>
  <si>
    <t>합격자평균
실기점수</t>
  </si>
  <si>
    <t>10미 완화 3급간</t>
  </si>
  <si>
    <t>목원대 스포츠건강관리</t>
  </si>
  <si>
    <t>20m 0.2초 강화</t>
  </si>
  <si>
    <t>22년
충원합격</t>
  </si>
  <si>
    <t>을지대 스포츠아웃도어</t>
  </si>
  <si>
    <t>20년
모집정원</t>
  </si>
  <si>
    <t>9.11~9.3</t>
  </si>
  <si>
    <t>대전대
생활체육</t>
  </si>
  <si>
    <t>279.9~270</t>
  </si>
  <si>
    <t>9.51~9.7</t>
  </si>
  <si>
    <t>대전대
건강운동관리</t>
  </si>
  <si>
    <t>249.9~240</t>
  </si>
  <si>
    <t>윗몸 폐지 정시 폐지</t>
  </si>
  <si>
    <t>윗몸 70에서 67로</t>
  </si>
  <si>
    <t>중부대 특수체육교육</t>
  </si>
  <si>
    <t>배구(한국체대)</t>
  </si>
  <si>
    <t>10.71~10.9</t>
  </si>
  <si>
    <t>199.9~190</t>
  </si>
  <si>
    <t>10.11~10.3</t>
  </si>
  <si>
    <t>20점 자연 감소</t>
  </si>
  <si>
    <t>선문대
피트니스</t>
  </si>
  <si>
    <t>2023
충원합격</t>
  </si>
  <si>
    <t xml:space="preserve">종목만점 200점 </t>
  </si>
  <si>
    <t>179.9~170</t>
  </si>
  <si>
    <t>남 0.4초 강화</t>
  </si>
  <si>
    <t>중부대 스포츠건강</t>
  </si>
  <si>
    <t>(기록-최저기준)*</t>
  </si>
  <si>
    <t>숙명여대
체육교육</t>
  </si>
  <si>
    <t>159.9~150</t>
  </si>
  <si>
    <t>22년
모집정원</t>
  </si>
  <si>
    <t>중원대 스포츠산업</t>
  </si>
  <si>
    <t>여학생 유리해짐</t>
  </si>
  <si>
    <t>8.91~9.1</t>
  </si>
  <si>
    <t>269.9~260</t>
  </si>
  <si>
    <t>(최고점수-최저점수)</t>
  </si>
  <si>
    <t>209.9~200</t>
  </si>
  <si>
    <t>상명대 스포츠융합</t>
  </si>
  <si>
    <t>서원대 헬스케어운동</t>
  </si>
  <si>
    <t>229.9~220</t>
  </si>
  <si>
    <t>189.9~180</t>
  </si>
  <si>
    <t>선문대
스포츠과학</t>
  </si>
  <si>
    <t>24년
모집정원</t>
  </si>
  <si>
    <t>단국대
생활체육</t>
  </si>
  <si>
    <t>여자 2급간 강화</t>
  </si>
  <si>
    <t>종목별 만점점수 변화</t>
  </si>
  <si>
    <t>윗몸 25에서 30</t>
  </si>
  <si>
    <t>배근력 매던 신설</t>
  </si>
  <si>
    <t>만점기준변경완화</t>
  </si>
  <si>
    <t>왕복 20에서 25</t>
  </si>
  <si>
    <t>제멀 25에서 35</t>
  </si>
  <si>
    <t>24년 20미 강화</t>
  </si>
  <si>
    <t>만점기준 대폭 강화</t>
  </si>
  <si>
    <t>24년 여자제멀</t>
  </si>
  <si>
    <t>제멀 강화{남자만)</t>
  </si>
  <si>
    <t xml:space="preserve"> 241에서 231</t>
  </si>
  <si>
    <t>중부대 스포츠재활복지</t>
  </si>
  <si>
    <t>인천대 스포츠과학</t>
  </si>
  <si>
    <t>한국교통대 스포츠의학</t>
  </si>
  <si>
    <t>경사윗몸//윗몸</t>
  </si>
  <si>
    <t>순천향대
스포츠과학</t>
  </si>
  <si>
    <t>제멀만점기준강화</t>
  </si>
  <si>
    <t>원광대 스포츠과학</t>
  </si>
  <si>
    <t>지그재그런(15*8)</t>
  </si>
  <si>
    <t>인천대 체육교육</t>
  </si>
  <si>
    <t>순천향대 스포츠의학</t>
  </si>
  <si>
    <t>호서대 사회체육</t>
  </si>
  <si>
    <t>성결대 체육교육</t>
  </si>
  <si>
    <t>순천향대 스포츠과학</t>
  </si>
  <si>
    <t>동국대 체육교육</t>
  </si>
  <si>
    <t>관동대
체육교육</t>
  </si>
  <si>
    <t>한서대 경호비서</t>
  </si>
  <si>
    <t>22년 25m 폐지</t>
  </si>
  <si>
    <t>한국체대 노인체육복지</t>
  </si>
  <si>
    <t>21년 윗몸미실시</t>
  </si>
  <si>
    <t>원광대 체육교육</t>
  </si>
  <si>
    <t>한국체대
운동건강</t>
  </si>
  <si>
    <t>600점에서 800점</t>
  </si>
  <si>
    <t>숙명여대 체육교육</t>
  </si>
  <si>
    <t>강남대 스포츠복지</t>
  </si>
  <si>
    <t>한국체대 사회체육</t>
  </si>
  <si>
    <t>선문대 스포츠과학전공</t>
  </si>
  <si>
    <t>한신대 특수체육</t>
  </si>
  <si>
    <t>건국대 스포츠건강전공</t>
  </si>
  <si>
    <t>가톨릭관동대 체육교육</t>
  </si>
  <si>
    <t>한국체대 특수체육교육</t>
  </si>
  <si>
    <t>용인대
특수체교</t>
  </si>
  <si>
    <t>인천대 운동건강</t>
  </si>
  <si>
    <t>지그재그런(수원대)</t>
  </si>
  <si>
    <t>세명대 생활체육</t>
  </si>
  <si>
    <t>관동대
스포츠레저</t>
  </si>
  <si>
    <t>나사렛대 재활스포츠</t>
  </si>
  <si>
    <t>20m왕복달리기(콘)</t>
  </si>
  <si>
    <t>25m왕복달리기(콘)</t>
  </si>
  <si>
    <t>용인대 스포츠레저</t>
  </si>
  <si>
    <t>인천대
운동건강</t>
  </si>
  <si>
    <t>21년 농구폐지</t>
  </si>
  <si>
    <t>서원대 체육교육</t>
  </si>
  <si>
    <t>용인대 특수체육교육</t>
  </si>
  <si>
    <t>한국교통대 스포츠학부</t>
  </si>
  <si>
    <t>순천향대
스포츠의학</t>
  </si>
  <si>
    <t>호서대
사회체육</t>
  </si>
  <si>
    <t>합격자 
평균점수</t>
  </si>
  <si>
    <t>극동대 사회체육</t>
  </si>
  <si>
    <t>21년 절대평가 변경</t>
  </si>
  <si>
    <t>관동대 체육교육</t>
  </si>
  <si>
    <t>원광대
체육교육</t>
  </si>
  <si>
    <t>체전굴 급간기록 변경</t>
  </si>
  <si>
    <t>경기대
스포츠과학</t>
  </si>
  <si>
    <t>한국체대
특체교</t>
  </si>
  <si>
    <t>체육, 특수체육교육</t>
  </si>
  <si>
    <t>대진대
스포츠과학</t>
  </si>
  <si>
    <t>관동대
스포츠건강</t>
  </si>
  <si>
    <t>실시상위권
지원점수</t>
  </si>
  <si>
    <t>호서대 사회체육트랙</t>
  </si>
  <si>
    <t>순천향대 사회체육</t>
  </si>
  <si>
    <t>인천대
체육교육</t>
  </si>
  <si>
    <t>24년 20미 제멀 만점 강화</t>
  </si>
  <si>
    <t>24년 10미 만점 상승(0.4초)</t>
  </si>
  <si>
    <t>제멀 280/288,234/238</t>
  </si>
  <si>
    <t>종목별최하점 45//23 하락</t>
  </si>
  <si>
    <t>5cm에서 3.4cm로 급간 세분</t>
  </si>
  <si>
    <t>최소 14점 최대 16점 상승</t>
  </si>
  <si>
    <t>여자 제멀 240에서 235로</t>
  </si>
  <si>
    <t>급간환산점수 1.333점 증가</t>
  </si>
  <si>
    <t>여자배구만점 22//24 상승</t>
  </si>
  <si>
    <t>체전굴 27/28, 26/30</t>
  </si>
  <si>
    <t>22년 10m 대체 코로나 폐지</t>
  </si>
  <si>
    <t>22년 제멀 만점 강화(남여)</t>
  </si>
  <si>
    <t>25미 18.99에서 19.80</t>
  </si>
  <si>
    <t>제멀 225에서 235로 강화</t>
  </si>
  <si>
    <r>
      <t>2</t>
    </r>
    <r>
      <rPr>
        <sz val="11"/>
        <color rgb="FF000000"/>
        <rFont val="맑은 고딕"/>
        <family val="3"/>
        <charset val="129"/>
      </rPr>
      <t>4년 실기 300에서 400</t>
    </r>
  </si>
  <si>
    <r>
      <t>2</t>
    </r>
    <r>
      <rPr>
        <sz val="11"/>
        <color rgb="FF000000"/>
        <rFont val="맑은 고딕"/>
        <family val="3"/>
        <charset val="129"/>
      </rPr>
      <t>4년 사스폐지 10미신설</t>
    </r>
  </si>
  <si>
    <r>
      <t>남자 제멀</t>
    </r>
    <r>
      <rPr>
        <sz val="11"/>
        <color rgb="FF000000"/>
        <rFont val="맑은 고딕"/>
        <family val="3"/>
        <charset val="129"/>
      </rPr>
      <t xml:space="preserve"> 좌전굴 강화</t>
    </r>
  </si>
  <si>
    <r>
      <t xml:space="preserve">배그력 </t>
    </r>
    <r>
      <rPr>
        <sz val="11"/>
        <color rgb="FF000000"/>
        <rFont val="맑은 고딕"/>
        <family val="3"/>
        <charset val="129"/>
      </rPr>
      <t>140에서 120</t>
    </r>
  </si>
  <si>
    <r>
      <t xml:space="preserve">제멀 </t>
    </r>
    <r>
      <rPr>
        <sz val="11"/>
        <color rgb="FF000000"/>
        <rFont val="맑은 고딕"/>
        <family val="3"/>
        <charset val="129"/>
      </rPr>
      <t>240에서 220</t>
    </r>
  </si>
  <si>
    <r>
      <t>1</t>
    </r>
    <r>
      <rPr>
        <sz val="11"/>
        <color rgb="FF000000"/>
        <rFont val="맑은 고딕"/>
        <family val="3"/>
        <charset val="129"/>
      </rPr>
      <t>0m</t>
    </r>
  </si>
  <si>
    <r>
      <t>5</t>
    </r>
    <r>
      <rPr>
        <sz val="11"/>
        <color rgb="FF000000"/>
        <rFont val="맑은 고딕"/>
        <family val="3"/>
        <charset val="129"/>
      </rPr>
      <t>0m</t>
    </r>
  </si>
  <si>
    <r>
      <t>2</t>
    </r>
    <r>
      <rPr>
        <sz val="11"/>
        <color rgb="FF000000"/>
        <rFont val="맑은 고딕"/>
        <family val="3"/>
        <charset val="129"/>
      </rPr>
      <t>0m</t>
    </r>
  </si>
  <si>
    <t>중부대
특체교</t>
  </si>
  <si>
    <t>수원대
체육</t>
  </si>
  <si>
    <t>최저점수 50</t>
  </si>
  <si>
    <t>11.31이상</t>
  </si>
  <si>
    <t>전년 793점</t>
  </si>
  <si>
    <t xml:space="preserve">22년 배구 </t>
  </si>
  <si>
    <t>지그재그 폐지</t>
  </si>
  <si>
    <t>악천후 매던</t>
  </si>
  <si>
    <t>227/230</t>
  </si>
  <si>
    <t xml:space="preserve">을지대 </t>
  </si>
  <si>
    <t>9.5 이하</t>
  </si>
  <si>
    <t>1단계내신</t>
  </si>
  <si>
    <t>23신설</t>
  </si>
  <si>
    <t>내실기점수</t>
  </si>
  <si>
    <t>스포츠건강</t>
  </si>
  <si>
    <t>10.31이상</t>
  </si>
  <si>
    <t>핸던변경</t>
  </si>
  <si>
    <t>189.9이하</t>
  </si>
  <si>
    <t>24년 변경?</t>
  </si>
  <si>
    <t xml:space="preserve">중부대 </t>
  </si>
  <si>
    <t>139.9이하</t>
  </si>
  <si>
    <t>스포츠아웃도어</t>
  </si>
  <si>
    <t>24신설</t>
  </si>
  <si>
    <t>윗몸 신설</t>
  </si>
  <si>
    <t>윗몸폐지</t>
  </si>
  <si>
    <t>8.5 이하</t>
  </si>
  <si>
    <t>내신환산점수</t>
  </si>
  <si>
    <t>사회체육</t>
  </si>
  <si>
    <t>경기대
스포츠</t>
  </si>
  <si>
    <t>230 이상</t>
  </si>
  <si>
    <t>여자 유리</t>
  </si>
  <si>
    <t>상담학생</t>
  </si>
  <si>
    <t>극동대 체육</t>
  </si>
  <si>
    <t>20년점수</t>
  </si>
  <si>
    <t>삼육대 체육</t>
  </si>
  <si>
    <t>특수체육교육</t>
  </si>
  <si>
    <t>2021년</t>
  </si>
  <si>
    <t>경기대  체육</t>
  </si>
  <si>
    <t>경기대체육</t>
  </si>
  <si>
    <t>22신설</t>
  </si>
  <si>
    <t>280 이상</t>
  </si>
  <si>
    <t>기본점수</t>
  </si>
  <si>
    <t>100m폐지</t>
  </si>
  <si>
    <t>매디슨볼던지기</t>
  </si>
  <si>
    <t>레저스포츠</t>
  </si>
  <si>
    <t>내총점수</t>
  </si>
  <si>
    <t>동덕여대
체육</t>
  </si>
  <si>
    <t>성결대
체교</t>
  </si>
  <si>
    <t>실기변경</t>
  </si>
  <si>
    <t xml:space="preserve">22년 </t>
  </si>
  <si>
    <t>나사렛대
특체</t>
  </si>
  <si>
    <t>남서울대</t>
  </si>
  <si>
    <t>80m달리기</t>
  </si>
  <si>
    <t xml:space="preserve">25m </t>
  </si>
  <si>
    <t>체전굴폐지</t>
  </si>
  <si>
    <t>나사렛대</t>
  </si>
  <si>
    <t>제멀 신설</t>
  </si>
  <si>
    <t xml:space="preserve">10m </t>
  </si>
  <si>
    <t>기대점수</t>
  </si>
  <si>
    <t>만점기준 변경</t>
  </si>
  <si>
    <t>상지대 체육</t>
  </si>
  <si>
    <t>팔굽혀펴기</t>
  </si>
  <si>
    <t>서울여대
체육</t>
  </si>
  <si>
    <t>매달리기</t>
  </si>
  <si>
    <t>메디슨볼</t>
  </si>
  <si>
    <t>높이뛰기</t>
  </si>
  <si>
    <t>배구(관동대)</t>
  </si>
  <si>
    <t>배구(원광대)</t>
  </si>
  <si>
    <t>동국대
체교</t>
  </si>
  <si>
    <t>동덕여대 체육</t>
  </si>
  <si>
    <t>한서대
해양</t>
  </si>
  <si>
    <t>한국체대</t>
  </si>
  <si>
    <t>21년급간점수</t>
  </si>
  <si>
    <t>한서대 경호</t>
  </si>
  <si>
    <t>100m달리기</t>
  </si>
  <si>
    <t>단국대천안</t>
  </si>
  <si>
    <t>가천대 체육</t>
  </si>
  <si>
    <t>50m달리기</t>
  </si>
  <si>
    <t>종목변경</t>
  </si>
  <si>
    <t>백석대
스포츠</t>
  </si>
  <si>
    <t>추후확인</t>
  </si>
  <si>
    <t>경기대
체육</t>
  </si>
  <si>
    <t>백석대
특체교</t>
  </si>
  <si>
    <t>200/2*8</t>
  </si>
  <si>
    <t xml:space="preserve">20M </t>
  </si>
  <si>
    <t>지그재그런</t>
  </si>
  <si>
    <t>한양대 에리카</t>
  </si>
  <si>
    <t>점수확인</t>
  </si>
  <si>
    <t>참고사항</t>
  </si>
  <si>
    <t>총점 500점</t>
  </si>
  <si>
    <t>농구공던지기</t>
  </si>
  <si>
    <t>실시방법 변경</t>
  </si>
  <si>
    <t>제자리멀리뛰기</t>
  </si>
  <si>
    <t xml:space="preserve">20m </t>
  </si>
  <si>
    <t>윗몸일으</t>
  </si>
  <si>
    <t>실기최종점수</t>
  </si>
  <si>
    <t>2019배점</t>
  </si>
  <si>
    <t>윗몸일으키기</t>
  </si>
  <si>
    <t>농구(인천대)</t>
  </si>
  <si>
    <t>300/3*8</t>
  </si>
  <si>
    <t>10m신설</t>
  </si>
  <si>
    <t>안정점수</t>
  </si>
  <si>
    <t>숙명여대</t>
  </si>
  <si>
    <t>서전트폐지</t>
  </si>
  <si>
    <t>스포츠과학부</t>
  </si>
  <si>
    <t>기준 강화</t>
  </si>
  <si>
    <t>서원대
체교</t>
  </si>
  <si>
    <t>경기대 체육</t>
  </si>
  <si>
    <t>최고기록</t>
  </si>
  <si>
    <t>한서대
경호</t>
  </si>
  <si>
    <t>100m</t>
  </si>
  <si>
    <t>핸드볼던기지</t>
  </si>
  <si>
    <t>한양대
에리카</t>
  </si>
  <si>
    <t>한국체대
운건</t>
  </si>
  <si>
    <t>사이드스텝</t>
  </si>
  <si>
    <t>팔굽혀매달리기</t>
  </si>
  <si>
    <t>서울여대</t>
  </si>
  <si>
    <t>만점점수</t>
  </si>
  <si>
    <t>용인대
레저</t>
  </si>
  <si>
    <t>20년//윗몸</t>
  </si>
  <si>
    <t>경쟁률과 컷라인 민감</t>
  </si>
  <si>
    <t>인천대
스포츠과학</t>
  </si>
  <si>
    <t>최고점수 100</t>
  </si>
  <si>
    <t>만점기준 상승23년</t>
  </si>
  <si>
    <t>270//215</t>
  </si>
  <si>
    <t>9.31~9.5</t>
  </si>
  <si>
    <t>안양대
스포츠과학</t>
  </si>
  <si>
    <t>2024
모집정원</t>
  </si>
  <si>
    <t>경기대  스포츠과학</t>
  </si>
  <si>
    <t>제멀 상승 2급간</t>
  </si>
  <si>
    <t>합격자상위
실기점수</t>
  </si>
  <si>
    <t>10.51~10.7</t>
  </si>
  <si>
    <t>스포츠산업 신설</t>
  </si>
  <si>
    <t>급간 3, 4, 5점</t>
  </si>
  <si>
    <t>안양대 스포츠과학</t>
  </si>
  <si>
    <t>10m 왕복달리기</t>
  </si>
  <si>
    <t>10.31~10.5</t>
  </si>
  <si>
    <t>9.51~9.70</t>
  </si>
  <si>
    <t>일반학생 미선발</t>
  </si>
  <si>
    <t>내신환산점
과부족</t>
  </si>
  <si>
    <t>259.9~250</t>
  </si>
  <si>
    <t>2022
충원합격</t>
  </si>
  <si>
    <t>단국대 운동처방재활</t>
  </si>
  <si>
    <t>남서울대
스포츠비즈</t>
  </si>
  <si>
    <t>단국대
운동처방</t>
  </si>
  <si>
    <t>.91~10.1</t>
  </si>
  <si>
    <t>21년 배근력 부활</t>
  </si>
  <si>
    <t>239.9~230</t>
  </si>
  <si>
    <t>중부대
스포츠건강</t>
  </si>
  <si>
    <t>윗몸 2개 강화</t>
  </si>
  <si>
    <t>한남대
스포츠과학</t>
  </si>
  <si>
    <t>1단계
평균점수</t>
  </si>
  <si>
    <t>22년 배점표변경</t>
  </si>
  <si>
    <t>10.91~11.1</t>
  </si>
  <si>
    <t>단국대 생활체육</t>
  </si>
  <si>
    <t>원광대
스포츠과학</t>
  </si>
  <si>
    <t>백석대 특수체육교육</t>
  </si>
  <si>
    <t>합격자
평균점수</t>
  </si>
  <si>
    <t xml:space="preserve">사이드스텝//10m </t>
  </si>
  <si>
    <t>대진대 스포츠과학</t>
  </si>
  <si>
    <t>한서대 레저해양스포츠</t>
  </si>
  <si>
    <t>700만점으로 환산</t>
  </si>
  <si>
    <t>관동대 스포츠건강</t>
  </si>
  <si>
    <t>강남대
스포츠복지</t>
  </si>
  <si>
    <t>한국체대
사회체육</t>
  </si>
  <si>
    <t>한국교통대 스포츠산업</t>
  </si>
  <si>
    <t>백석대 스포츠과학</t>
  </si>
  <si>
    <t>관동대 스포츠레저</t>
  </si>
  <si>
    <t>실기상위권 
지원점수</t>
  </si>
  <si>
    <t>한체대
스포츠산업</t>
  </si>
  <si>
    <t>대학별 취득실기점수</t>
  </si>
  <si>
    <t>서원대
레저스포츠</t>
  </si>
  <si>
    <t>윗몸일으키키(1분)</t>
  </si>
  <si>
    <t>서원대 레저스포츠</t>
  </si>
  <si>
    <t>체전굴 만점기준 상승</t>
  </si>
  <si>
    <t>서원대 스포츠레저</t>
  </si>
  <si>
    <t>중량달리기(동국대)</t>
  </si>
  <si>
    <t>수원대 스포츠과학부</t>
  </si>
  <si>
    <t>대학별 실기점수 합</t>
  </si>
  <si>
    <t>서전트점프(터치)</t>
  </si>
  <si>
    <t>대학별 실기만점</t>
  </si>
  <si>
    <t>서전트점프(MD)</t>
  </si>
  <si>
    <t>합격 
평균점수</t>
  </si>
  <si>
    <t>실기3종목 간소화운영</t>
  </si>
  <si>
    <t>한국체대 운동건강</t>
  </si>
  <si>
    <t>한서대 해양스포츠</t>
  </si>
  <si>
    <t>윗몸일으키키(30초)</t>
  </si>
  <si>
    <t>한국체대
스포츠산업</t>
  </si>
  <si>
    <t>제멀 5cm 강화</t>
  </si>
  <si>
    <t>안양대 스포츠산업</t>
  </si>
  <si>
    <t>23년
모집정원</t>
  </si>
  <si>
    <t>선문대 피트니스재활</t>
  </si>
  <si>
    <t>을지대
스포츠아웃도어</t>
  </si>
  <si>
    <t>배구만점기준 완화</t>
  </si>
  <si>
    <t>충북</t>
  </si>
  <si>
    <t>서울</t>
  </si>
  <si>
    <t>강원</t>
  </si>
  <si>
    <t>충남</t>
  </si>
  <si>
    <t>지역</t>
  </si>
  <si>
    <t>대전</t>
  </si>
  <si>
    <t>인천</t>
  </si>
  <si>
    <t>22년</t>
  </si>
  <si>
    <t>전북</t>
  </si>
  <si>
    <t>전공</t>
  </si>
  <si>
    <t>경기</t>
  </si>
  <si>
    <t>윗몸</t>
  </si>
  <si>
    <t>배구남</t>
  </si>
  <si>
    <t>21년</t>
  </si>
  <si>
    <t>z런</t>
  </si>
  <si>
    <t>십자런</t>
  </si>
  <si>
    <t>중량</t>
  </si>
  <si>
    <t xml:space="preserve">점수 </t>
  </si>
  <si>
    <t>황규훈</t>
  </si>
  <si>
    <t>두번째</t>
  </si>
  <si>
    <t>여학생</t>
  </si>
  <si>
    <t>네번째</t>
  </si>
  <si>
    <t>내총점</t>
  </si>
  <si>
    <t>남자</t>
  </si>
  <si>
    <t xml:space="preserve">윗몸 </t>
  </si>
  <si>
    <t>내점수</t>
  </si>
  <si>
    <t>특체여</t>
  </si>
  <si>
    <t>10M</t>
  </si>
  <si>
    <t>세번째</t>
  </si>
  <si>
    <t>25m</t>
  </si>
  <si>
    <t>특체교</t>
  </si>
  <si>
    <t>서전트</t>
  </si>
  <si>
    <t>대학교</t>
  </si>
  <si>
    <t>제멀</t>
  </si>
  <si>
    <t>체전굴</t>
  </si>
  <si>
    <t>20년</t>
  </si>
  <si>
    <t>배근력</t>
  </si>
  <si>
    <t>매던</t>
  </si>
  <si>
    <t>지런</t>
  </si>
  <si>
    <t>여자</t>
  </si>
  <si>
    <t>배구</t>
  </si>
  <si>
    <t>기대컷</t>
  </si>
  <si>
    <t>10m</t>
  </si>
  <si>
    <t>농던</t>
  </si>
  <si>
    <t>한신대</t>
  </si>
  <si>
    <t>Z런</t>
  </si>
  <si>
    <t>손벽</t>
  </si>
  <si>
    <t>용인대</t>
  </si>
  <si>
    <t>턱걸이</t>
  </si>
  <si>
    <t>폐지</t>
  </si>
  <si>
    <t>가천대</t>
  </si>
  <si>
    <t>선문대</t>
  </si>
  <si>
    <t>연번</t>
  </si>
  <si>
    <t>안정컷</t>
  </si>
  <si>
    <t>상지대</t>
  </si>
  <si>
    <t>농구</t>
  </si>
  <si>
    <t>점수</t>
  </si>
  <si>
    <t>백석대</t>
  </si>
  <si>
    <t>20m</t>
  </si>
  <si>
    <t>첫번째</t>
  </si>
  <si>
    <t>극동대</t>
  </si>
  <si>
    <t>특체남</t>
  </si>
  <si>
    <t>대학명</t>
  </si>
  <si>
    <t>성결대</t>
  </si>
  <si>
    <t>수원대</t>
  </si>
  <si>
    <t xml:space="preserve">제멀 </t>
  </si>
  <si>
    <t>.</t>
  </si>
  <si>
    <t>종목</t>
  </si>
  <si>
    <t>핸던</t>
  </si>
  <si>
    <t>페지</t>
  </si>
  <si>
    <t>배구여</t>
  </si>
  <si>
    <t>남학생</t>
  </si>
  <si>
    <t>삼육대</t>
  </si>
  <si>
    <t>세명대</t>
  </si>
  <si>
    <t>사이드</t>
  </si>
  <si>
    <t>대전대</t>
  </si>
  <si>
    <t>목원대</t>
  </si>
  <si>
    <t>중상</t>
  </si>
  <si>
    <t>_</t>
  </si>
  <si>
    <t>중</t>
  </si>
  <si>
    <t>허들</t>
  </si>
  <si>
    <t>악력</t>
  </si>
  <si>
    <t>메던</t>
  </si>
  <si>
    <t>최상</t>
  </si>
  <si>
    <t>상</t>
  </si>
  <si>
    <t>최하</t>
  </si>
  <si>
    <t>-</t>
  </si>
  <si>
    <t>중원대</t>
  </si>
  <si>
    <t>배점</t>
  </si>
  <si>
    <t>대학</t>
  </si>
  <si>
    <t>동국대</t>
  </si>
  <si>
    <t>여자3</t>
  </si>
  <si>
    <t>높뛰</t>
  </si>
  <si>
    <t>메디신</t>
  </si>
  <si>
    <t>80m</t>
  </si>
  <si>
    <t>극동체</t>
  </si>
  <si>
    <t>여자2</t>
  </si>
  <si>
    <t>하</t>
  </si>
  <si>
    <t>미달</t>
  </si>
  <si>
    <t>점수0</t>
  </si>
  <si>
    <t>좌전굴</t>
  </si>
  <si>
    <t>점루</t>
  </si>
  <si>
    <t>24년</t>
  </si>
  <si>
    <t>서경대</t>
  </si>
  <si>
    <r>
      <t xml:space="preserve">한국체대 </t>
    </r>
    <r>
      <rPr>
        <b/>
        <sz val="10"/>
        <color rgb="FF000000"/>
        <rFont val="맑은 고딕"/>
        <family val="3"/>
        <charset val="129"/>
      </rPr>
      <t>스포츠청소년지도</t>
    </r>
  </si>
  <si>
    <t>10m 0.3초(남여) 4점</t>
  </si>
  <si>
    <t>22년 실기만점기준 강화</t>
  </si>
  <si>
    <t>23년 급간 종목 강화 변경</t>
  </si>
  <si>
    <t>스포츠지도 스포츠과학으로</t>
  </si>
  <si>
    <t>남자 전종목 1급간 상승</t>
  </si>
  <si>
    <t>중간부터 1점급간 2점으로</t>
  </si>
  <si>
    <t>제멀 5cm (남) 4점</t>
  </si>
  <si>
    <t>여 매던 20cm 상승</t>
  </si>
  <si>
    <t>48초에서 33초로 완화</t>
  </si>
  <si>
    <t>22년 실기 10% 감소</t>
  </si>
  <si>
    <t>여자 유리(윗몸 하락)</t>
  </si>
  <si>
    <t>제멀 여자 245에서 240</t>
  </si>
  <si>
    <t>윗몸 폐지 2종목 실시</t>
  </si>
  <si>
    <t>10m 8.80-&gt; 8.00</t>
  </si>
  <si>
    <t>제멀 240-&gt; 235</t>
  </si>
  <si>
    <t>10m 9.80-&gt; 9.20</t>
  </si>
  <si>
    <t>한국체대
스포츠청소년지도</t>
  </si>
  <si>
    <t>농구(고려대/충북대/한체대)</t>
  </si>
  <si>
    <t>싯업 급간 5개에서 3개로</t>
  </si>
  <si>
    <t>281-&gt;291 20점</t>
  </si>
  <si>
    <t>여자전반적 유리함 삭제</t>
  </si>
  <si>
    <t>만점1개강화 급간 세분화</t>
  </si>
  <si>
    <t>급간 0.2.초-&gt; 0.1초</t>
  </si>
  <si>
    <t>10m 9.0에서 9.2로</t>
  </si>
  <si>
    <t>체전굴 2cm (남여) 4점</t>
  </si>
  <si>
    <t>체전굴 15점에서 5점 급간</t>
  </si>
  <si>
    <t>제멀 280-&gt; 285</t>
  </si>
  <si>
    <t>면접 제외 점수 면접 중요</t>
  </si>
  <si>
    <t>좌전굴32/34, 34/36</t>
  </si>
  <si>
    <t>제멀 250에서 240</t>
  </si>
  <si>
    <t>배점 10점급간에서 4점으로</t>
  </si>
  <si>
    <t>인천대 체육/스퍼츠과학</t>
  </si>
  <si>
    <t>10m왕복달리기(한양대)</t>
  </si>
  <si>
    <t>변경 전반적으로 유리해짐</t>
  </si>
  <si>
    <t>급간기록 완화(제멀남여)</t>
  </si>
  <si>
    <t>80m 0.1초(남여) 2점</t>
  </si>
  <si>
    <t>한국체대
스포츠정소년지도</t>
  </si>
  <si>
    <t>실기최상위권시 
지원점수</t>
  </si>
  <si>
    <t>여자만점기준 완화22년</t>
  </si>
  <si>
    <t>200만점//150만점</t>
  </si>
  <si>
    <t>윗몸일으키키(1분경사)</t>
  </si>
  <si>
    <t>20m왕복달리기(부저)</t>
  </si>
  <si>
    <t>상명대(천안) 스포츠융합</t>
  </si>
  <si>
    <t>20미 만점급간기록완화여자</t>
  </si>
  <si>
    <t xml:space="preserve">제멀 남 10cm강화 </t>
  </si>
  <si>
    <t>한양대(에) 스포츠과학</t>
  </si>
  <si>
    <t>배근력폐지 급간 2,3,4점</t>
  </si>
  <si>
    <t>20m왕복달리기(목각)</t>
  </si>
  <si>
    <t>231-&gt;241 20점</t>
  </si>
  <si>
    <t>/(최고기준-최저기준)</t>
  </si>
  <si>
    <t>급간 10cm-&gt;2cm</t>
  </si>
  <si>
    <t>윗몸 2분에서 1분으로</t>
  </si>
  <si>
    <t>10m왕복달리기(부저)</t>
  </si>
  <si>
    <t>가톨릭관동대  스포츠재활전공</t>
  </si>
  <si>
    <t>10m왕복달리기(목각)</t>
  </si>
  <si>
    <t>매디슨볼던지기(인천대)</t>
  </si>
  <si>
    <t>윗몸폐지 메던 신설 24년</t>
  </si>
  <si>
    <t>건국대(글) 스포츠건강</t>
  </si>
  <si>
    <t>서울여대 스포츠운동과학</t>
  </si>
  <si>
    <t>농구/핸드볼 급간기록 변경</t>
  </si>
  <si>
    <t>농구/핸드볼 만점기준 상승</t>
  </si>
  <si>
    <t>21년 코로나로 20m폐지</t>
  </si>
  <si>
    <t>10m반복달리기(용인대)</t>
  </si>
  <si>
    <t>남서울대 스포츠건강관리</t>
  </si>
  <si>
    <t>농구미들슛- 골밑슛변경</t>
  </si>
  <si>
    <t>실기300//400점 상승</t>
  </si>
  <si>
    <t>체육교육 배점 변경 적용</t>
  </si>
  <si>
    <t>급간점수 5에서 3으로</t>
  </si>
  <si>
    <t>복합지구 폐지 10m 변경</t>
  </si>
  <si>
    <t>농구골밑슛(건국대글로컬)</t>
  </si>
  <si>
    <t>25m왕복달리기(한양대)</t>
  </si>
  <si>
    <t>2종목합/480*700</t>
  </si>
  <si>
    <t>가톨릭관동대 스포츠레저전공</t>
  </si>
  <si>
    <t>남서울대 스포츠비즈니스</t>
  </si>
  <si>
    <t>21년 여학생 3급간 상승</t>
  </si>
  <si>
    <t>서경대 스포츠&amp;테크놀러지</t>
  </si>
  <si>
    <t>24년 여자50미 강화</t>
  </si>
  <si>
    <t>급간 6cm에서 3cm</t>
  </si>
  <si>
    <t>24년 지런 완화(남녀)</t>
  </si>
  <si>
    <t>내신성적은 유니브 산출점수를 활용하시기 바랍니다.</t>
  </si>
  <si>
    <t>기초 20
축구 13
농구 7
체조 5</t>
  </si>
  <si>
    <t>10m 9.0/8.5, 10.2/9.5</t>
  </si>
  <si>
    <t>악력 메던 신설 24년+B442:C459</t>
  </si>
  <si>
    <r>
      <t xml:space="preserve">한국체대 </t>
    </r>
    <r>
      <rPr>
        <b/>
        <sz val="11"/>
        <color rgb="FF000000"/>
        <rFont val="맑은 고딕"/>
        <family val="3"/>
        <charset val="129"/>
      </rPr>
      <t>스포츠산업</t>
    </r>
  </si>
  <si>
    <r>
      <t>서전트폐지2</t>
    </r>
    <r>
      <rPr>
        <sz val="11"/>
        <color rgb="FF000000"/>
        <rFont val="맑은 고딕"/>
        <family val="3"/>
        <charset val="129"/>
      </rPr>
      <t>4년</t>
    </r>
  </si>
  <si>
    <r>
      <t xml:space="preserve">제멀 </t>
    </r>
    <r>
      <rPr>
        <sz val="11"/>
        <color rgb="FF000000"/>
        <rFont val="맑은 고딕"/>
        <family val="3"/>
        <charset val="129"/>
      </rPr>
      <t>288에서298</t>
    </r>
  </si>
  <si>
    <r>
      <t>좌전굴3</t>
    </r>
    <r>
      <rPr>
        <sz val="11"/>
        <color rgb="FF000000"/>
        <rFont val="맑은 고딕"/>
        <family val="3"/>
        <charset val="129"/>
      </rPr>
      <t>4에서 35</t>
    </r>
  </si>
  <si>
    <r>
      <t>체전굴폐지2</t>
    </r>
    <r>
      <rPr>
        <sz val="11"/>
        <color rgb="FF000000"/>
        <rFont val="맑은 고딕"/>
        <family val="3"/>
        <charset val="129"/>
      </rPr>
      <t>4년</t>
    </r>
  </si>
  <si>
    <r>
      <t>2</t>
    </r>
    <r>
      <rPr>
        <sz val="11"/>
        <color rgb="FF000000"/>
        <rFont val="맑은 고딕"/>
        <family val="3"/>
        <charset val="129"/>
      </rPr>
      <t>4년 농던폐지</t>
    </r>
  </si>
  <si>
    <r>
      <t xml:space="preserve">한국체대
</t>
    </r>
    <r>
      <rPr>
        <sz val="8"/>
        <color rgb="FF000000"/>
        <rFont val="맑은 고딕"/>
        <family val="3"/>
        <charset val="129"/>
      </rPr>
      <t>노인복지체육</t>
    </r>
  </si>
  <si>
    <r>
      <t xml:space="preserve">건국대
</t>
    </r>
    <r>
      <rPr>
        <sz val="10"/>
        <color rgb="FF000000"/>
        <rFont val="맑은 고딕"/>
        <family val="3"/>
        <charset val="129"/>
      </rPr>
      <t>스포츠헬스</t>
    </r>
  </si>
  <si>
    <r>
      <t>상담학생의 대학별</t>
    </r>
    <r>
      <rPr>
        <sz val="11"/>
        <color rgb="FFFF0000"/>
        <rFont val="맑은 고딕"/>
        <family val="3"/>
        <charset val="129"/>
      </rPr>
      <t xml:space="preserve"> </t>
    </r>
    <r>
      <rPr>
        <b/>
        <sz val="11"/>
        <color rgb="FF315F97"/>
        <rFont val="맑은 고딕"/>
        <family val="3"/>
        <charset val="129"/>
      </rPr>
      <t>학생내신(내점수)점수</t>
    </r>
    <r>
      <rPr>
        <sz val="11"/>
        <color rgb="FF000000"/>
        <rFont val="맑은 고딕"/>
        <family val="3"/>
        <charset val="129"/>
      </rPr>
      <t xml:space="preserve">와 </t>
    </r>
    <r>
      <rPr>
        <b/>
        <sz val="11"/>
        <color rgb="FFFF0000"/>
        <rFont val="맑은 고딕"/>
        <family val="3"/>
        <charset val="129"/>
      </rPr>
      <t>합격자평균점수</t>
    </r>
    <r>
      <rPr>
        <sz val="11"/>
        <color rgb="FF000000"/>
        <rFont val="맑은 고딕"/>
        <family val="3"/>
        <charset val="129"/>
      </rPr>
      <t xml:space="preserve">, </t>
    </r>
    <r>
      <rPr>
        <b/>
        <sz val="11"/>
        <color rgb="FFFF0000"/>
        <rFont val="맑은 고딕"/>
        <family val="3"/>
        <charset val="129"/>
      </rPr>
      <t>실기상위권시 지원점수</t>
    </r>
    <r>
      <rPr>
        <sz val="11"/>
        <color rgb="FF000000"/>
        <rFont val="맑은 고딕"/>
        <family val="3"/>
        <charset val="129"/>
      </rPr>
      <t xml:space="preserve">를 활용하여 상담하세요.
</t>
    </r>
    <r>
      <rPr>
        <b/>
        <sz val="11"/>
        <color rgb="FFFF0000"/>
        <rFont val="맑은 고딕"/>
        <family val="3"/>
        <charset val="129"/>
      </rPr>
      <t>안정점수</t>
    </r>
    <r>
      <rPr>
        <sz val="11"/>
        <color rgb="FF000000"/>
        <rFont val="맑은 고딕"/>
        <family val="3"/>
        <charset val="129"/>
      </rPr>
      <t xml:space="preserve">는 </t>
    </r>
    <r>
      <rPr>
        <b/>
        <sz val="11"/>
        <color rgb="FF800080"/>
        <rFont val="맑은 고딕"/>
        <family val="3"/>
        <charset val="129"/>
      </rPr>
      <t xml:space="preserve">최초합 또는 1차 충원합격이 가능한 </t>
    </r>
    <r>
      <rPr>
        <sz val="11"/>
        <color rgb="FF000000"/>
        <rFont val="맑은 고딕"/>
        <family val="3"/>
        <charset val="129"/>
      </rPr>
      <t xml:space="preserve">정도의 점수를 의미하여 </t>
    </r>
    <r>
      <rPr>
        <b/>
        <sz val="11"/>
        <color rgb="FFFF0000"/>
        <rFont val="맑은 고딕"/>
        <family val="3"/>
        <charset val="129"/>
      </rPr>
      <t>기대점수</t>
    </r>
    <r>
      <rPr>
        <sz val="11"/>
        <color rgb="FF000000"/>
        <rFont val="맑은 고딕"/>
        <family val="3"/>
        <charset val="129"/>
      </rPr>
      <t xml:space="preserve">는 </t>
    </r>
    <r>
      <rPr>
        <b/>
        <sz val="11"/>
        <color rgb="FF800080"/>
        <rFont val="맑은 고딕"/>
        <family val="3"/>
        <charset val="129"/>
      </rPr>
      <t>충원합격을 기대해 볼만한 점수</t>
    </r>
    <r>
      <rPr>
        <sz val="11"/>
        <color rgb="FF000000"/>
        <rFont val="맑은 고딕"/>
        <family val="3"/>
        <charset val="129"/>
      </rPr>
      <t xml:space="preserve">를 의미합니다.
</t>
    </r>
    <r>
      <rPr>
        <b/>
        <sz val="11"/>
        <color rgb="FF0000FF"/>
        <rFont val="맑은 고딕"/>
        <family val="3"/>
        <charset val="129"/>
      </rPr>
      <t>실기상위권시 지원점수</t>
    </r>
    <r>
      <rPr>
        <sz val="11"/>
        <color rgb="FF000000"/>
        <rFont val="맑은 고딕"/>
        <family val="3"/>
        <charset val="129"/>
      </rPr>
      <t xml:space="preserve">는 </t>
    </r>
    <r>
      <rPr>
        <b/>
        <sz val="11"/>
        <color rgb="FFFF0000"/>
        <rFont val="맑은 고딕"/>
        <family val="3"/>
        <charset val="129"/>
      </rPr>
      <t>대학별 실기성취도가 만점</t>
    </r>
    <r>
      <rPr>
        <sz val="11"/>
        <color rgb="FF000000"/>
        <rFont val="맑은 고딕"/>
        <family val="3"/>
        <charset val="129"/>
      </rPr>
      <t xml:space="preserve">이거나 </t>
    </r>
    <r>
      <rPr>
        <b/>
        <sz val="11"/>
        <color rgb="FFFF0000"/>
        <rFont val="맑은 고딕"/>
        <family val="3"/>
        <charset val="129"/>
      </rPr>
      <t>이에 준하는 매우 우수한 경우</t>
    </r>
    <r>
      <rPr>
        <sz val="11"/>
        <color rgb="FF000000"/>
        <rFont val="맑은 고딕"/>
        <family val="3"/>
        <charset val="129"/>
      </rPr>
      <t xml:space="preserve">를 의미합니다.
</t>
    </r>
    <r>
      <rPr>
        <b/>
        <u/>
        <sz val="15"/>
        <color rgb="FFFF0000"/>
        <rFont val="맑은 고딕"/>
        <family val="3"/>
        <charset val="129"/>
      </rPr>
      <t xml:space="preserve">일부 비수도권 지역 대학에서는 경쟁률에 의한 입결의 상승과 하락이 다소 크게 나타날 수 있습니다. 
이런한 부분까지의 예측은 어려운 점 참고하시기 바랍니다.
</t>
    </r>
    <phoneticPr fontId="81" type="noConversion"/>
  </si>
  <si>
    <t>25년
충원합격</t>
    <phoneticPr fontId="81" type="noConversion"/>
  </si>
  <si>
    <t>26년
모집정원</t>
    <phoneticPr fontId="81" type="noConversion"/>
  </si>
  <si>
    <t>2026
모집정원</t>
    <phoneticPr fontId="81" type="noConversion"/>
  </si>
  <si>
    <t>2025
충원합격</t>
    <phoneticPr fontId="81" type="noConversion"/>
  </si>
  <si>
    <t>26년</t>
    <phoneticPr fontId="81" type="noConversion"/>
  </si>
  <si>
    <t>-</t>
    <phoneticPr fontId="81" type="noConversion"/>
  </si>
  <si>
    <t>순천향대 스포츠응용산업</t>
    <phoneticPr fontId="81" type="noConversion"/>
  </si>
  <si>
    <t>극동대 스포츠재활</t>
    <phoneticPr fontId="81" type="noConversion"/>
  </si>
  <si>
    <t>중원대 스포츠경영학부</t>
    <phoneticPr fontId="81" type="noConversion"/>
  </si>
  <si>
    <t>미선발</t>
    <phoneticPr fontId="81" type="noConversion"/>
  </si>
  <si>
    <t>중부대 스포츠건강관리</t>
    <phoneticPr fontId="81" type="noConversion"/>
  </si>
  <si>
    <t>여자1</t>
    <phoneticPr fontId="81" type="noConversion"/>
  </si>
  <si>
    <t>여자2</t>
    <phoneticPr fontId="81" type="noConversion"/>
  </si>
  <si>
    <t>여자3</t>
    <phoneticPr fontId="81" type="noConversion"/>
  </si>
  <si>
    <t>고춘자</t>
  </si>
  <si>
    <t>고춘자</t>
    <phoneticPr fontId="81" type="noConversion"/>
  </si>
  <si>
    <t>25년 제멀 매던 만점강화</t>
    <phoneticPr fontId="81" type="noConversion"/>
  </si>
  <si>
    <t>제멀</t>
    <phoneticPr fontId="81" type="noConversion"/>
  </si>
  <si>
    <t>10m 강화 0.2초</t>
    <phoneticPr fontId="81" type="noConversion"/>
  </si>
  <si>
    <t>제멀 완화 12cm</t>
    <phoneticPr fontId="81" type="noConversion"/>
  </si>
  <si>
    <t>매던 여자만 0.2m 완화</t>
    <phoneticPr fontId="81" type="noConversion"/>
  </si>
  <si>
    <t>급간 및 종목별 만점변경</t>
    <phoneticPr fontId="81" type="noConversion"/>
  </si>
  <si>
    <t>10미 220점에서 240점</t>
    <phoneticPr fontId="81" type="noConversion"/>
  </si>
  <si>
    <t>제멀240점에서 230점</t>
    <phoneticPr fontId="81" type="noConversion"/>
  </si>
  <si>
    <t>매던240점에서 230점</t>
    <phoneticPr fontId="81" type="noConversion"/>
  </si>
  <si>
    <t xml:space="preserve">급간점수 3-5 차등에서 </t>
    <phoneticPr fontId="81" type="noConversion"/>
  </si>
  <si>
    <t>10m 12점</t>
    <phoneticPr fontId="81" type="noConversion"/>
  </si>
  <si>
    <t>제멀 11.5점</t>
    <phoneticPr fontId="81" type="noConversion"/>
  </si>
  <si>
    <t>매던 11.5점</t>
    <phoneticPr fontId="81" type="noConversion"/>
  </si>
  <si>
    <t>만점기준변경[2026]</t>
    <phoneticPr fontId="81" type="noConversion"/>
  </si>
  <si>
    <t>농구 만점상향조정</t>
    <phoneticPr fontId="81" type="noConversion"/>
  </si>
  <si>
    <t>남자 32에서 34</t>
    <phoneticPr fontId="81" type="noConversion"/>
  </si>
  <si>
    <t>여자 22에서 28</t>
    <phoneticPr fontId="81" type="noConversion"/>
  </si>
  <si>
    <t>여자 20미 상향조정</t>
    <phoneticPr fontId="81" type="noConversion"/>
  </si>
  <si>
    <t>15.8에서 15.6</t>
    <phoneticPr fontId="81" type="noConversion"/>
  </si>
  <si>
    <t>26년 만점기준 상향조정</t>
    <phoneticPr fontId="81" type="noConversion"/>
  </si>
  <si>
    <t>반영비율 40에서 30하향</t>
    <phoneticPr fontId="81" type="noConversion"/>
  </si>
  <si>
    <t>제멀5cm에서 3/2/5차등</t>
    <phoneticPr fontId="81" type="noConversion"/>
  </si>
  <si>
    <t>급간 4점에서 2점</t>
    <phoneticPr fontId="81" type="noConversion"/>
  </si>
  <si>
    <t>좌전굴 폐지</t>
    <phoneticPr fontId="81" type="noConversion"/>
  </si>
  <si>
    <t>매던 신설</t>
    <phoneticPr fontId="81" type="noConversion"/>
  </si>
  <si>
    <t>메던</t>
    <phoneticPr fontId="81" type="noConversion"/>
  </si>
  <si>
    <t>25년</t>
    <phoneticPr fontId="81" type="noConversion"/>
  </si>
  <si>
    <t>일반학생미선발</t>
    <phoneticPr fontId="81" type="noConversion"/>
  </si>
  <si>
    <t>25년 만점강화</t>
    <phoneticPr fontId="81" type="noConversion"/>
  </si>
  <si>
    <t>제멀4급간</t>
    <phoneticPr fontId="81" type="noConversion"/>
  </si>
  <si>
    <t>매던1급간</t>
    <phoneticPr fontId="81" type="noConversion"/>
  </si>
  <si>
    <t>20미 3급간</t>
    <phoneticPr fontId="81" type="noConversion"/>
  </si>
  <si>
    <t>여자</t>
    <phoneticPr fontId="81" type="noConversion"/>
  </si>
  <si>
    <t>제멀2급간</t>
    <phoneticPr fontId="81" type="noConversion"/>
  </si>
  <si>
    <t>매던2급간</t>
    <phoneticPr fontId="81" type="noConversion"/>
  </si>
  <si>
    <t>20미4급간</t>
    <phoneticPr fontId="81" type="noConversion"/>
  </si>
  <si>
    <t>남자</t>
    <phoneticPr fontId="81" type="noConversion"/>
  </si>
  <si>
    <t>25년 악력폐지 좌전굴부활</t>
    <phoneticPr fontId="81" type="noConversion"/>
  </si>
  <si>
    <t>100만점 3점급간</t>
    <phoneticPr fontId="81" type="noConversion"/>
  </si>
  <si>
    <t>50만점 1점급간</t>
    <phoneticPr fontId="81" type="noConversion"/>
  </si>
  <si>
    <t>여자매던 강화(4급간)</t>
    <phoneticPr fontId="81" type="noConversion"/>
  </si>
  <si>
    <t>선문대 스포츠과학</t>
    <phoneticPr fontId="81" type="noConversion"/>
  </si>
  <si>
    <t>농구슛</t>
    <phoneticPr fontId="81" type="noConversion"/>
  </si>
  <si>
    <t>순천향대
스포츠으용산업</t>
    <phoneticPr fontId="81" type="noConversion"/>
  </si>
  <si>
    <t>순천향대
스포츠응용산업</t>
    <phoneticPr fontId="81" type="noConversion"/>
  </si>
  <si>
    <t>스포츠응용산업</t>
    <phoneticPr fontId="81" type="noConversion"/>
  </si>
  <si>
    <t>농구골밑슛</t>
    <phoneticPr fontId="81" type="noConversion"/>
  </si>
  <si>
    <t>농구골밑슛(순천향대)</t>
    <phoneticPr fontId="81" type="noConversion"/>
  </si>
  <si>
    <t>안양대 스포츠응용산업</t>
    <phoneticPr fontId="81" type="noConversion"/>
  </si>
  <si>
    <t>일반학생선발</t>
    <phoneticPr fontId="81" type="noConversion"/>
  </si>
  <si>
    <t>안양대
스포츠자율전공</t>
    <phoneticPr fontId="81" type="noConversion"/>
  </si>
  <si>
    <t>안양대스포츠자율전공</t>
    <phoneticPr fontId="81" type="noConversion"/>
  </si>
  <si>
    <t>매던</t>
    <phoneticPr fontId="81" type="noConversion"/>
  </si>
  <si>
    <t>중부대 스포츠재활복지</t>
    <phoneticPr fontId="81" type="noConversion"/>
  </si>
  <si>
    <t>중부대
스포츠재활복지</t>
    <phoneticPr fontId="81" type="noConversion"/>
  </si>
  <si>
    <t>스포츠재활복지</t>
    <phoneticPr fontId="81" type="noConversion"/>
  </si>
  <si>
    <t>25년 만점기준 변경</t>
    <phoneticPr fontId="81" type="noConversion"/>
  </si>
  <si>
    <t>남자 제멀290에서295</t>
    <phoneticPr fontId="81" type="noConversion"/>
  </si>
  <si>
    <t>여자 제멀245에서240</t>
    <phoneticPr fontId="81" type="noConversion"/>
  </si>
  <si>
    <t>남자 20m변경없음</t>
    <phoneticPr fontId="81" type="noConversion"/>
  </si>
  <si>
    <t>여자 20m변경있음</t>
    <phoneticPr fontId="81" type="noConversion"/>
  </si>
  <si>
    <t>16.80에서 17.80으로</t>
    <phoneticPr fontId="81" type="noConversion"/>
  </si>
  <si>
    <t>뭐하자는건지</t>
    <phoneticPr fontId="81" type="noConversion"/>
  </si>
  <si>
    <t>2025
경쟁률</t>
    <phoneticPr fontId="81" type="noConversion"/>
  </si>
  <si>
    <t>2024
경쟁률</t>
    <phoneticPr fontId="81" type="noConversion"/>
  </si>
  <si>
    <t>25년
경쟁률</t>
    <phoneticPr fontId="81" type="noConversion"/>
  </si>
  <si>
    <t>24년
경쟁률</t>
    <phoneticPr fontId="81" type="noConversion"/>
  </si>
  <si>
    <t>66.7</t>
  </si>
  <si>
    <t>49.18</t>
    <phoneticPr fontId="81" type="noConversion"/>
  </si>
  <si>
    <t>6.45</t>
  </si>
  <si>
    <t>8.05</t>
    <phoneticPr fontId="81" type="noConversion"/>
  </si>
  <si>
    <t>1.3</t>
  </si>
  <si>
    <t>2.68</t>
    <phoneticPr fontId="81" type="noConversion"/>
  </si>
  <si>
    <t>3.6</t>
  </si>
  <si>
    <t>5.28</t>
    <phoneticPr fontId="81" type="noConversion"/>
  </si>
  <si>
    <t>16.79</t>
  </si>
  <si>
    <t>23.62</t>
    <phoneticPr fontId="81" type="noConversion"/>
  </si>
  <si>
    <t>17.09</t>
  </si>
  <si>
    <t>28.35</t>
    <phoneticPr fontId="81" type="noConversion"/>
  </si>
  <si>
    <t>20.1</t>
  </si>
  <si>
    <t>62.00</t>
    <phoneticPr fontId="81" type="noConversion"/>
  </si>
  <si>
    <t>9.0</t>
  </si>
  <si>
    <t>0.92</t>
  </si>
  <si>
    <t>2.44</t>
    <phoneticPr fontId="81" type="noConversion"/>
  </si>
  <si>
    <t>12.67</t>
  </si>
  <si>
    <t>13.20</t>
    <phoneticPr fontId="81" type="noConversion"/>
  </si>
  <si>
    <t>6.22</t>
  </si>
  <si>
    <t>7.76</t>
    <phoneticPr fontId="81" type="noConversion"/>
  </si>
  <si>
    <t>4.74</t>
  </si>
  <si>
    <t>4.93</t>
    <phoneticPr fontId="81" type="noConversion"/>
  </si>
  <si>
    <t>42.50</t>
    <phoneticPr fontId="81" type="noConversion"/>
  </si>
  <si>
    <t>34.6</t>
  </si>
  <si>
    <t>42.36</t>
    <phoneticPr fontId="81" type="noConversion"/>
  </si>
  <si>
    <t>27.4</t>
  </si>
  <si>
    <t>36.20</t>
    <phoneticPr fontId="81" type="noConversion"/>
  </si>
  <si>
    <t>7.96</t>
  </si>
  <si>
    <t>8.88</t>
    <phoneticPr fontId="81" type="noConversion"/>
  </si>
  <si>
    <t>4.52</t>
  </si>
  <si>
    <t>3.81</t>
    <phoneticPr fontId="81" type="noConversion"/>
  </si>
  <si>
    <t>6.88</t>
  </si>
  <si>
    <t>10.48</t>
    <phoneticPr fontId="81" type="noConversion"/>
  </si>
  <si>
    <t>27.22</t>
  </si>
  <si>
    <t>30.17</t>
    <phoneticPr fontId="81" type="noConversion"/>
  </si>
  <si>
    <t>5.73</t>
  </si>
  <si>
    <t>6.90</t>
    <phoneticPr fontId="81" type="noConversion"/>
  </si>
  <si>
    <t>5.15</t>
  </si>
  <si>
    <t>6.15</t>
    <phoneticPr fontId="81" type="noConversion"/>
  </si>
  <si>
    <t>9.29</t>
  </si>
  <si>
    <t>10.96</t>
    <phoneticPr fontId="81" type="noConversion"/>
  </si>
  <si>
    <t>29.91</t>
  </si>
  <si>
    <t>13.70</t>
    <phoneticPr fontId="81" type="noConversion"/>
  </si>
  <si>
    <t>65.92</t>
    <phoneticPr fontId="81" type="noConversion"/>
  </si>
  <si>
    <t>7.9</t>
  </si>
  <si>
    <t>7.68</t>
    <phoneticPr fontId="81" type="noConversion"/>
  </si>
  <si>
    <t>1.93</t>
  </si>
  <si>
    <t>4.28</t>
    <phoneticPr fontId="81" type="noConversion"/>
  </si>
  <si>
    <t>19.90</t>
  </si>
  <si>
    <t>24.70</t>
    <phoneticPr fontId="81" type="noConversion"/>
  </si>
  <si>
    <t>15.2</t>
  </si>
  <si>
    <t>17.30</t>
    <phoneticPr fontId="81" type="noConversion"/>
  </si>
  <si>
    <t>11.52</t>
  </si>
  <si>
    <t>6.74</t>
    <phoneticPr fontId="81" type="noConversion"/>
  </si>
  <si>
    <t>6.69</t>
  </si>
  <si>
    <t>6.44</t>
    <phoneticPr fontId="81" type="noConversion"/>
  </si>
  <si>
    <t>7.24</t>
  </si>
  <si>
    <t>8.24</t>
    <phoneticPr fontId="81" type="noConversion"/>
  </si>
  <si>
    <t>5.22</t>
  </si>
  <si>
    <t>5.35</t>
    <phoneticPr fontId="81" type="noConversion"/>
  </si>
  <si>
    <t>5.25</t>
  </si>
  <si>
    <t>4.08</t>
    <phoneticPr fontId="81" type="noConversion"/>
  </si>
  <si>
    <t>23.36</t>
  </si>
  <si>
    <t>16.93</t>
    <phoneticPr fontId="81" type="noConversion"/>
  </si>
  <si>
    <t>3.2</t>
  </si>
  <si>
    <t>3.44</t>
    <phoneticPr fontId="81" type="noConversion"/>
  </si>
  <si>
    <t>22.3</t>
  </si>
  <si>
    <t>25.00</t>
    <phoneticPr fontId="81" type="noConversion"/>
  </si>
  <si>
    <t>18.47</t>
  </si>
  <si>
    <t>27.94</t>
    <phoneticPr fontId="81" type="noConversion"/>
  </si>
  <si>
    <t>13.0</t>
  </si>
  <si>
    <t>11.23</t>
    <phoneticPr fontId="81" type="noConversion"/>
  </si>
  <si>
    <t>22.63</t>
  </si>
  <si>
    <t>21.60</t>
    <phoneticPr fontId="81" type="noConversion"/>
  </si>
  <si>
    <t>5.36</t>
  </si>
  <si>
    <t>7.57</t>
    <phoneticPr fontId="81" type="noConversion"/>
  </si>
  <si>
    <t>3.25</t>
  </si>
  <si>
    <t>7.00</t>
    <phoneticPr fontId="81" type="noConversion"/>
  </si>
  <si>
    <t>6.60</t>
    <phoneticPr fontId="81" type="noConversion"/>
  </si>
  <si>
    <t>33.56</t>
    <phoneticPr fontId="81" type="noConversion"/>
  </si>
  <si>
    <t>16.0</t>
  </si>
  <si>
    <t>19.17</t>
    <phoneticPr fontId="81" type="noConversion"/>
  </si>
  <si>
    <t>40.25</t>
    <phoneticPr fontId="81" type="noConversion"/>
  </si>
  <si>
    <t>4.02</t>
  </si>
  <si>
    <t>4.11</t>
    <phoneticPr fontId="81" type="noConversion"/>
  </si>
  <si>
    <t>15.56</t>
  </si>
  <si>
    <t>16.44</t>
    <phoneticPr fontId="81" type="noConversion"/>
  </si>
  <si>
    <t>18.35</t>
  </si>
  <si>
    <t>16.05</t>
    <phoneticPr fontId="81" type="noConversion"/>
  </si>
  <si>
    <t>8.37</t>
  </si>
  <si>
    <t>7.74</t>
    <phoneticPr fontId="81" type="noConversion"/>
  </si>
  <si>
    <t>11.14</t>
  </si>
  <si>
    <t>15.29</t>
    <phoneticPr fontId="81" type="noConversion"/>
  </si>
  <si>
    <t>2.19</t>
  </si>
  <si>
    <t>5.90</t>
    <phoneticPr fontId="81" type="noConversion"/>
  </si>
  <si>
    <t>4.86</t>
  </si>
  <si>
    <t>5.20</t>
    <phoneticPr fontId="81" type="noConversion"/>
  </si>
  <si>
    <t>8.67</t>
  </si>
  <si>
    <t>7.44</t>
    <phoneticPr fontId="81" type="noConversion"/>
  </si>
  <si>
    <t>1.79</t>
    <phoneticPr fontId="81" type="noConversion"/>
  </si>
  <si>
    <t>7.69</t>
  </si>
  <si>
    <t>5.54</t>
    <phoneticPr fontId="81" type="noConversion"/>
  </si>
  <si>
    <t>4.91</t>
  </si>
  <si>
    <t>9.60</t>
    <phoneticPr fontId="81" type="noConversion"/>
  </si>
  <si>
    <t>13.14</t>
  </si>
  <si>
    <t>9.57</t>
    <phoneticPr fontId="81" type="noConversion"/>
  </si>
  <si>
    <t>21.0</t>
  </si>
  <si>
    <t>19.60</t>
    <phoneticPr fontId="81" type="noConversion"/>
  </si>
  <si>
    <t>11.6</t>
  </si>
  <si>
    <t>10.45</t>
    <phoneticPr fontId="81" type="noConversion"/>
  </si>
  <si>
    <t>10.5</t>
  </si>
  <si>
    <t>7.70</t>
    <phoneticPr fontId="81" type="noConversion"/>
  </si>
  <si>
    <t>5.63</t>
  </si>
  <si>
    <t>5.21</t>
    <phoneticPr fontId="81" type="noConversion"/>
  </si>
  <si>
    <t>7.23</t>
  </si>
  <si>
    <t>7.53</t>
    <phoneticPr fontId="81" type="noConversion"/>
  </si>
  <si>
    <t>2.75</t>
  </si>
  <si>
    <t>2.04</t>
    <phoneticPr fontId="81" type="noConversion"/>
  </si>
  <si>
    <t>2.98</t>
  </si>
  <si>
    <t>2.78</t>
    <phoneticPr fontId="81" type="noConversion"/>
  </si>
  <si>
    <t>15.09</t>
  </si>
  <si>
    <t>19.95</t>
    <phoneticPr fontId="81" type="noConversion"/>
  </si>
  <si>
    <t>115.73</t>
  </si>
  <si>
    <t>146.07</t>
    <phoneticPr fontId="81" type="noConversion"/>
  </si>
  <si>
    <t>24.53</t>
    <phoneticPr fontId="81" type="noConversion"/>
  </si>
  <si>
    <t xml:space="preserve">27.05
</t>
    <phoneticPr fontId="81" type="noConversion"/>
  </si>
  <si>
    <t xml:space="preserve">27.85
</t>
    <phoneticPr fontId="81" type="noConversion"/>
  </si>
  <si>
    <t>내신8과목에서 12과목 반영</t>
    <phoneticPr fontId="81" type="noConversion"/>
  </si>
  <si>
    <t>실기만점기준 상향 조정</t>
    <phoneticPr fontId="81" type="noConversion"/>
  </si>
  <si>
    <t>내신반영변경,실기급간점수 변경</t>
    <phoneticPr fontId="81" type="noConversion"/>
  </si>
  <si>
    <t>여자제멀, 남녀 농구 만점상향 조정</t>
    <phoneticPr fontId="81" type="noConversion"/>
  </si>
  <si>
    <t>만점기준 강화 실기반영(10%) 증가</t>
    <phoneticPr fontId="81" type="noConversion"/>
  </si>
  <si>
    <t>수시 폐지 2027 모집정원 전원 수시선발</t>
    <phoneticPr fontId="81" type="noConversion"/>
  </si>
  <si>
    <t>실기 4종목 중 3종목 반영/ 경쟁률에 따른 컷라인 예측 불가</t>
    <phoneticPr fontId="81" type="noConversion"/>
  </si>
  <si>
    <t>모집정원 대폭증가 컷라인 내려가라~</t>
    <phoneticPr fontId="81" type="noConversion"/>
  </si>
  <si>
    <t>좌전굴 폐지 매던 신설</t>
    <phoneticPr fontId="81" type="noConversion"/>
  </si>
  <si>
    <t>3종목 모두 반영으로 총점 하향???</t>
    <phoneticPr fontId="81" type="noConversion"/>
  </si>
  <si>
    <t>실기만점이면 도전해야죠</t>
    <phoneticPr fontId="81" type="noConversion"/>
  </si>
  <si>
    <t>.</t>
    <phoneticPr fontId="81" type="noConversion"/>
  </si>
  <si>
    <t>실기전형 미선발/교과전형 선발</t>
    <phoneticPr fontId="81" type="noConversion"/>
  </si>
  <si>
    <t>진로선택3과목 반영에서 5과목 반영</t>
    <phoneticPr fontId="81" type="noConversion"/>
  </si>
  <si>
    <t>실기기본점수 50점</t>
    <phoneticPr fontId="81" type="noConversion"/>
  </si>
  <si>
    <t>진로선택3과목 반영에서 이수전과목 반영</t>
    <phoneticPr fontId="81" type="noConversion"/>
  </si>
  <si>
    <t>실기기본점수 80점/실기변경/변별력 상승</t>
    <phoneticPr fontId="81" type="noConversion"/>
  </si>
  <si>
    <t>실기기본점수 160점/변별력 상승</t>
    <phoneticPr fontId="81" type="noConversion"/>
  </si>
  <si>
    <t>내신반영방법 변경/교과점수 상승</t>
    <phoneticPr fontId="81" type="noConversion"/>
  </si>
  <si>
    <t>윗몸폐지 농구신설 실기반영비율 증가</t>
    <phoneticPr fontId="81" type="noConversion"/>
  </si>
  <si>
    <t>기초체력 기준</t>
    <phoneticPr fontId="81" type="noConversion"/>
  </si>
  <si>
    <t>윗몸폐지 농구신설(45초)</t>
    <phoneticPr fontId="81" type="noConversion"/>
  </si>
  <si>
    <t>학과명 변경</t>
    <phoneticPr fontId="81" type="noConversion"/>
  </si>
  <si>
    <t>25년신설</t>
    <phoneticPr fontId="81" type="noConversion"/>
  </si>
  <si>
    <t>교과점수 반영 변경 자연 상승발생</t>
    <phoneticPr fontId="81" type="noConversion"/>
  </si>
  <si>
    <t>폐지</t>
    <phoneticPr fontId="81" type="noConversion"/>
  </si>
  <si>
    <t>턱걸이,매달리기 폐지 매던 신설</t>
    <phoneticPr fontId="81" type="noConversion"/>
  </si>
  <si>
    <t>경쟁률과 컷라인 민감</t>
    <phoneticPr fontId="81" type="noConversion"/>
  </si>
  <si>
    <t>남자 만점 기준 강화 여자 만점 기준 완화</t>
    <phoneticPr fontId="81" type="noConversion"/>
  </si>
  <si>
    <t>전형 폐지</t>
    <phoneticPr fontId="81" type="noConversion"/>
  </si>
  <si>
    <t>2등급 극초반까지 지원 고려</t>
    <phoneticPr fontId="81" type="noConversion"/>
  </si>
  <si>
    <t>한국체대 스포츠산업</t>
  </si>
  <si>
    <t>한국체대 스포츠청소년지도</t>
  </si>
  <si>
    <t>가톨릭관동대 스포츠레저</t>
    <phoneticPr fontId="81" type="noConversion"/>
  </si>
  <si>
    <t>가톨릭관동대  스포츠재활의학</t>
    <phoneticPr fontId="81" type="noConversion"/>
  </si>
  <si>
    <t>각 시트에 들어가는 학생이름은 반드시 동일하게 입력되어야 사용 가능합니다.
대학별점수 산출에서 오류를 발견하시면 만든이에게 연락(경기교육통합메신저, 카카오톡)주시기 바랍니다.
- 만든이 -
황규훈 : 성남서중학교, 카톡 아이디(hoon0486)
노동기 : 상현고등학교, 카톡 아이디(crazy419)</t>
    <phoneticPr fontId="81" type="noConversion"/>
  </si>
  <si>
    <t xml:space="preserve">  본 자료는 학교체육진흥회 체육인재 상담교사들의 체육대학 진학 상담을 지원하고자 
 제작하였습니다.
 공교육 내에서만 활용하시고 인터넷(밴드, 홈페이지, 게시판 등)을 통한 게시 및 배포는
 지양해 주시기 바랍니다. 
 자료 활용 시 출처를 명시해 주시고 사교육 기관으로의 유출이 발생하지 않도록 각별히 
유의해 주시기 바랍니다.</t>
    <phoneticPr fontId="81" type="noConversion"/>
  </si>
  <si>
    <t>노동기</t>
    <phoneticPr fontId="81" type="noConversion"/>
  </si>
  <si>
    <t>경기</t>
    <phoneticPr fontId="81" type="noConversion"/>
  </si>
  <si>
    <t>인천</t>
    <phoneticPr fontId="8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</si>
</sst>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₩&quot;#,##0;[Red]\-&quot;₩&quot;#,##0"/>
    <numFmt numFmtId="176" formatCode="0.0_ "/>
    <numFmt numFmtId="177" formatCode="0_ "/>
    <numFmt numFmtId="178" formatCode="0.0"/>
    <numFmt numFmtId="179" formatCode="0.000"/>
    <numFmt numFmtId="180" formatCode="[Blue]#,##0.00;[Red]\-#,##0.00;&quot;0.00&quot;"/>
    <numFmt numFmtId="181" formatCode="[Blue]\▲#,##0.00;[Red]\▼#,##0.00;&quot;0.00&quot;"/>
    <numFmt numFmtId="182" formatCode="0.00_ "/>
  </numFmts>
  <fonts count="10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5"/>
      <color rgb="FF1C3D62"/>
      <name val="HNC_GO_B_HINT_GS"/>
    </font>
    <font>
      <b/>
      <sz val="11"/>
      <color rgb="FF000000"/>
      <name val="HNC_GO_B_HINT_GS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70C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11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굴림"/>
      <family val="3"/>
      <charset val="129"/>
    </font>
    <font>
      <b/>
      <sz val="18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4"/>
      <color rgb="FF800080"/>
      <name val="맑은 고딕"/>
      <family val="3"/>
      <charset val="129"/>
    </font>
    <font>
      <sz val="11"/>
      <color rgb="FF358791"/>
      <name val="맑은 고딕"/>
      <family val="3"/>
      <charset val="129"/>
    </font>
    <font>
      <sz val="11"/>
      <color rgb="FF800080"/>
      <name val="맑은 고딕"/>
      <family val="3"/>
      <charset val="129"/>
    </font>
    <font>
      <b/>
      <sz val="14"/>
      <color rgb="FF0000FF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3"/>
      <color rgb="FF800080"/>
      <name val="맑은 고딕"/>
      <family val="3"/>
      <charset val="129"/>
    </font>
    <font>
      <b/>
      <sz val="10"/>
      <color rgb="FF800080"/>
      <name val="맑은 고딕"/>
      <family val="3"/>
      <charset val="129"/>
    </font>
    <font>
      <b/>
      <sz val="11"/>
      <color rgb="FF800080"/>
      <name val="맑은 고딕"/>
      <family val="3"/>
      <charset val="129"/>
    </font>
    <font>
      <b/>
      <sz val="13"/>
      <color rgb="FFFFFF00"/>
      <name val="맑은 고딕"/>
      <family val="3"/>
      <charset val="129"/>
    </font>
    <font>
      <b/>
      <sz val="12"/>
      <color rgb="FFFFFF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0.5"/>
      <color rgb="FF800080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9"/>
      <color rgb="FF000000"/>
      <name val="KoPub돋움체 Bold"/>
      <family val="3"/>
      <charset val="129"/>
    </font>
    <font>
      <b/>
      <sz val="9"/>
      <color rgb="FF000000"/>
      <name val="KoPub돋움체 Medium"/>
      <family val="3"/>
      <charset val="129"/>
    </font>
    <font>
      <b/>
      <sz val="9"/>
      <color rgb="FF000000"/>
      <name val="KoPub돋움체 Light"/>
      <family val="3"/>
      <charset val="129"/>
    </font>
    <font>
      <b/>
      <sz val="12"/>
      <color rgb="FFFF0000"/>
      <name val="맑은 고딕"/>
      <family val="3"/>
      <charset val="129"/>
    </font>
    <font>
      <b/>
      <sz val="14"/>
      <color rgb="FF008000"/>
      <name val="맑은 고딕"/>
      <family val="3"/>
      <charset val="129"/>
    </font>
    <font>
      <b/>
      <sz val="15"/>
      <color rgb="FFFF0000"/>
      <name val="맑은 고딕"/>
      <family val="3"/>
      <charset val="129"/>
    </font>
    <font>
      <b/>
      <sz val="18"/>
      <color rgb="FFFFFF00"/>
      <name val="맑은 고딕"/>
      <family val="3"/>
      <charset val="129"/>
    </font>
    <font>
      <b/>
      <sz val="12"/>
      <color rgb="FF0000FF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6"/>
      <color rgb="FF0000FF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8"/>
      <color rgb="FF008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6"/>
      <color rgb="FF0070C0"/>
      <name val="맑은 고딕"/>
      <family val="3"/>
      <charset val="129"/>
    </font>
    <font>
      <b/>
      <sz val="16"/>
      <color rgb="FF800080"/>
      <name val="맑은 고딕"/>
      <family val="3"/>
      <charset val="129"/>
    </font>
    <font>
      <b/>
      <sz val="16"/>
      <color rgb="FF008000"/>
      <name val="맑은 고딕"/>
      <family val="3"/>
      <charset val="129"/>
    </font>
    <font>
      <b/>
      <sz val="9.5"/>
      <color rgb="FF00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b/>
      <sz val="12"/>
      <color rgb="FF008000"/>
      <name val="맑은 고딕"/>
      <family val="3"/>
      <charset val="129"/>
    </font>
    <font>
      <b/>
      <sz val="12"/>
      <color rgb="FF800080"/>
      <name val="맑은 고딕"/>
      <family val="3"/>
      <charset val="129"/>
    </font>
    <font>
      <b/>
      <sz val="12"/>
      <color rgb="FF699B37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strike/>
      <sz val="11"/>
      <color rgb="FFFF0000"/>
      <name val="맑은 고딕"/>
      <family val="3"/>
      <charset val="129"/>
    </font>
    <font>
      <strike/>
      <sz val="11"/>
      <color rgb="FF000000"/>
      <name val="맑은 고딕"/>
      <family val="3"/>
      <charset val="129"/>
    </font>
    <font>
      <b/>
      <strike/>
      <sz val="11"/>
      <color rgb="FFFF0000"/>
      <name val="맑은 고딕"/>
      <family val="3"/>
      <charset val="129"/>
    </font>
    <font>
      <b/>
      <strike/>
      <sz val="12"/>
      <color rgb="FF800080"/>
      <name val="맑은 고딕"/>
      <family val="3"/>
      <charset val="129"/>
    </font>
    <font>
      <b/>
      <strike/>
      <sz val="12"/>
      <color rgb="FF000000"/>
      <name val="맑은 고딕"/>
      <family val="3"/>
      <charset val="129"/>
    </font>
    <font>
      <b/>
      <strike/>
      <sz val="12"/>
      <color rgb="FF699B37"/>
      <name val="맑은 고딕"/>
      <family val="3"/>
      <charset val="129"/>
    </font>
    <font>
      <b/>
      <strike/>
      <sz val="12"/>
      <color rgb="FFFF0000"/>
      <name val="맑은 고딕"/>
      <family val="3"/>
      <charset val="129"/>
    </font>
    <font>
      <b/>
      <strike/>
      <sz val="12"/>
      <color rgb="FF0000FF"/>
      <name val="맑은 고딕"/>
      <family val="3"/>
      <charset val="129"/>
    </font>
    <font>
      <b/>
      <strike/>
      <sz val="12"/>
      <color rgb="FFFFFF00"/>
      <name val="맑은 고딕"/>
      <family val="3"/>
      <charset val="129"/>
    </font>
    <font>
      <b/>
      <strike/>
      <sz val="16"/>
      <color rgb="FF0000FF"/>
      <name val="맑은 고딕"/>
      <family val="3"/>
      <charset val="129"/>
    </font>
    <font>
      <b/>
      <strike/>
      <sz val="16"/>
      <color rgb="FF000000"/>
      <name val="맑은 고딕"/>
      <family val="3"/>
      <charset val="129"/>
    </font>
    <font>
      <b/>
      <strike/>
      <sz val="18"/>
      <color rgb="FFFF0000"/>
      <name val="맑은 고딕"/>
      <family val="3"/>
      <charset val="129"/>
    </font>
    <font>
      <b/>
      <strike/>
      <sz val="18"/>
      <color rgb="FF008000"/>
      <name val="맑은 고딕"/>
      <family val="3"/>
      <charset val="129"/>
    </font>
    <font>
      <b/>
      <strike/>
      <sz val="14"/>
      <color rgb="FF0000FF"/>
      <name val="맑은 고딕"/>
      <family val="3"/>
      <charset val="129"/>
    </font>
    <font>
      <b/>
      <strike/>
      <sz val="16"/>
      <color rgb="FF0070C0"/>
      <name val="맑은 고딕"/>
      <family val="3"/>
      <charset val="129"/>
    </font>
    <font>
      <b/>
      <strike/>
      <sz val="16"/>
      <color rgb="FF800080"/>
      <name val="맑은 고딕"/>
      <family val="3"/>
      <charset val="129"/>
    </font>
    <font>
      <b/>
      <strike/>
      <sz val="16"/>
      <color rgb="FF008000"/>
      <name val="맑은 고딕"/>
      <family val="3"/>
      <charset val="129"/>
    </font>
    <font>
      <b/>
      <strike/>
      <sz val="12"/>
      <color rgb="FF008000"/>
      <name val="맑은 고딕"/>
      <family val="3"/>
      <charset val="129"/>
    </font>
    <font>
      <b/>
      <sz val="11"/>
      <color rgb="FF008000"/>
      <name val="맑은 고딕"/>
      <family val="3"/>
      <charset val="129"/>
    </font>
    <font>
      <b/>
      <sz val="24"/>
      <color rgb="FFFFFF00"/>
      <name val="맑은 고딕"/>
      <family val="3"/>
      <charset val="129"/>
    </font>
    <font>
      <b/>
      <sz val="24"/>
      <color rgb="FF80008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4"/>
      <color rgb="FF800080"/>
      <name val="맑은 고딕"/>
      <family val="3"/>
      <charset val="129"/>
    </font>
    <font>
      <b/>
      <sz val="11"/>
      <color rgb="FF315F97"/>
      <name val="맑은 고딕"/>
      <family val="3"/>
      <charset val="129"/>
    </font>
    <font>
      <b/>
      <u/>
      <sz val="15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굴림"/>
      <family val="3"/>
      <charset val="129"/>
    </font>
    <font>
      <sz val="8"/>
      <name val="돋움"/>
      <family val="3"/>
      <charset val="129"/>
    </font>
    <font>
      <b/>
      <sz val="14"/>
      <color rgb="FF00B050"/>
      <name val="맑은 고딕"/>
      <family val="3"/>
      <charset val="129"/>
    </font>
    <font>
      <b/>
      <sz val="16"/>
      <color rgb="FF358791"/>
      <name val="맑은 고딕"/>
      <family val="3"/>
      <charset val="129"/>
    </font>
    <font>
      <b/>
      <strike/>
      <sz val="16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11"/>
      <color rgb="FF00B0F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rgb="FF0070C0"/>
      <name val="맑은 고딕"/>
      <family val="3"/>
      <charset val="129"/>
    </font>
    <font>
      <b/>
      <sz val="6"/>
      <color rgb="FF00B050"/>
      <name val="맑은 고딕"/>
      <family val="3"/>
      <charset val="129"/>
    </font>
    <font>
      <b/>
      <sz val="6"/>
      <color rgb="FF0000FF"/>
      <name val="맑은 고딕"/>
      <family val="3"/>
      <charset val="129"/>
    </font>
    <font>
      <i/>
      <u/>
      <sz val="11"/>
      <color rgb="FF000000"/>
      <name val="맑은 고딕"/>
      <family val="3"/>
      <charset val="129"/>
    </font>
    <font>
      <i/>
      <u/>
      <sz val="11"/>
      <color theme="1"/>
      <name val="맑은 고딕"/>
      <family val="3"/>
      <charset val="129"/>
    </font>
    <font>
      <b/>
      <strike/>
      <sz val="14"/>
      <color rgb="FFFF0000"/>
      <name val="맑은 고딕"/>
      <family val="3"/>
      <charset val="129"/>
    </font>
    <font>
      <b/>
      <strike/>
      <sz val="14"/>
      <color rgb="FF00000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trike/>
      <sz val="14"/>
      <color theme="1"/>
      <name val="맑은 고딕"/>
      <family val="3"/>
      <charset val="129"/>
    </font>
    <font>
      <b/>
      <sz val="9"/>
      <color rgb="FF800080"/>
      <name val="맑은 고딕"/>
      <family val="3"/>
      <charset val="129"/>
    </font>
    <font>
      <b/>
      <sz val="14"/>
      <color rgb="FFFFFF00"/>
      <name val="맑은 고딕"/>
      <family val="3"/>
      <charset val="129"/>
    </font>
  </fonts>
  <fills count="48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AE2B"/>
        <bgColor indexed="64"/>
      </patternFill>
    </fill>
    <fill>
      <patternFill patternType="solid">
        <fgColor rgb="FFFFD633"/>
        <bgColor indexed="64"/>
      </patternFill>
    </fill>
    <fill>
      <patternFill patternType="solid">
        <fgColor rgb="FF1EA7F1"/>
        <bgColor indexed="64"/>
      </patternFill>
    </fill>
    <fill>
      <patternFill patternType="solid">
        <fgColor rgb="FFE3DCC1"/>
        <bgColor indexed="64"/>
      </patternFill>
    </fill>
    <fill>
      <patternFill patternType="solid">
        <fgColor rgb="FFD5C9A2"/>
        <bgColor indexed="64"/>
      </patternFill>
    </fill>
    <fill>
      <patternFill patternType="solid">
        <fgColor rgb="FFE8B8B8"/>
        <bgColor indexed="64"/>
      </patternFill>
    </fill>
    <fill>
      <patternFill patternType="solid">
        <fgColor rgb="FFECBB53"/>
        <bgColor indexed="64"/>
      </patternFill>
    </fill>
    <fill>
      <patternFill patternType="solid">
        <fgColor rgb="FFDD9797"/>
        <bgColor indexed="64"/>
      </patternFill>
    </fill>
    <fill>
      <patternFill patternType="solid">
        <fgColor rgb="FFD6CCA4"/>
        <bgColor indexed="64"/>
      </patternFill>
    </fill>
    <fill>
      <patternFill patternType="solid">
        <fgColor rgb="FFE9BBDB"/>
        <bgColor indexed="64"/>
      </patternFill>
    </fill>
    <fill>
      <patternFill patternType="solid">
        <fgColor rgb="FFEABCDC"/>
        <bgColor indexed="64"/>
      </patternFill>
    </fill>
    <fill>
      <patternFill patternType="solid">
        <fgColor rgb="FFDF9ACA"/>
        <bgColor indexed="64"/>
      </patternFill>
    </fill>
    <fill>
      <patternFill patternType="solid">
        <fgColor rgb="FFEBDEF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C2B379"/>
        <bgColor indexed="64"/>
      </patternFill>
    </fill>
    <fill>
      <patternFill patternType="solid">
        <fgColor rgb="FFEEEADA"/>
        <bgColor indexed="64"/>
      </patternFill>
    </fill>
    <fill>
      <patternFill patternType="solid">
        <fgColor rgb="FF358791"/>
        <bgColor indexed="64"/>
      </patternFill>
    </fill>
    <fill>
      <patternFill patternType="solid">
        <fgColor rgb="FFBAFF1A"/>
        <bgColor indexed="64"/>
      </patternFill>
    </fill>
    <fill>
      <patternFill patternType="solid">
        <fgColor rgb="FFF4DEEE"/>
        <bgColor indexed="64"/>
      </patternFill>
    </fill>
    <fill>
      <patternFill patternType="solid">
        <fgColor rgb="FFCA56A7"/>
        <bgColor indexed="64"/>
      </patternFill>
    </fill>
    <fill>
      <patternFill patternType="solid">
        <fgColor rgb="FFA3D7DE"/>
        <bgColor indexed="64"/>
      </patternFill>
    </fill>
    <fill>
      <patternFill patternType="solid">
        <fgColor rgb="FF699B3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C8713"/>
        <bgColor indexed="64"/>
      </patternFill>
    </fill>
    <fill>
      <patternFill patternType="solid">
        <fgColor rgb="FF7D5A0D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rgb="FF315F97"/>
      </bottom>
      <diagonal/>
    </border>
    <border>
      <left/>
      <right/>
      <top style="thin">
        <color rgb="FF315F97"/>
      </top>
      <bottom style="double">
        <color rgb="FF315F9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 style="medium">
        <color rgb="FFA6A6A6"/>
      </left>
      <right style="medium">
        <color auto="1"/>
      </right>
      <top/>
      <bottom style="medium">
        <color rgb="FFA6A6A6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A6A6A6"/>
      </left>
      <right style="medium">
        <color rgb="FFA6A6A6"/>
      </right>
      <top style="medium">
        <color auto="1"/>
      </top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 style="medium">
        <color rgb="FFBFBFBF"/>
      </top>
      <bottom style="medium">
        <color rgb="FFBFBFBF"/>
      </bottom>
      <diagonal/>
    </border>
    <border>
      <left style="medium">
        <color rgb="FFA6A6A6"/>
      </left>
      <right style="medium">
        <color rgb="FFA6A6A6"/>
      </right>
      <top style="medium">
        <color rgb="FFBFBFBF"/>
      </top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A6A6A6"/>
      </bottom>
      <diagonal/>
    </border>
    <border>
      <left/>
      <right/>
      <top/>
      <bottom style="medium">
        <color rgb="FFA6A6A6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/>
      <top style="medium">
        <color rgb="FF000000"/>
      </top>
      <bottom style="medium">
        <color rgb="FF000000"/>
      </bottom>
      <diagonal/>
    </border>
  </borders>
  <cellStyleXfs count="5">
    <xf numFmtId="0" fontId="0" fillId="0" borderId="0">
      <alignment vertical="center"/>
    </xf>
    <xf numFmtId="0" fontId="2" fillId="0" borderId="1">
      <alignment vertical="center"/>
    </xf>
    <xf numFmtId="0" fontId="3" fillId="0" borderId="2">
      <alignment vertical="center"/>
    </xf>
    <xf numFmtId="0" fontId="4" fillId="2" borderId="0">
      <alignment vertical="center"/>
    </xf>
    <xf numFmtId="0" fontId="5" fillId="3" borderId="0">
      <alignment vertical="center"/>
    </xf>
  </cellStyleXfs>
  <cellXfs count="540"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6" fillId="0" borderId="0" xfId="0" applyNumberFormat="1" applyFont="1">
      <alignment vertical="center"/>
    </xf>
    <xf numFmtId="0" fontId="6" fillId="0" borderId="0" xfId="0" applyNumberFormat="1" applyFont="1" applyAlignment="1">
      <alignment horizontal="right" vertical="center"/>
    </xf>
    <xf numFmtId="0" fontId="7" fillId="0" borderId="0" xfId="0" applyNumberFormat="1" applyFont="1">
      <alignment vertical="center"/>
    </xf>
    <xf numFmtId="0" fontId="8" fillId="0" borderId="0" xfId="0" applyNumberFormat="1" applyFont="1">
      <alignment vertical="center"/>
    </xf>
    <xf numFmtId="0" fontId="7" fillId="0" borderId="0" xfId="0" applyNumberFormat="1" applyFont="1" applyAlignment="1">
      <alignment horizontal="center" vertical="center"/>
    </xf>
    <xf numFmtId="0" fontId="0" fillId="4" borderId="0" xfId="0" applyNumberFormat="1" applyFill="1">
      <alignment vertical="center"/>
    </xf>
    <xf numFmtId="0" fontId="0" fillId="0" borderId="0" xfId="0" applyNumberFormat="1" applyAlignment="1">
      <alignment horizontal="center" vertical="center"/>
    </xf>
    <xf numFmtId="0" fontId="0" fillId="5" borderId="0" xfId="0" applyNumberFormat="1" applyFill="1">
      <alignment vertical="center"/>
    </xf>
    <xf numFmtId="2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6" borderId="0" xfId="0" applyNumberFormat="1" applyFill="1">
      <alignment vertical="center"/>
    </xf>
    <xf numFmtId="0" fontId="0" fillId="7" borderId="0" xfId="0" applyNumberFormat="1" applyFill="1">
      <alignment vertical="center"/>
    </xf>
    <xf numFmtId="0" fontId="0" fillId="8" borderId="0" xfId="0" applyNumberFormat="1" applyFill="1">
      <alignment vertical="center"/>
    </xf>
    <xf numFmtId="0" fontId="0" fillId="9" borderId="0" xfId="0" applyNumberFormat="1" applyFill="1">
      <alignment vertical="center"/>
    </xf>
    <xf numFmtId="0" fontId="0" fillId="6" borderId="0" xfId="0" applyNumberFormat="1" applyFill="1" applyAlignment="1">
      <alignment vertical="center" wrapText="1"/>
    </xf>
    <xf numFmtId="0" fontId="0" fillId="4" borderId="0" xfId="0" applyNumberFormat="1" applyFill="1" applyAlignment="1">
      <alignment horizontal="center" vertical="center"/>
    </xf>
    <xf numFmtId="0" fontId="0" fillId="8" borderId="0" xfId="0" applyNumberFormat="1" applyFill="1" applyAlignment="1">
      <alignment horizontal="center" vertical="center" wrapText="1"/>
    </xf>
    <xf numFmtId="0" fontId="0" fillId="6" borderId="0" xfId="0" applyNumberFormat="1" applyFill="1" applyAlignment="1">
      <alignment horizontal="center" vertical="center" wrapText="1"/>
    </xf>
    <xf numFmtId="0" fontId="0" fillId="5" borderId="0" xfId="0" applyNumberFormat="1" applyFill="1" applyAlignment="1">
      <alignment horizontal="center" vertical="center" wrapText="1"/>
    </xf>
    <xf numFmtId="0" fontId="0" fillId="10" borderId="0" xfId="0" applyNumberFormat="1" applyFill="1">
      <alignment vertical="center"/>
    </xf>
    <xf numFmtId="0" fontId="0" fillId="11" borderId="0" xfId="0" applyNumberFormat="1" applyFill="1">
      <alignment vertical="center"/>
    </xf>
    <xf numFmtId="0" fontId="0" fillId="11" borderId="0" xfId="0" applyNumberFormat="1" applyFill="1" applyAlignment="1">
      <alignment horizontal="center" vertical="center" wrapText="1"/>
    </xf>
    <xf numFmtId="0" fontId="0" fillId="12" borderId="0" xfId="0" applyNumberFormat="1" applyFill="1">
      <alignment vertical="center"/>
    </xf>
    <xf numFmtId="0" fontId="0" fillId="12" borderId="0" xfId="0" applyNumberFormat="1" applyFill="1" applyAlignment="1">
      <alignment horizontal="center" vertical="center" wrapText="1"/>
    </xf>
    <xf numFmtId="0" fontId="0" fillId="4" borderId="0" xfId="0" applyNumberFormat="1" applyFill="1" applyAlignment="1">
      <alignment horizontal="center" vertical="center" wrapText="1"/>
    </xf>
    <xf numFmtId="0" fontId="0" fillId="10" borderId="0" xfId="0" applyNumberFormat="1" applyFill="1" applyAlignment="1">
      <alignment horizontal="center" vertical="center" wrapText="1"/>
    </xf>
    <xf numFmtId="0" fontId="0" fillId="9" borderId="0" xfId="0" applyNumberFormat="1" applyFill="1" applyAlignment="1">
      <alignment vertical="center" wrapText="1"/>
    </xf>
    <xf numFmtId="0" fontId="0" fillId="7" borderId="0" xfId="0" applyNumberFormat="1" applyFill="1" applyAlignment="1">
      <alignment vertical="center" wrapText="1"/>
    </xf>
    <xf numFmtId="178" fontId="0" fillId="4" borderId="0" xfId="0" applyNumberFormat="1" applyFill="1">
      <alignment vertical="center"/>
    </xf>
    <xf numFmtId="0" fontId="0" fillId="13" borderId="0" xfId="0" applyNumberFormat="1" applyFill="1">
      <alignment vertical="center"/>
    </xf>
    <xf numFmtId="1" fontId="0" fillId="0" borderId="0" xfId="0" applyNumberFormat="1">
      <alignment vertical="center"/>
    </xf>
    <xf numFmtId="0" fontId="0" fillId="5" borderId="0" xfId="0" applyNumberFormat="1" applyFill="1" applyAlignment="1">
      <alignment vertical="center" wrapText="1"/>
    </xf>
    <xf numFmtId="0" fontId="0" fillId="13" borderId="0" xfId="0" applyNumberFormat="1" applyFill="1" applyAlignment="1">
      <alignment vertical="center" wrapText="1"/>
    </xf>
    <xf numFmtId="2" fontId="0" fillId="0" borderId="0" xfId="0" applyNumberFormat="1" applyAlignment="1">
      <alignment horizontal="right" vertical="center"/>
    </xf>
    <xf numFmtId="0" fontId="0" fillId="7" borderId="0" xfId="0" applyNumberFormat="1" applyFill="1" applyAlignment="1">
      <alignment horizontal="center" vertical="center" wrapText="1"/>
    </xf>
    <xf numFmtId="0" fontId="0" fillId="14" borderId="0" xfId="0" applyNumberFormat="1" applyFill="1">
      <alignment vertical="center"/>
    </xf>
    <xf numFmtId="0" fontId="0" fillId="14" borderId="0" xfId="0" applyNumberFormat="1" applyFill="1" applyAlignment="1">
      <alignment horizontal="center" vertical="center" wrapText="1"/>
    </xf>
    <xf numFmtId="2" fontId="0" fillId="4" borderId="0" xfId="0" applyNumberFormat="1" applyFill="1">
      <alignment vertical="center"/>
    </xf>
    <xf numFmtId="0" fontId="9" fillId="4" borderId="0" xfId="0" applyNumberFormat="1" applyFont="1" applyFill="1">
      <alignment vertical="center"/>
    </xf>
    <xf numFmtId="0" fontId="0" fillId="4" borderId="0" xfId="0" applyNumberFormat="1" applyFill="1" applyAlignment="1">
      <alignment vertical="center" wrapText="1"/>
    </xf>
    <xf numFmtId="0" fontId="0" fillId="15" borderId="0" xfId="0" applyNumberFormat="1" applyFill="1">
      <alignment vertical="center"/>
    </xf>
    <xf numFmtId="0" fontId="0" fillId="16" borderId="0" xfId="0" applyNumberFormat="1" applyFill="1">
      <alignment vertical="center"/>
    </xf>
    <xf numFmtId="0" fontId="8" fillId="0" borderId="0" xfId="0" applyNumberFormat="1" applyFont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 wrapText="1"/>
    </xf>
    <xf numFmtId="0" fontId="0" fillId="17" borderId="0" xfId="0" applyNumberFormat="1" applyFill="1">
      <alignment vertical="center"/>
    </xf>
    <xf numFmtId="0" fontId="10" fillId="0" borderId="3" xfId="0" applyNumberFormat="1" applyFont="1" applyBorder="1" applyAlignment="1">
      <alignment horizontal="center" vertical="center" wrapText="1"/>
    </xf>
    <xf numFmtId="0" fontId="0" fillId="18" borderId="0" xfId="0" applyNumberFormat="1" applyFill="1">
      <alignment vertical="center"/>
    </xf>
    <xf numFmtId="1" fontId="0" fillId="4" borderId="0" xfId="0" applyNumberFormat="1" applyFill="1">
      <alignment vertical="center"/>
    </xf>
    <xf numFmtId="0" fontId="7" fillId="4" borderId="0" xfId="0" applyNumberFormat="1" applyFont="1" applyFill="1">
      <alignment vertical="center"/>
    </xf>
    <xf numFmtId="0" fontId="11" fillId="4" borderId="0" xfId="0" applyNumberFormat="1" applyFont="1" applyFill="1" applyAlignment="1">
      <alignment vertical="center" wrapText="1"/>
    </xf>
    <xf numFmtId="0" fontId="0" fillId="19" borderId="0" xfId="0" applyNumberFormat="1" applyFill="1">
      <alignment vertical="center"/>
    </xf>
    <xf numFmtId="0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12" fillId="0" borderId="3" xfId="0" applyNumberFormat="1" applyFont="1" applyBorder="1" applyAlignment="1">
      <alignment horizontal="center" vertical="center" wrapText="1"/>
    </xf>
    <xf numFmtId="0" fontId="11" fillId="8" borderId="0" xfId="0" applyNumberFormat="1" applyFont="1" applyFill="1" applyAlignment="1">
      <alignment vertical="center" wrapText="1"/>
    </xf>
    <xf numFmtId="179" fontId="0" fillId="15" borderId="0" xfId="0" applyNumberFormat="1" applyFill="1">
      <alignment vertical="center"/>
    </xf>
    <xf numFmtId="177" fontId="8" fillId="0" borderId="0" xfId="0" applyNumberFormat="1" applyFont="1" applyAlignment="1">
      <alignment horizontal="center" vertical="center" wrapText="1"/>
    </xf>
    <xf numFmtId="0" fontId="0" fillId="20" borderId="0" xfId="0" applyNumberFormat="1" applyFill="1">
      <alignment vertical="center"/>
    </xf>
    <xf numFmtId="0" fontId="0" fillId="21" borderId="0" xfId="0" applyNumberFormat="1" applyFill="1">
      <alignment vertical="center"/>
    </xf>
    <xf numFmtId="0" fontId="7" fillId="16" borderId="0" xfId="0" applyNumberFormat="1" applyFont="1" applyFill="1">
      <alignment vertical="center"/>
    </xf>
    <xf numFmtId="0" fontId="0" fillId="22" borderId="0" xfId="0" applyNumberFormat="1" applyFill="1">
      <alignment vertical="center"/>
    </xf>
    <xf numFmtId="0" fontId="0" fillId="23" borderId="0" xfId="0" applyNumberFormat="1" applyFill="1">
      <alignment vertical="center"/>
    </xf>
    <xf numFmtId="0" fontId="0" fillId="24" borderId="0" xfId="0" applyNumberFormat="1" applyFill="1">
      <alignment vertical="center"/>
    </xf>
    <xf numFmtId="0" fontId="0" fillId="25" borderId="0" xfId="0" applyNumberFormat="1" applyFill="1" applyAlignment="1">
      <alignment vertical="center" wrapText="1"/>
    </xf>
    <xf numFmtId="0" fontId="0" fillId="25" borderId="0" xfId="0" applyNumberFormat="1" applyFill="1">
      <alignment vertical="center"/>
    </xf>
    <xf numFmtId="2" fontId="0" fillId="15" borderId="0" xfId="0" applyNumberFormat="1" applyFill="1">
      <alignment vertical="center"/>
    </xf>
    <xf numFmtId="0" fontId="6" fillId="0" borderId="0" xfId="0" applyNumberFormat="1" applyFont="1" applyAlignment="1">
      <alignment horizontal="center" vertical="center"/>
    </xf>
    <xf numFmtId="0" fontId="13" fillId="0" borderId="0" xfId="0" applyNumberFormat="1" applyFont="1">
      <alignment vertical="center"/>
    </xf>
    <xf numFmtId="0" fontId="14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0" fillId="26" borderId="0" xfId="0" applyNumberFormat="1" applyFont="1" applyFill="1">
      <alignment vertical="center"/>
    </xf>
    <xf numFmtId="0" fontId="0" fillId="0" borderId="0" xfId="0" applyNumberFormat="1" applyFill="1">
      <alignment vertical="center"/>
    </xf>
    <xf numFmtId="0" fontId="14" fillId="4" borderId="0" xfId="0" applyNumberFormat="1" applyFont="1" applyFill="1">
      <alignment vertical="center"/>
    </xf>
    <xf numFmtId="178" fontId="7" fillId="4" borderId="0" xfId="0" applyNumberFormat="1" applyFont="1" applyFill="1">
      <alignment vertical="center"/>
    </xf>
    <xf numFmtId="0" fontId="0" fillId="17" borderId="0" xfId="0" applyNumberFormat="1" applyFont="1" applyFill="1">
      <alignment vertical="center"/>
    </xf>
    <xf numFmtId="0" fontId="0" fillId="18" borderId="0" xfId="0" applyNumberFormat="1" applyFont="1" applyFill="1">
      <alignment vertical="center"/>
    </xf>
    <xf numFmtId="0" fontId="7" fillId="5" borderId="0" xfId="0" applyNumberFormat="1" applyFont="1" applyFill="1">
      <alignment vertical="center"/>
    </xf>
    <xf numFmtId="1" fontId="14" fillId="4" borderId="0" xfId="0" applyNumberFormat="1" applyFont="1" applyFill="1">
      <alignment vertical="center"/>
    </xf>
    <xf numFmtId="0" fontId="0" fillId="0" borderId="0" xfId="0" applyNumberFormat="1" applyFont="1">
      <alignment vertical="center"/>
    </xf>
    <xf numFmtId="0" fontId="0" fillId="27" borderId="0" xfId="0" applyNumberFormat="1" applyFill="1">
      <alignment vertical="center"/>
    </xf>
    <xf numFmtId="178" fontId="0" fillId="0" borderId="0" xfId="0" applyNumberFormat="1" applyFont="1">
      <alignment vertical="center"/>
    </xf>
    <xf numFmtId="0" fontId="0" fillId="27" borderId="0" xfId="0" applyNumberFormat="1" applyFont="1" applyFill="1" applyAlignment="1">
      <alignment vertical="center" wrapText="1"/>
    </xf>
    <xf numFmtId="0" fontId="0" fillId="26" borderId="0" xfId="0" applyNumberFormat="1" applyFont="1" applyFill="1">
      <alignment vertical="center"/>
    </xf>
    <xf numFmtId="0" fontId="0" fillId="4" borderId="0" xfId="0" applyNumberFormat="1" applyFont="1" applyFill="1">
      <alignment vertical="center"/>
    </xf>
    <xf numFmtId="0" fontId="6" fillId="0" borderId="4" xfId="0" applyNumberFormat="1" applyFont="1" applyBorder="1">
      <alignment vertical="center"/>
    </xf>
    <xf numFmtId="0" fontId="6" fillId="0" borderId="4" xfId="0" applyNumberFormat="1" applyFont="1" applyBorder="1" applyAlignment="1">
      <alignment horizontal="center" vertical="center"/>
    </xf>
    <xf numFmtId="0" fontId="0" fillId="28" borderId="0" xfId="0" applyNumberFormat="1" applyFont="1" applyFill="1">
      <alignment vertical="center"/>
    </xf>
    <xf numFmtId="0" fontId="0" fillId="28" borderId="0" xfId="0" applyNumberFormat="1" applyFont="1" applyFill="1">
      <alignment vertical="center"/>
    </xf>
    <xf numFmtId="0" fontId="0" fillId="28" borderId="0" xfId="0" applyNumberFormat="1" applyFill="1">
      <alignment vertical="center"/>
    </xf>
    <xf numFmtId="1" fontId="15" fillId="0" borderId="5" xfId="0" applyNumberFormat="1" applyFont="1" applyFill="1" applyBorder="1" applyAlignment="1">
      <alignment horizontal="center" vertical="center"/>
    </xf>
    <xf numFmtId="2" fontId="7" fillId="0" borderId="0" xfId="0" applyNumberFormat="1" applyFont="1">
      <alignment vertical="center"/>
    </xf>
    <xf numFmtId="2" fontId="7" fillId="4" borderId="0" xfId="0" applyNumberFormat="1" applyFont="1" applyFill="1">
      <alignment vertical="center"/>
    </xf>
    <xf numFmtId="0" fontId="0" fillId="5" borderId="0" xfId="0" applyNumberFormat="1" applyFont="1" applyFill="1">
      <alignment vertical="center"/>
    </xf>
    <xf numFmtId="0" fontId="7" fillId="4" borderId="0" xfId="0" applyNumberFormat="1" applyFont="1" applyFill="1">
      <alignment vertical="center"/>
    </xf>
    <xf numFmtId="178" fontId="7" fillId="0" borderId="0" xfId="0" applyNumberFormat="1" applyFont="1">
      <alignment vertical="center"/>
    </xf>
    <xf numFmtId="179" fontId="0" fillId="13" borderId="0" xfId="0" applyNumberFormat="1" applyFill="1">
      <alignment vertical="center"/>
    </xf>
    <xf numFmtId="179" fontId="0" fillId="5" borderId="0" xfId="0" applyNumberFormat="1" applyFill="1">
      <alignment vertical="center"/>
    </xf>
    <xf numFmtId="179" fontId="7" fillId="15" borderId="0" xfId="0" applyNumberFormat="1" applyFont="1" applyFill="1">
      <alignment vertical="center"/>
    </xf>
    <xf numFmtId="1" fontId="7" fillId="4" borderId="0" xfId="0" applyNumberFormat="1" applyFont="1" applyFill="1">
      <alignment vertical="center"/>
    </xf>
    <xf numFmtId="0" fontId="0" fillId="29" borderId="0" xfId="0" applyNumberFormat="1" applyFill="1">
      <alignment vertical="center"/>
    </xf>
    <xf numFmtId="1" fontId="0" fillId="29" borderId="0" xfId="0" applyNumberFormat="1" applyFill="1">
      <alignment vertical="center"/>
    </xf>
    <xf numFmtId="2" fontId="0" fillId="29" borderId="0" xfId="0" applyNumberFormat="1" applyFill="1">
      <alignment vertical="center"/>
    </xf>
    <xf numFmtId="0" fontId="14" fillId="4" borderId="0" xfId="0" applyNumberFormat="1" applyFont="1" applyFill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8" borderId="0" xfId="0" applyNumberFormat="1" applyFill="1" applyAlignment="1">
      <alignment horizontal="center" vertical="center" wrapText="1"/>
    </xf>
    <xf numFmtId="0" fontId="0" fillId="11" borderId="0" xfId="0" applyNumberFormat="1" applyFill="1" applyAlignment="1">
      <alignment horizontal="center" vertical="center" wrapText="1"/>
    </xf>
    <xf numFmtId="0" fontId="0" fillId="0" borderId="0" xfId="0" applyNumberFormat="1">
      <alignment vertical="center"/>
    </xf>
    <xf numFmtId="0" fontId="16" fillId="0" borderId="0" xfId="0" applyNumberFormat="1" applyFont="1" applyAlignment="1">
      <alignment horizontal="center" vertical="center"/>
    </xf>
    <xf numFmtId="0" fontId="17" fillId="0" borderId="0" xfId="0" applyNumberFormat="1" applyFont="1" applyAlignment="1">
      <alignment horizontal="center" vertical="center"/>
    </xf>
    <xf numFmtId="1" fontId="18" fillId="0" borderId="5" xfId="0" applyNumberFormat="1" applyFont="1" applyFill="1" applyBorder="1" applyAlignment="1">
      <alignment horizontal="center" vertical="center"/>
    </xf>
    <xf numFmtId="1" fontId="15" fillId="0" borderId="5" xfId="0" applyNumberFormat="1" applyFont="1" applyFill="1" applyBorder="1" applyAlignment="1">
      <alignment horizontal="center" vertical="center"/>
    </xf>
    <xf numFmtId="0" fontId="0" fillId="8" borderId="0" xfId="0" applyNumberFormat="1" applyFill="1" applyAlignment="1">
      <alignment horizontal="center" vertical="center" wrapText="1"/>
    </xf>
    <xf numFmtId="0" fontId="0" fillId="12" borderId="0" xfId="0" applyNumberFormat="1" applyFill="1" applyAlignment="1">
      <alignment horizontal="center" vertical="center" wrapText="1"/>
    </xf>
    <xf numFmtId="0" fontId="0" fillId="6" borderId="0" xfId="0" applyNumberFormat="1" applyFill="1" applyAlignment="1">
      <alignment horizontal="center" vertical="center" wrapText="1"/>
    </xf>
    <xf numFmtId="0" fontId="17" fillId="4" borderId="0" xfId="0" applyNumberFormat="1" applyFont="1" applyFill="1">
      <alignment vertical="center"/>
    </xf>
    <xf numFmtId="0" fontId="0" fillId="30" borderId="0" xfId="0" applyNumberFormat="1" applyFill="1">
      <alignment vertical="center"/>
    </xf>
    <xf numFmtId="0" fontId="0" fillId="31" borderId="0" xfId="0" applyNumberFormat="1" applyFill="1">
      <alignment vertical="center"/>
    </xf>
    <xf numFmtId="0" fontId="0" fillId="32" borderId="0" xfId="0" applyNumberFormat="1" applyFill="1">
      <alignment vertical="center"/>
    </xf>
    <xf numFmtId="0" fontId="0" fillId="33" borderId="0" xfId="0" applyNumberFormat="1" applyFill="1">
      <alignment vertical="center"/>
    </xf>
    <xf numFmtId="179" fontId="0" fillId="0" borderId="0" xfId="0" applyNumberFormat="1" applyFill="1">
      <alignment vertical="center"/>
    </xf>
    <xf numFmtId="0" fontId="0" fillId="34" borderId="0" xfId="0" applyNumberFormat="1" applyFill="1">
      <alignment vertical="center"/>
    </xf>
    <xf numFmtId="1" fontId="0" fillId="0" borderId="0" xfId="0" applyNumberFormat="1" applyFill="1">
      <alignment vertical="center"/>
    </xf>
    <xf numFmtId="178" fontId="0" fillId="0" borderId="0" xfId="0" applyNumberFormat="1" applyFill="1">
      <alignment vertical="center"/>
    </xf>
    <xf numFmtId="0" fontId="0" fillId="35" borderId="0" xfId="0" applyNumberFormat="1" applyFill="1">
      <alignment vertical="center"/>
    </xf>
    <xf numFmtId="0" fontId="0" fillId="36" borderId="0" xfId="0" applyNumberFormat="1" applyFont="1" applyFill="1" applyAlignment="1">
      <alignment vertical="center" wrapText="1"/>
    </xf>
    <xf numFmtId="0" fontId="0" fillId="36" borderId="0" xfId="0" applyNumberFormat="1" applyFill="1">
      <alignment vertical="center"/>
    </xf>
    <xf numFmtId="0" fontId="7" fillId="0" borderId="0" xfId="0" applyNumberFormat="1" applyFont="1" applyFill="1">
      <alignment vertical="center"/>
    </xf>
    <xf numFmtId="0" fontId="0" fillId="37" borderId="0" xfId="0" applyNumberFormat="1" applyFill="1">
      <alignment vertical="center"/>
    </xf>
    <xf numFmtId="0" fontId="0" fillId="37" borderId="0" xfId="0" applyNumberFormat="1" applyFont="1" applyFill="1" applyAlignment="1">
      <alignment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38" borderId="0" xfId="0" applyNumberFormat="1" applyFill="1">
      <alignment vertical="center"/>
    </xf>
    <xf numFmtId="179" fontId="19" fillId="39" borderId="5" xfId="0" applyNumberFormat="1" applyFont="1" applyFill="1" applyBorder="1" applyAlignment="1">
      <alignment horizontal="center" vertical="center"/>
    </xf>
    <xf numFmtId="1" fontId="15" fillId="0" borderId="5" xfId="0" applyNumberFormat="1" applyFont="1" applyBorder="1" applyAlignment="1">
      <alignment horizontal="center" vertical="center"/>
    </xf>
    <xf numFmtId="1" fontId="15" fillId="0" borderId="6" xfId="0" applyNumberFormat="1" applyFont="1" applyBorder="1" applyAlignment="1">
      <alignment horizontal="center" vertical="center"/>
    </xf>
    <xf numFmtId="1" fontId="20" fillId="0" borderId="6" xfId="0" applyNumberFormat="1" applyFont="1" applyBorder="1" applyAlignment="1">
      <alignment horizontal="center" vertical="center"/>
    </xf>
    <xf numFmtId="0" fontId="21" fillId="0" borderId="6" xfId="0" applyNumberFormat="1" applyFont="1" applyBorder="1" applyAlignment="1">
      <alignment horizontal="center" vertical="center"/>
    </xf>
    <xf numFmtId="0" fontId="15" fillId="0" borderId="6" xfId="0" applyNumberFormat="1" applyFont="1" applyBorder="1" applyAlignment="1">
      <alignment horizontal="center" vertical="center"/>
    </xf>
    <xf numFmtId="0" fontId="22" fillId="0" borderId="0" xfId="0" applyNumberFormat="1" applyFont="1" applyAlignment="1">
      <alignment horizontal="center" vertical="center"/>
    </xf>
    <xf numFmtId="0" fontId="0" fillId="31" borderId="0" xfId="0" applyNumberFormat="1" applyFont="1" applyFill="1" applyAlignment="1">
      <alignment vertical="center" wrapText="1"/>
    </xf>
    <xf numFmtId="0" fontId="0" fillId="4" borderId="0" xfId="0" applyNumberFormat="1" applyFont="1" applyFill="1" applyAlignment="1">
      <alignment vertical="center" wrapText="1"/>
    </xf>
    <xf numFmtId="0" fontId="0" fillId="38" borderId="0" xfId="0" applyNumberFormat="1" applyFont="1" applyFill="1" applyAlignment="1">
      <alignment vertical="center" wrapText="1"/>
    </xf>
    <xf numFmtId="1" fontId="18" fillId="0" borderId="7" xfId="0" applyNumberFormat="1" applyFont="1" applyFill="1" applyBorder="1" applyAlignment="1">
      <alignment horizontal="center" vertical="center"/>
    </xf>
    <xf numFmtId="0" fontId="23" fillId="40" borderId="8" xfId="2" applyNumberFormat="1" applyFont="1" applyFill="1" applyBorder="1" applyAlignment="1">
      <alignment horizontal="center" vertical="center"/>
    </xf>
    <xf numFmtId="0" fontId="23" fillId="40" borderId="8" xfId="2" applyNumberFormat="1" applyFont="1" applyFill="1" applyBorder="1" applyAlignment="1">
      <alignment horizontal="center" vertical="center" wrapText="1"/>
    </xf>
    <xf numFmtId="0" fontId="23" fillId="40" borderId="9" xfId="2" applyNumberFormat="1" applyFont="1" applyFill="1" applyBorder="1" applyAlignment="1">
      <alignment horizontal="center" vertical="center" wrapText="1"/>
    </xf>
    <xf numFmtId="0" fontId="24" fillId="40" borderId="5" xfId="0" applyNumberFormat="1" applyFont="1" applyFill="1" applyBorder="1" applyAlignment="1">
      <alignment horizontal="center" vertical="center"/>
    </xf>
    <xf numFmtId="0" fontId="24" fillId="40" borderId="6" xfId="0" applyNumberFormat="1" applyFont="1" applyFill="1" applyBorder="1" applyAlignment="1">
      <alignment horizontal="center" vertical="center"/>
    </xf>
    <xf numFmtId="0" fontId="19" fillId="39" borderId="10" xfId="0" applyNumberFormat="1" applyFont="1" applyFill="1" applyBorder="1" applyAlignment="1">
      <alignment horizontal="center" vertical="center"/>
    </xf>
    <xf numFmtId="0" fontId="7" fillId="4" borderId="0" xfId="0" applyNumberFormat="1" applyFont="1" applyFill="1">
      <alignment vertical="center"/>
    </xf>
    <xf numFmtId="0" fontId="23" fillId="40" borderId="11" xfId="2" applyNumberFormat="1" applyFont="1" applyFill="1" applyBorder="1" applyAlignment="1">
      <alignment horizontal="center" vertical="center" wrapText="1"/>
    </xf>
    <xf numFmtId="0" fontId="23" fillId="40" borderId="12" xfId="2" applyNumberFormat="1" applyFont="1" applyFill="1" applyBorder="1" applyAlignment="1">
      <alignment horizontal="center" vertical="center" wrapText="1"/>
    </xf>
    <xf numFmtId="0" fontId="25" fillId="0" borderId="0" xfId="0" applyNumberFormat="1" applyFont="1">
      <alignment vertical="center"/>
    </xf>
    <xf numFmtId="0" fontId="0" fillId="0" borderId="0" xfId="0" applyNumberFormat="1" applyFont="1" applyAlignment="1">
      <alignment horizontal="justify" vertical="center" wrapText="1"/>
    </xf>
    <xf numFmtId="0" fontId="7" fillId="5" borderId="0" xfId="0" applyNumberFormat="1" applyFont="1" applyFill="1">
      <alignment vertical="center"/>
    </xf>
    <xf numFmtId="0" fontId="7" fillId="4" borderId="0" xfId="0" applyNumberFormat="1" applyFont="1" applyFill="1">
      <alignment vertical="center"/>
    </xf>
    <xf numFmtId="0" fontId="14" fillId="4" borderId="0" xfId="0" applyNumberFormat="1" applyFont="1" applyFill="1">
      <alignment vertical="center"/>
    </xf>
    <xf numFmtId="0" fontId="14" fillId="0" borderId="0" xfId="0" applyNumberFormat="1" applyFont="1">
      <alignment vertical="center"/>
    </xf>
    <xf numFmtId="1" fontId="14" fillId="0" borderId="0" xfId="0" applyNumberFormat="1" applyFont="1">
      <alignment vertical="center"/>
    </xf>
    <xf numFmtId="178" fontId="14" fillId="0" borderId="0" xfId="0" applyNumberFormat="1" applyFont="1">
      <alignment vertical="center"/>
    </xf>
    <xf numFmtId="1" fontId="7" fillId="4" borderId="0" xfId="0" applyNumberFormat="1" applyFont="1" applyFill="1">
      <alignment vertical="center"/>
    </xf>
    <xf numFmtId="178" fontId="7" fillId="4" borderId="0" xfId="0" applyNumberFormat="1" applyFont="1" applyFill="1">
      <alignment vertical="center"/>
    </xf>
    <xf numFmtId="0" fontId="7" fillId="4" borderId="0" xfId="0" applyNumberFormat="1" applyFont="1" applyFill="1">
      <alignment vertical="center"/>
    </xf>
    <xf numFmtId="0" fontId="14" fillId="4" borderId="0" xfId="0" applyNumberFormat="1" applyFont="1" applyFill="1">
      <alignment vertical="center"/>
    </xf>
    <xf numFmtId="1" fontId="14" fillId="4" borderId="0" xfId="0" applyNumberFormat="1" applyFont="1" applyFill="1">
      <alignment vertical="center"/>
    </xf>
    <xf numFmtId="0" fontId="0" fillId="8" borderId="0" xfId="0" applyNumberFormat="1" applyFill="1" applyAlignment="1">
      <alignment horizontal="center" vertical="center" wrapText="1"/>
    </xf>
    <xf numFmtId="0" fontId="27" fillId="0" borderId="0" xfId="0" applyNumberFormat="1" applyFont="1">
      <alignment vertical="center"/>
    </xf>
    <xf numFmtId="0" fontId="14" fillId="4" borderId="0" xfId="0" applyNumberFormat="1" applyFont="1" applyFill="1">
      <alignment vertical="center"/>
    </xf>
    <xf numFmtId="0" fontId="28" fillId="4" borderId="0" xfId="0" applyNumberFormat="1" applyFont="1" applyFill="1">
      <alignment vertical="center"/>
    </xf>
    <xf numFmtId="0" fontId="27" fillId="4" borderId="0" xfId="0" applyNumberFormat="1" applyFont="1" applyFill="1">
      <alignment vertical="center"/>
    </xf>
    <xf numFmtId="0" fontId="25" fillId="4" borderId="0" xfId="0" applyNumberFormat="1" applyFont="1" applyFill="1">
      <alignment vertical="center"/>
    </xf>
    <xf numFmtId="0" fontId="29" fillId="4" borderId="3" xfId="0" applyNumberFormat="1" applyFont="1" applyFill="1" applyBorder="1" applyAlignment="1">
      <alignment horizontal="center" vertical="center" wrapText="1"/>
    </xf>
    <xf numFmtId="0" fontId="29" fillId="4" borderId="13" xfId="0" applyNumberFormat="1" applyFont="1" applyFill="1" applyBorder="1" applyAlignment="1">
      <alignment horizontal="center" vertical="center" wrapText="1"/>
    </xf>
    <xf numFmtId="0" fontId="30" fillId="4" borderId="14" xfId="0" applyNumberFormat="1" applyFont="1" applyFill="1" applyBorder="1" applyAlignment="1">
      <alignment horizontal="center" vertical="center" wrapText="1"/>
    </xf>
    <xf numFmtId="0" fontId="31" fillId="4" borderId="3" xfId="0" applyNumberFormat="1" applyFont="1" applyFill="1" applyBorder="1" applyAlignment="1">
      <alignment horizontal="center" vertical="center" wrapText="1"/>
    </xf>
    <xf numFmtId="0" fontId="31" fillId="4" borderId="13" xfId="0" applyNumberFormat="1" applyFont="1" applyFill="1" applyBorder="1" applyAlignment="1">
      <alignment horizontal="center" vertical="center" wrapText="1"/>
    </xf>
    <xf numFmtId="0" fontId="14" fillId="4" borderId="0" xfId="0" applyNumberFormat="1" applyFont="1" applyFill="1">
      <alignment vertical="center"/>
    </xf>
    <xf numFmtId="0" fontId="25" fillId="4" borderId="0" xfId="0" applyNumberFormat="1" applyFont="1" applyFill="1">
      <alignment vertical="center"/>
    </xf>
    <xf numFmtId="0" fontId="17" fillId="4" borderId="0" xfId="0" applyNumberFormat="1" applyFont="1" applyFill="1">
      <alignment vertical="center"/>
    </xf>
    <xf numFmtId="0" fontId="22" fillId="4" borderId="0" xfId="0" applyNumberFormat="1" applyFont="1" applyFill="1">
      <alignment vertical="center"/>
    </xf>
    <xf numFmtId="179" fontId="32" fillId="39" borderId="5" xfId="0" applyNumberFormat="1" applyFont="1" applyFill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/>
    </xf>
    <xf numFmtId="1" fontId="15" fillId="0" borderId="10" xfId="0" applyNumberFormat="1" applyFont="1" applyBorder="1" applyAlignment="1">
      <alignment horizontal="center" vertical="center"/>
    </xf>
    <xf numFmtId="1" fontId="15" fillId="0" borderId="15" xfId="0" applyNumberFormat="1" applyFont="1" applyBorder="1" applyAlignment="1">
      <alignment horizontal="center" vertical="center"/>
    </xf>
    <xf numFmtId="1" fontId="33" fillId="0" borderId="10" xfId="0" applyNumberFormat="1" applyFont="1" applyBorder="1" applyAlignment="1">
      <alignment horizontal="center" vertical="center"/>
    </xf>
    <xf numFmtId="1" fontId="15" fillId="0" borderId="5" xfId="0" applyNumberFormat="1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0" fontId="34" fillId="0" borderId="0" xfId="0" applyNumberFormat="1" applyFont="1">
      <alignment vertical="center"/>
    </xf>
    <xf numFmtId="1" fontId="18" fillId="0" borderId="16" xfId="0" applyNumberFormat="1" applyFont="1" applyFill="1" applyBorder="1" applyAlignment="1">
      <alignment horizontal="center" vertical="center"/>
    </xf>
    <xf numFmtId="0" fontId="27" fillId="0" borderId="0" xfId="0" applyNumberFormat="1" applyFont="1">
      <alignment vertical="center"/>
    </xf>
    <xf numFmtId="1" fontId="15" fillId="0" borderId="16" xfId="0" applyNumberFormat="1" applyFont="1" applyFill="1" applyBorder="1" applyAlignment="1">
      <alignment horizontal="center" vertical="center"/>
    </xf>
    <xf numFmtId="1" fontId="33" fillId="0" borderId="16" xfId="0" applyNumberFormat="1" applyFont="1" applyFill="1" applyBorder="1" applyAlignment="1">
      <alignment horizontal="center" vertical="center"/>
    </xf>
    <xf numFmtId="0" fontId="19" fillId="39" borderId="5" xfId="0" applyNumberFormat="1" applyFont="1" applyFill="1" applyBorder="1" applyAlignment="1">
      <alignment horizontal="center" vertical="center"/>
    </xf>
    <xf numFmtId="0" fontId="32" fillId="39" borderId="5" xfId="0" applyNumberFormat="1" applyFont="1" applyFill="1" applyBorder="1" applyAlignment="1">
      <alignment horizontal="center" vertical="center"/>
    </xf>
    <xf numFmtId="1" fontId="15" fillId="0" borderId="17" xfId="0" applyNumberFormat="1" applyFont="1" applyBorder="1" applyAlignment="1">
      <alignment horizontal="center" vertical="center"/>
    </xf>
    <xf numFmtId="1" fontId="15" fillId="0" borderId="5" xfId="0" applyNumberFormat="1" applyFont="1" applyBorder="1" applyAlignment="1">
      <alignment horizontal="center" vertical="center"/>
    </xf>
    <xf numFmtId="0" fontId="0" fillId="0" borderId="18" xfId="0" applyNumberFormat="1" applyFont="1" applyBorder="1">
      <alignment vertical="center"/>
    </xf>
    <xf numFmtId="0" fontId="6" fillId="0" borderId="18" xfId="0" applyNumberFormat="1" applyFont="1" applyBorder="1">
      <alignment vertical="center"/>
    </xf>
    <xf numFmtId="0" fontId="6" fillId="0" borderId="18" xfId="0" applyNumberFormat="1" applyFont="1" applyFill="1" applyBorder="1" applyAlignment="1" applyProtection="1">
      <alignment vertical="center" wrapText="1"/>
    </xf>
    <xf numFmtId="0" fontId="6" fillId="0" borderId="18" xfId="0" applyNumberFormat="1" applyFont="1" applyFill="1" applyBorder="1" applyAlignment="1" applyProtection="1">
      <alignment vertical="center"/>
    </xf>
    <xf numFmtId="0" fontId="0" fillId="0" borderId="18" xfId="0" applyNumberFormat="1" applyBorder="1">
      <alignment vertical="center"/>
    </xf>
    <xf numFmtId="0" fontId="0" fillId="0" borderId="19" xfId="0" applyNumberFormat="1" applyFont="1" applyBorder="1">
      <alignment vertical="center"/>
    </xf>
    <xf numFmtId="0" fontId="6" fillId="16" borderId="19" xfId="0" applyNumberFormat="1" applyFont="1" applyFill="1" applyBorder="1">
      <alignment vertical="center"/>
    </xf>
    <xf numFmtId="0" fontId="6" fillId="0" borderId="19" xfId="0" applyNumberFormat="1" applyFont="1" applyBorder="1">
      <alignment vertical="center"/>
    </xf>
    <xf numFmtId="0" fontId="6" fillId="0" borderId="19" xfId="0" applyNumberFormat="1" applyFont="1" applyFill="1" applyBorder="1">
      <alignment vertical="center"/>
    </xf>
    <xf numFmtId="0" fontId="0" fillId="0" borderId="19" xfId="0" applyNumberFormat="1" applyBorder="1">
      <alignment vertical="center"/>
    </xf>
    <xf numFmtId="0" fontId="6" fillId="0" borderId="20" xfId="0" applyNumberFormat="1" applyFont="1" applyBorder="1">
      <alignment vertical="center"/>
    </xf>
    <xf numFmtId="0" fontId="6" fillId="0" borderId="21" xfId="0" applyNumberFormat="1" applyFont="1" applyBorder="1">
      <alignment vertical="center"/>
    </xf>
    <xf numFmtId="0" fontId="6" fillId="0" borderId="22" xfId="0" applyNumberFormat="1" applyFont="1" applyBorder="1" applyAlignment="1">
      <alignment horizontal="right" vertical="center"/>
    </xf>
    <xf numFmtId="0" fontId="14" fillId="4" borderId="0" xfId="0" applyNumberFormat="1" applyFont="1" applyFill="1">
      <alignment vertical="center"/>
    </xf>
    <xf numFmtId="0" fontId="35" fillId="41" borderId="0" xfId="0" applyNumberFormat="1" applyFont="1" applyFill="1" applyAlignment="1">
      <alignment vertical="center" wrapText="1"/>
    </xf>
    <xf numFmtId="0" fontId="36" fillId="0" borderId="0" xfId="0" applyNumberFormat="1" applyFont="1">
      <alignment vertical="center"/>
    </xf>
    <xf numFmtId="0" fontId="35" fillId="0" borderId="0" xfId="0" applyNumberFormat="1" applyFont="1" applyFill="1" applyAlignment="1">
      <alignment vertical="center" wrapText="1"/>
    </xf>
    <xf numFmtId="0" fontId="24" fillId="41" borderId="0" xfId="0" applyNumberFormat="1" applyFont="1" applyFill="1" applyAlignment="1">
      <alignment vertical="center" wrapText="1"/>
    </xf>
    <xf numFmtId="0" fontId="14" fillId="0" borderId="23" xfId="0" applyNumberFormat="1" applyFont="1" applyBorder="1">
      <alignment vertical="center"/>
    </xf>
    <xf numFmtId="0" fontId="37" fillId="0" borderId="23" xfId="0" applyNumberFormat="1" applyFont="1" applyFill="1" applyBorder="1">
      <alignment vertical="center"/>
    </xf>
    <xf numFmtId="0" fontId="0" fillId="0" borderId="23" xfId="0" applyNumberFormat="1" applyFill="1" applyBorder="1">
      <alignment vertical="center"/>
    </xf>
    <xf numFmtId="0" fontId="0" fillId="0" borderId="23" xfId="0" applyNumberFormat="1" applyBorder="1">
      <alignment vertical="center"/>
    </xf>
    <xf numFmtId="0" fontId="0" fillId="0" borderId="23" xfId="0" applyNumberFormat="1" applyBorder="1">
      <alignment vertical="center"/>
    </xf>
    <xf numFmtId="0" fontId="23" fillId="40" borderId="23" xfId="2" applyNumberFormat="1" applyFont="1" applyFill="1" applyBorder="1" applyAlignment="1">
      <alignment horizontal="center" vertical="center"/>
    </xf>
    <xf numFmtId="0" fontId="28" fillId="0" borderId="23" xfId="0" applyNumberFormat="1" applyFont="1" applyFill="1" applyBorder="1" applyAlignment="1">
      <alignment horizontal="center" vertical="center" wrapText="1"/>
    </xf>
    <xf numFmtId="1" fontId="41" fillId="0" borderId="23" xfId="0" applyNumberFormat="1" applyFont="1" applyFill="1" applyBorder="1" applyAlignment="1">
      <alignment horizontal="center" vertical="center"/>
    </xf>
    <xf numFmtId="0" fontId="42" fillId="43" borderId="23" xfId="4" applyNumberFormat="1" applyFont="1" applyFill="1" applyBorder="1" applyAlignment="1">
      <alignment horizontal="center" vertical="center"/>
    </xf>
    <xf numFmtId="0" fontId="43" fillId="43" borderId="23" xfId="4" applyNumberFormat="1" applyFont="1" applyFill="1" applyBorder="1" applyAlignment="1">
      <alignment horizontal="center" vertical="center"/>
    </xf>
    <xf numFmtId="0" fontId="44" fillId="43" borderId="23" xfId="4" applyNumberFormat="1" applyFont="1" applyFill="1" applyBorder="1" applyAlignment="1">
      <alignment horizontal="center" vertical="center"/>
    </xf>
    <xf numFmtId="0" fontId="24" fillId="40" borderId="23" xfId="0" applyNumberFormat="1" applyFont="1" applyFill="1" applyBorder="1" applyAlignment="1">
      <alignment horizontal="center" vertical="center"/>
    </xf>
    <xf numFmtId="0" fontId="42" fillId="43" borderId="23" xfId="3" applyNumberFormat="1" applyFont="1" applyFill="1" applyBorder="1" applyAlignment="1">
      <alignment horizontal="center" vertical="center"/>
    </xf>
    <xf numFmtId="0" fontId="43" fillId="43" borderId="23" xfId="3" applyNumberFormat="1" applyFont="1" applyFill="1" applyBorder="1" applyAlignment="1">
      <alignment horizontal="center" vertical="center"/>
    </xf>
    <xf numFmtId="0" fontId="44" fillId="43" borderId="23" xfId="3" applyNumberFormat="1" applyFont="1" applyFill="1" applyBorder="1" applyAlignment="1">
      <alignment horizontal="center" vertical="center"/>
    </xf>
    <xf numFmtId="0" fontId="42" fillId="43" borderId="23" xfId="4" applyNumberFormat="1" applyFont="1" applyFill="1" applyBorder="1" applyAlignment="1">
      <alignment horizontal="center" vertical="center" wrapText="1"/>
    </xf>
    <xf numFmtId="0" fontId="43" fillId="43" borderId="23" xfId="4" applyNumberFormat="1" applyFont="1" applyFill="1" applyBorder="1" applyAlignment="1">
      <alignment horizontal="center" vertical="center" wrapText="1"/>
    </xf>
    <xf numFmtId="0" fontId="44" fillId="43" borderId="23" xfId="4" applyNumberFormat="1" applyFont="1" applyFill="1" applyBorder="1" applyAlignment="1">
      <alignment horizontal="center" vertical="center" wrapText="1"/>
    </xf>
    <xf numFmtId="0" fontId="23" fillId="41" borderId="15" xfId="2" applyNumberFormat="1" applyFont="1" applyFill="1" applyBorder="1" applyAlignment="1">
      <alignment horizontal="center" vertical="center"/>
    </xf>
    <xf numFmtId="0" fontId="23" fillId="41" borderId="15" xfId="2" applyNumberFormat="1" applyFont="1" applyFill="1" applyBorder="1" applyAlignment="1">
      <alignment horizontal="center" vertical="center" wrapText="1"/>
    </xf>
    <xf numFmtId="0" fontId="24" fillId="41" borderId="10" xfId="0" applyNumberFormat="1" applyFont="1" applyFill="1" applyBorder="1" applyAlignment="1">
      <alignment horizontal="center" vertical="center"/>
    </xf>
    <xf numFmtId="179" fontId="24" fillId="41" borderId="5" xfId="0" applyNumberFormat="1" applyFont="1" applyFill="1" applyBorder="1" applyAlignment="1">
      <alignment horizontal="center" vertical="center"/>
    </xf>
    <xf numFmtId="180" fontId="32" fillId="0" borderId="24" xfId="0" applyNumberFormat="1" applyFont="1" applyFill="1" applyBorder="1" applyAlignment="1" applyProtection="1">
      <alignment horizontal="center" vertical="center"/>
    </xf>
    <xf numFmtId="180" fontId="32" fillId="0" borderId="6" xfId="0" applyNumberFormat="1" applyFont="1" applyFill="1" applyBorder="1" applyAlignment="1" applyProtection="1">
      <alignment horizontal="center" vertical="center"/>
    </xf>
    <xf numFmtId="2" fontId="48" fillId="16" borderId="5" xfId="0" applyNumberFormat="1" applyFont="1" applyFill="1" applyBorder="1" applyAlignment="1">
      <alignment horizontal="center" vertical="center"/>
    </xf>
    <xf numFmtId="2" fontId="19" fillId="16" borderId="5" xfId="0" applyNumberFormat="1" applyFont="1" applyFill="1" applyBorder="1" applyAlignment="1">
      <alignment horizontal="center" vertical="center"/>
    </xf>
    <xf numFmtId="2" fontId="49" fillId="16" borderId="5" xfId="0" applyNumberFormat="1" applyFont="1" applyFill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2" fontId="48" fillId="4" borderId="5" xfId="0" applyNumberFormat="1" applyFont="1" applyFill="1" applyBorder="1" applyAlignment="1">
      <alignment horizontal="center" vertical="center"/>
    </xf>
    <xf numFmtId="2" fontId="36" fillId="4" borderId="5" xfId="0" applyNumberFormat="1" applyFont="1" applyFill="1" applyBorder="1" applyAlignment="1">
      <alignment horizontal="center" vertical="center"/>
    </xf>
    <xf numFmtId="2" fontId="32" fillId="4" borderId="16" xfId="0" applyNumberFormat="1" applyFont="1" applyFill="1" applyBorder="1" applyAlignment="1">
      <alignment horizontal="center" vertical="center"/>
    </xf>
    <xf numFmtId="2" fontId="19" fillId="0" borderId="6" xfId="0" applyNumberFormat="1" applyFont="1" applyBorder="1" applyAlignment="1">
      <alignment horizontal="center" vertical="center"/>
    </xf>
    <xf numFmtId="2" fontId="19" fillId="0" borderId="6" xfId="0" applyNumberFormat="1" applyFont="1" applyBorder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/>
    </xf>
    <xf numFmtId="2" fontId="32" fillId="4" borderId="5" xfId="0" applyNumberFormat="1" applyFont="1" applyFill="1" applyBorder="1" applyAlignment="1">
      <alignment horizontal="center" vertical="center"/>
    </xf>
    <xf numFmtId="2" fontId="36" fillId="4" borderId="6" xfId="0" applyNumberFormat="1" applyFont="1" applyFill="1" applyBorder="1" applyAlignment="1">
      <alignment horizontal="center" vertical="center"/>
    </xf>
    <xf numFmtId="2" fontId="32" fillId="4" borderId="6" xfId="0" applyNumberFormat="1" applyFont="1" applyFill="1" applyBorder="1" applyAlignment="1">
      <alignment horizontal="center" vertical="center"/>
    </xf>
    <xf numFmtId="2" fontId="48" fillId="0" borderId="10" xfId="0" applyNumberFormat="1" applyFont="1" applyFill="1" applyBorder="1" applyAlignment="1">
      <alignment horizontal="center" vertical="center"/>
    </xf>
    <xf numFmtId="2" fontId="48" fillId="39" borderId="5" xfId="0" applyNumberFormat="1" applyFont="1" applyFill="1" applyBorder="1" applyAlignment="1">
      <alignment horizontal="center" vertical="center"/>
    </xf>
    <xf numFmtId="2" fontId="36" fillId="39" borderId="5" xfId="0" applyNumberFormat="1" applyFont="1" applyFill="1" applyBorder="1" applyAlignment="1">
      <alignment horizontal="center" vertical="center"/>
    </xf>
    <xf numFmtId="2" fontId="32" fillId="39" borderId="5" xfId="0" applyNumberFormat="1" applyFont="1" applyFill="1" applyBorder="1" applyAlignment="1">
      <alignment horizontal="center" vertical="center"/>
    </xf>
    <xf numFmtId="181" fontId="32" fillId="0" borderId="25" xfId="0" applyNumberFormat="1" applyFont="1" applyFill="1" applyBorder="1" applyAlignment="1" applyProtection="1">
      <alignment horizontal="center" vertical="center"/>
    </xf>
    <xf numFmtId="181" fontId="32" fillId="0" borderId="26" xfId="0" applyNumberFormat="1" applyFont="1" applyFill="1" applyBorder="1" applyAlignment="1" applyProtection="1">
      <alignment horizontal="center" vertical="center"/>
    </xf>
    <xf numFmtId="181" fontId="32" fillId="0" borderId="5" xfId="0" applyNumberFormat="1" applyFont="1" applyFill="1" applyBorder="1" applyAlignment="1" applyProtection="1">
      <alignment horizontal="center" vertical="center"/>
    </xf>
    <xf numFmtId="0" fontId="23" fillId="40" borderId="8" xfId="2" applyNumberFormat="1" applyFont="1" applyFill="1" applyBorder="1" applyAlignment="1">
      <alignment horizontal="center" vertical="center" wrapText="1"/>
    </xf>
    <xf numFmtId="1" fontId="15" fillId="0" borderId="6" xfId="0" applyNumberFormat="1" applyFont="1" applyBorder="1" applyAlignment="1">
      <alignment horizontal="center" vertical="center" wrapText="1"/>
    </xf>
    <xf numFmtId="0" fontId="38" fillId="43" borderId="23" xfId="4" applyNumberFormat="1" applyFont="1" applyFill="1" applyBorder="1" applyAlignment="1">
      <alignment horizontal="center" vertical="center"/>
    </xf>
    <xf numFmtId="0" fontId="28" fillId="0" borderId="23" xfId="0" applyNumberFormat="1" applyFont="1" applyFill="1" applyBorder="1" applyAlignment="1">
      <alignment horizontal="center" vertical="center" wrapText="1"/>
    </xf>
    <xf numFmtId="0" fontId="23" fillId="40" borderId="8" xfId="2" applyNumberFormat="1" applyFont="1" applyFill="1" applyBorder="1" applyAlignment="1">
      <alignment horizontal="center" vertical="center" wrapText="1"/>
    </xf>
    <xf numFmtId="0" fontId="23" fillId="41" borderId="15" xfId="2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>
      <alignment vertical="center"/>
    </xf>
    <xf numFmtId="0" fontId="0" fillId="0" borderId="0" xfId="0" applyNumberFormat="1">
      <alignment vertical="center"/>
    </xf>
    <xf numFmtId="0" fontId="17" fillId="0" borderId="0" xfId="0" applyNumberFormat="1" applyFont="1">
      <alignment vertical="center"/>
    </xf>
    <xf numFmtId="178" fontId="17" fillId="0" borderId="0" xfId="0" applyNumberFormat="1" applyFont="1">
      <alignment vertical="center"/>
    </xf>
    <xf numFmtId="1" fontId="17" fillId="0" borderId="0" xfId="0" applyNumberFormat="1" applyFont="1">
      <alignment vertical="center"/>
    </xf>
    <xf numFmtId="0" fontId="0" fillId="5" borderId="0" xfId="0" applyNumberFormat="1" applyFill="1" applyAlignment="1">
      <alignment horizontal="center" vertical="center" wrapText="1"/>
    </xf>
    <xf numFmtId="0" fontId="0" fillId="8" borderId="0" xfId="0" applyNumberFormat="1" applyFill="1" applyAlignment="1">
      <alignment vertical="center" wrapText="1"/>
    </xf>
    <xf numFmtId="0" fontId="0" fillId="6" borderId="0" xfId="0" applyNumberFormat="1" applyFill="1" applyAlignment="1">
      <alignment horizontal="center" vertical="center" wrapText="1"/>
    </xf>
    <xf numFmtId="176" fontId="0" fillId="0" borderId="0" xfId="0" applyNumberFormat="1" applyFill="1" applyAlignment="1">
      <alignment horizontal="right" vertical="center"/>
    </xf>
    <xf numFmtId="178" fontId="0" fillId="0" borderId="0" xfId="0" applyNumberFormat="1" applyFill="1" applyAlignment="1">
      <alignment horizontal="right" vertical="center"/>
    </xf>
    <xf numFmtId="0" fontId="0" fillId="0" borderId="0" xfId="0" applyNumberFormat="1" applyFill="1" applyAlignment="1">
      <alignment horizontal="right" vertical="center"/>
    </xf>
    <xf numFmtId="177" fontId="0" fillId="0" borderId="0" xfId="0" applyNumberFormat="1" applyFill="1" applyAlignment="1">
      <alignment horizontal="right" vertical="center"/>
    </xf>
    <xf numFmtId="182" fontId="0" fillId="0" borderId="0" xfId="0" applyNumberFormat="1" applyFill="1" applyAlignment="1">
      <alignment horizontal="right" vertical="center"/>
    </xf>
    <xf numFmtId="0" fontId="0" fillId="17" borderId="0" xfId="0" applyNumberFormat="1" applyFill="1" applyAlignment="1">
      <alignment horizontal="center" vertical="center" wrapText="1"/>
    </xf>
    <xf numFmtId="0" fontId="7" fillId="0" borderId="0" xfId="0" applyNumberFormat="1" applyFont="1">
      <alignment vertical="center"/>
    </xf>
    <xf numFmtId="1" fontId="7" fillId="0" borderId="0" xfId="0" applyNumberFormat="1" applyFont="1">
      <alignment vertical="center"/>
    </xf>
    <xf numFmtId="178" fontId="0" fillId="17" borderId="0" xfId="0" applyNumberFormat="1" applyFill="1">
      <alignment vertical="center"/>
    </xf>
    <xf numFmtId="0" fontId="7" fillId="4" borderId="0" xfId="0" applyNumberFormat="1" applyFont="1" applyFill="1">
      <alignment vertical="center"/>
    </xf>
    <xf numFmtId="0" fontId="51" fillId="17" borderId="0" xfId="0" applyNumberFormat="1" applyFont="1" applyFill="1">
      <alignment vertical="center"/>
    </xf>
    <xf numFmtId="1" fontId="51" fillId="17" borderId="0" xfId="0" applyNumberFormat="1" applyFont="1" applyFill="1">
      <alignment vertical="center"/>
    </xf>
    <xf numFmtId="178" fontId="51" fillId="17" borderId="0" xfId="0" applyNumberFormat="1" applyFont="1" applyFill="1">
      <alignment vertical="center"/>
    </xf>
    <xf numFmtId="0" fontId="7" fillId="17" borderId="0" xfId="0" applyNumberFormat="1" applyFont="1" applyFill="1">
      <alignment vertical="center"/>
    </xf>
    <xf numFmtId="0" fontId="51" fillId="0" borderId="0" xfId="0" applyNumberFormat="1" applyFont="1">
      <alignment vertical="center"/>
    </xf>
    <xf numFmtId="0" fontId="0" fillId="17" borderId="0" xfId="0" applyNumberFormat="1" applyFill="1" applyAlignment="1">
      <alignment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51" fillId="0" borderId="0" xfId="0" applyNumberFormat="1" applyFont="1" applyFill="1" applyBorder="1" applyAlignment="1">
      <alignment horizontal="center" vertical="center" wrapText="1"/>
    </xf>
    <xf numFmtId="0" fontId="51" fillId="0" borderId="0" xfId="0" applyNumberFormat="1" applyFont="1" applyFill="1" applyBorder="1" applyAlignment="1">
      <alignment horizontal="center" vertical="center" wrapText="1"/>
    </xf>
    <xf numFmtId="0" fontId="52" fillId="0" borderId="0" xfId="0" applyNumberFormat="1" applyFont="1">
      <alignment vertical="center"/>
    </xf>
    <xf numFmtId="1" fontId="15" fillId="0" borderId="27" xfId="0" applyNumberFormat="1" applyFont="1" applyBorder="1" applyAlignment="1">
      <alignment horizontal="center" vertical="center"/>
    </xf>
    <xf numFmtId="1" fontId="15" fillId="0" borderId="28" xfId="0" applyNumberFormat="1" applyFont="1" applyBorder="1" applyAlignment="1">
      <alignment horizontal="center" vertical="center"/>
    </xf>
    <xf numFmtId="0" fontId="15" fillId="0" borderId="29" xfId="0" applyNumberFormat="1" applyFont="1" applyBorder="1" applyAlignment="1">
      <alignment horizontal="center" vertical="center"/>
    </xf>
    <xf numFmtId="0" fontId="22" fillId="0" borderId="29" xfId="0" applyNumberFormat="1" applyFont="1" applyBorder="1" applyAlignment="1">
      <alignment horizontal="center" vertical="center"/>
    </xf>
    <xf numFmtId="0" fontId="26" fillId="0" borderId="29" xfId="0" applyNumberFormat="1" applyFont="1" applyBorder="1" applyAlignment="1">
      <alignment horizontal="center" vertical="center"/>
    </xf>
    <xf numFmtId="0" fontId="22" fillId="0" borderId="31" xfId="0" applyNumberFormat="1" applyFont="1" applyBorder="1" applyAlignment="1">
      <alignment horizontal="center" vertical="center"/>
    </xf>
    <xf numFmtId="0" fontId="0" fillId="8" borderId="0" xfId="0" applyNumberFormat="1" applyFont="1" applyFill="1">
      <alignment vertical="center"/>
    </xf>
    <xf numFmtId="1" fontId="52" fillId="0" borderId="0" xfId="0" applyNumberFormat="1" applyFont="1">
      <alignment vertical="center"/>
    </xf>
    <xf numFmtId="0" fontId="28" fillId="8" borderId="0" xfId="0" applyNumberFormat="1" applyFont="1" applyFill="1">
      <alignment vertical="center"/>
    </xf>
    <xf numFmtId="6" fontId="0" fillId="0" borderId="0" xfId="0" applyNumberFormat="1">
      <alignment vertical="center"/>
    </xf>
    <xf numFmtId="1" fontId="52" fillId="4" borderId="0" xfId="0" applyNumberFormat="1" applyFont="1" applyFill="1">
      <alignment vertical="center"/>
    </xf>
    <xf numFmtId="0" fontId="52" fillId="4" borderId="0" xfId="0" applyNumberFormat="1" applyFont="1" applyFill="1">
      <alignment vertical="center"/>
    </xf>
    <xf numFmtId="1" fontId="53" fillId="4" borderId="0" xfId="0" applyNumberFormat="1" applyFont="1" applyFill="1">
      <alignment vertical="center"/>
    </xf>
    <xf numFmtId="2" fontId="54" fillId="16" borderId="5" xfId="0" applyNumberFormat="1" applyFont="1" applyFill="1" applyBorder="1" applyAlignment="1">
      <alignment horizontal="center" vertical="center"/>
    </xf>
    <xf numFmtId="2" fontId="55" fillId="16" borderId="5" xfId="0" applyNumberFormat="1" applyFont="1" applyFill="1" applyBorder="1" applyAlignment="1">
      <alignment horizontal="center" vertical="center"/>
    </xf>
    <xf numFmtId="2" fontId="56" fillId="16" borderId="5" xfId="0" applyNumberFormat="1" applyFont="1" applyFill="1" applyBorder="1" applyAlignment="1">
      <alignment horizontal="center" vertical="center"/>
    </xf>
    <xf numFmtId="180" fontId="57" fillId="0" borderId="6" xfId="0" applyNumberFormat="1" applyFont="1" applyFill="1" applyBorder="1" applyAlignment="1" applyProtection="1">
      <alignment horizontal="center" vertical="center"/>
    </xf>
    <xf numFmtId="2" fontId="55" fillId="0" borderId="6" xfId="0" applyNumberFormat="1" applyFont="1" applyBorder="1" applyAlignment="1">
      <alignment horizontal="center" vertical="center"/>
    </xf>
    <xf numFmtId="2" fontId="54" fillId="4" borderId="5" xfId="0" applyNumberFormat="1" applyFont="1" applyFill="1" applyBorder="1" applyAlignment="1">
      <alignment horizontal="center" vertical="center"/>
    </xf>
    <xf numFmtId="2" fontId="58" fillId="4" borderId="5" xfId="0" applyNumberFormat="1" applyFont="1" applyFill="1" applyBorder="1" applyAlignment="1">
      <alignment horizontal="center" vertical="center"/>
    </xf>
    <xf numFmtId="2" fontId="57" fillId="4" borderId="16" xfId="0" applyNumberFormat="1" applyFont="1" applyFill="1" applyBorder="1" applyAlignment="1">
      <alignment horizontal="center" vertical="center"/>
    </xf>
    <xf numFmtId="181" fontId="57" fillId="0" borderId="5" xfId="0" applyNumberFormat="1" applyFont="1" applyFill="1" applyBorder="1" applyAlignment="1" applyProtection="1">
      <alignment horizontal="center" vertical="center"/>
    </xf>
    <xf numFmtId="2" fontId="55" fillId="0" borderId="5" xfId="0" applyNumberFormat="1" applyFont="1" applyBorder="1" applyAlignment="1">
      <alignment horizontal="center" vertical="center"/>
    </xf>
    <xf numFmtId="2" fontId="57" fillId="4" borderId="5" xfId="0" applyNumberFormat="1" applyFont="1" applyFill="1" applyBorder="1" applyAlignment="1">
      <alignment horizontal="center" vertical="center"/>
    </xf>
    <xf numFmtId="0" fontId="24" fillId="40" borderId="23" xfId="0" applyNumberFormat="1" applyFont="1" applyFill="1" applyBorder="1" applyAlignment="1">
      <alignment horizontal="center" vertical="center"/>
    </xf>
    <xf numFmtId="0" fontId="22" fillId="0" borderId="6" xfId="0" applyNumberFormat="1" applyFont="1" applyBorder="1" applyAlignment="1">
      <alignment horizontal="center" vertical="center"/>
    </xf>
    <xf numFmtId="0" fontId="59" fillId="40" borderId="23" xfId="0" applyNumberFormat="1" applyFont="1" applyFill="1" applyBorder="1" applyAlignment="1">
      <alignment horizontal="center" vertical="center"/>
    </xf>
    <xf numFmtId="0" fontId="65" fillId="43" borderId="23" xfId="4" applyNumberFormat="1" applyFont="1" applyFill="1" applyBorder="1" applyAlignment="1">
      <alignment horizontal="center" vertical="center"/>
    </xf>
    <xf numFmtId="0" fontId="66" fillId="43" borderId="23" xfId="4" applyNumberFormat="1" applyFont="1" applyFill="1" applyBorder="1" applyAlignment="1">
      <alignment horizontal="center" vertical="center"/>
    </xf>
    <xf numFmtId="0" fontId="67" fillId="43" borderId="23" xfId="4" applyNumberFormat="1" applyFont="1" applyFill="1" applyBorder="1" applyAlignment="1">
      <alignment horizontal="center" vertical="center"/>
    </xf>
    <xf numFmtId="2" fontId="54" fillId="0" borderId="10" xfId="0" applyNumberFormat="1" applyFont="1" applyFill="1" applyBorder="1" applyAlignment="1">
      <alignment horizontal="center" vertical="center"/>
    </xf>
    <xf numFmtId="181" fontId="57" fillId="0" borderId="25" xfId="0" applyNumberFormat="1" applyFont="1" applyFill="1" applyBorder="1" applyAlignment="1" applyProtection="1">
      <alignment horizontal="center" vertical="center"/>
    </xf>
    <xf numFmtId="2" fontId="54" fillId="39" borderId="5" xfId="0" applyNumberFormat="1" applyFont="1" applyFill="1" applyBorder="1" applyAlignment="1">
      <alignment horizontal="center" vertical="center"/>
    </xf>
    <xf numFmtId="2" fontId="58" fillId="39" borderId="5" xfId="0" applyNumberFormat="1" applyFont="1" applyFill="1" applyBorder="1" applyAlignment="1">
      <alignment horizontal="center" vertical="center"/>
    </xf>
    <xf numFmtId="2" fontId="57" fillId="39" borderId="5" xfId="0" applyNumberFormat="1" applyFont="1" applyFill="1" applyBorder="1" applyAlignment="1">
      <alignment horizontal="center" vertical="center"/>
    </xf>
    <xf numFmtId="179" fontId="55" fillId="39" borderId="5" xfId="0" applyNumberFormat="1" applyFont="1" applyFill="1" applyBorder="1" applyAlignment="1">
      <alignment horizontal="center" vertical="center"/>
    </xf>
    <xf numFmtId="0" fontId="22" fillId="0" borderId="32" xfId="0" applyNumberFormat="1" applyFont="1" applyFill="1" applyBorder="1" applyAlignment="1">
      <alignment horizontal="center" vertical="center"/>
    </xf>
    <xf numFmtId="2" fontId="47" fillId="16" borderId="5" xfId="0" applyNumberFormat="1" applyFont="1" applyFill="1" applyBorder="1" applyAlignment="1">
      <alignment horizontal="center" vertical="center"/>
    </xf>
    <xf numFmtId="2" fontId="68" fillId="16" borderId="5" xfId="0" applyNumberFormat="1" applyFont="1" applyFill="1" applyBorder="1" applyAlignment="1">
      <alignment horizontal="center" vertical="center"/>
    </xf>
    <xf numFmtId="1" fontId="33" fillId="0" borderId="5" xfId="0" applyNumberFormat="1" applyFont="1" applyFill="1" applyBorder="1" applyAlignment="1">
      <alignment horizontal="center" vertical="center"/>
    </xf>
    <xf numFmtId="0" fontId="69" fillId="4" borderId="0" xfId="0" applyNumberFormat="1" applyFont="1" applyFill="1" applyAlignment="1">
      <alignment horizontal="center" vertical="center" wrapText="1"/>
    </xf>
    <xf numFmtId="1" fontId="33" fillId="0" borderId="33" xfId="0" applyNumberFormat="1" applyFont="1" applyFill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  <xf numFmtId="0" fontId="19" fillId="35" borderId="23" xfId="0" applyNumberFormat="1" applyFont="1" applyFill="1" applyBorder="1" applyAlignment="1">
      <alignment horizontal="center" vertical="center"/>
    </xf>
    <xf numFmtId="0" fontId="28" fillId="35" borderId="23" xfId="0" applyNumberFormat="1" applyFont="1" applyFill="1" applyBorder="1" applyAlignment="1">
      <alignment horizontal="center" vertical="center"/>
    </xf>
    <xf numFmtId="0" fontId="45" fillId="35" borderId="23" xfId="0" applyNumberFormat="1" applyFont="1" applyFill="1" applyBorder="1" applyAlignment="1">
      <alignment horizontal="center" vertical="center"/>
    </xf>
    <xf numFmtId="0" fontId="55" fillId="35" borderId="23" xfId="0" applyNumberFormat="1" applyFont="1" applyFill="1" applyBorder="1" applyAlignment="1">
      <alignment horizontal="center" vertical="center"/>
    </xf>
    <xf numFmtId="0" fontId="48" fillId="35" borderId="23" xfId="0" applyNumberFormat="1" applyFont="1" applyFill="1" applyBorder="1" applyAlignment="1">
      <alignment horizontal="center" vertical="center"/>
    </xf>
    <xf numFmtId="0" fontId="36" fillId="35" borderId="23" xfId="0" applyNumberFormat="1" applyFont="1" applyFill="1" applyBorder="1" applyAlignment="1">
      <alignment horizontal="center" vertical="center"/>
    </xf>
    <xf numFmtId="176" fontId="13" fillId="4" borderId="23" xfId="3" applyNumberFormat="1" applyFont="1" applyFill="1" applyBorder="1" applyAlignment="1">
      <alignment horizontal="center" vertical="center" wrapText="1"/>
    </xf>
    <xf numFmtId="176" fontId="13" fillId="4" borderId="23" xfId="3" applyNumberFormat="1" applyFont="1" applyFill="1" applyBorder="1" applyAlignment="1">
      <alignment horizontal="center" vertical="center"/>
    </xf>
    <xf numFmtId="182" fontId="40" fillId="42" borderId="23" xfId="4" applyNumberFormat="1" applyFont="1" applyFill="1" applyBorder="1" applyAlignment="1">
      <alignment horizontal="center" vertical="center"/>
    </xf>
    <xf numFmtId="176" fontId="40" fillId="42" borderId="23" xfId="4" applyNumberFormat="1" applyFont="1" applyFill="1" applyBorder="1" applyAlignment="1">
      <alignment horizontal="center" vertical="center"/>
    </xf>
    <xf numFmtId="176" fontId="40" fillId="42" borderId="23" xfId="4" applyNumberFormat="1" applyFont="1" applyFill="1" applyBorder="1" applyAlignment="1">
      <alignment horizontal="center" vertical="center" wrapText="1"/>
    </xf>
    <xf numFmtId="0" fontId="0" fillId="4" borderId="0" xfId="0" applyNumberFormat="1" applyFont="1" applyFill="1" applyAlignment="1">
      <alignment vertical="center" wrapText="1"/>
    </xf>
    <xf numFmtId="0" fontId="0" fillId="0" borderId="0" xfId="0" applyNumberFormat="1" applyFont="1">
      <alignment vertical="center"/>
    </xf>
    <xf numFmtId="0" fontId="0" fillId="27" borderId="0" xfId="0" applyNumberFormat="1" applyFill="1">
      <alignment vertical="center"/>
    </xf>
    <xf numFmtId="0" fontId="0" fillId="44" borderId="0" xfId="0" applyNumberFormat="1" applyFill="1">
      <alignment vertical="center"/>
    </xf>
    <xf numFmtId="0" fontId="0" fillId="18" borderId="0" xfId="0" applyNumberFormat="1" applyFont="1" applyFill="1">
      <alignment vertical="center"/>
    </xf>
    <xf numFmtId="0" fontId="0" fillId="17" borderId="0" xfId="0" applyNumberFormat="1" applyFont="1" applyFill="1">
      <alignment vertical="center"/>
    </xf>
    <xf numFmtId="0" fontId="0" fillId="16" borderId="0" xfId="0" applyNumberFormat="1" applyFill="1">
      <alignment vertical="center"/>
    </xf>
    <xf numFmtId="178" fontId="0" fillId="0" borderId="0" xfId="0" applyNumberFormat="1" applyFont="1">
      <alignment vertical="center"/>
    </xf>
    <xf numFmtId="0" fontId="0" fillId="6" borderId="0" xfId="0" applyNumberFormat="1" applyFont="1" applyFill="1" applyAlignment="1">
      <alignment horizontal="center" vertical="center" wrapText="1"/>
    </xf>
    <xf numFmtId="1" fontId="0" fillId="0" borderId="0" xfId="0" applyNumberFormat="1" applyFont="1">
      <alignment vertical="center"/>
    </xf>
    <xf numFmtId="0" fontId="0" fillId="14" borderId="0" xfId="0" applyNumberFormat="1" applyFont="1" applyFill="1" applyAlignment="1">
      <alignment horizontal="center" vertical="center" wrapText="1"/>
    </xf>
    <xf numFmtId="0" fontId="0" fillId="11" borderId="0" xfId="0" applyNumberFormat="1" applyFont="1" applyFill="1" applyAlignment="1">
      <alignment horizontal="center" vertical="center" wrapText="1"/>
    </xf>
    <xf numFmtId="0" fontId="0" fillId="8" borderId="0" xfId="0" applyNumberFormat="1" applyFont="1" applyFill="1" applyAlignment="1">
      <alignment horizontal="center" vertical="center" wrapText="1"/>
    </xf>
    <xf numFmtId="0" fontId="0" fillId="17" borderId="0" xfId="0" applyNumberFormat="1" applyFill="1">
      <alignment vertical="center"/>
    </xf>
    <xf numFmtId="0" fontId="0" fillId="38" borderId="0" xfId="0" applyNumberFormat="1" applyFill="1">
      <alignment vertical="center"/>
    </xf>
    <xf numFmtId="1" fontId="48" fillId="0" borderId="17" xfId="0" applyNumberFormat="1" applyFont="1" applyBorder="1" applyAlignment="1">
      <alignment horizontal="center" vertical="center"/>
    </xf>
    <xf numFmtId="1" fontId="48" fillId="0" borderId="5" xfId="0" applyNumberFormat="1" applyFont="1" applyBorder="1" applyAlignment="1">
      <alignment horizontal="center" vertical="center"/>
    </xf>
    <xf numFmtId="0" fontId="14" fillId="0" borderId="0" xfId="0" applyNumberFormat="1" applyFont="1" applyAlignment="1">
      <alignment vertical="center" wrapText="1"/>
    </xf>
    <xf numFmtId="0" fontId="59" fillId="41" borderId="10" xfId="0" applyNumberFormat="1" applyFont="1" applyFill="1" applyBorder="1" applyAlignment="1">
      <alignment horizontal="center" vertical="center"/>
    </xf>
    <xf numFmtId="0" fontId="55" fillId="39" borderId="10" xfId="0" applyNumberFormat="1" applyFont="1" applyFill="1" applyBorder="1" applyAlignment="1">
      <alignment horizontal="center" vertical="center"/>
    </xf>
    <xf numFmtId="1" fontId="64" fillId="0" borderId="5" xfId="0" applyNumberFormat="1" applyFont="1" applyFill="1" applyBorder="1" applyAlignment="1">
      <alignment horizontal="center" vertical="center"/>
    </xf>
    <xf numFmtId="179" fontId="59" fillId="41" borderId="5" xfId="0" applyNumberFormat="1" applyFont="1" applyFill="1" applyBorder="1" applyAlignment="1">
      <alignment horizontal="center" vertical="center"/>
    </xf>
    <xf numFmtId="1" fontId="73" fillId="0" borderId="5" xfId="0" applyNumberFormat="1" applyFont="1" applyBorder="1" applyAlignment="1">
      <alignment horizontal="center" vertical="center"/>
    </xf>
    <xf numFmtId="0" fontId="0" fillId="0" borderId="0" xfId="0" applyNumberFormat="1" applyFont="1">
      <alignment vertical="center"/>
    </xf>
    <xf numFmtId="1" fontId="73" fillId="0" borderId="17" xfId="0" applyNumberFormat="1" applyFont="1" applyBorder="1" applyAlignment="1">
      <alignment horizontal="center" vertical="center"/>
    </xf>
    <xf numFmtId="0" fontId="59" fillId="40" borderId="6" xfId="0" applyNumberFormat="1" applyFont="1" applyFill="1" applyBorder="1" applyAlignment="1">
      <alignment horizontal="center" vertical="center"/>
    </xf>
    <xf numFmtId="0" fontId="55" fillId="39" borderId="5" xfId="0" applyNumberFormat="1" applyFont="1" applyFill="1" applyBorder="1" applyAlignment="1">
      <alignment horizontal="center" vertical="center"/>
    </xf>
    <xf numFmtId="0" fontId="1" fillId="26" borderId="0" xfId="0" applyNumberFormat="1" applyFont="1" applyFill="1">
      <alignment vertical="center"/>
    </xf>
    <xf numFmtId="0" fontId="6" fillId="0" borderId="18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Alignment="1">
      <alignment vertical="center" wrapText="1"/>
    </xf>
    <xf numFmtId="0" fontId="23" fillId="40" borderId="41" xfId="2" applyNumberFormat="1" applyFont="1" applyFill="1" applyBorder="1" applyAlignment="1">
      <alignment horizontal="center" vertical="center" wrapText="1"/>
    </xf>
    <xf numFmtId="1" fontId="50" fillId="0" borderId="16" xfId="0" applyNumberFormat="1" applyFont="1" applyFill="1" applyBorder="1" applyAlignment="1">
      <alignment horizontal="center" vertical="center"/>
    </xf>
    <xf numFmtId="1" fontId="33" fillId="0" borderId="0" xfId="0" applyNumberFormat="1" applyFont="1" applyFill="1" applyBorder="1" applyAlignment="1">
      <alignment horizontal="center" vertical="center"/>
    </xf>
    <xf numFmtId="2" fontId="48" fillId="45" borderId="5" xfId="0" applyNumberFormat="1" applyFont="1" applyFill="1" applyBorder="1" applyAlignment="1">
      <alignment horizontal="center" vertical="center"/>
    </xf>
    <xf numFmtId="2" fontId="36" fillId="45" borderId="5" xfId="0" applyNumberFormat="1" applyFont="1" applyFill="1" applyBorder="1" applyAlignment="1">
      <alignment horizontal="center" vertical="center"/>
    </xf>
    <xf numFmtId="2" fontId="32" fillId="45" borderId="5" xfId="0" applyNumberFormat="1" applyFont="1" applyFill="1" applyBorder="1" applyAlignment="1">
      <alignment horizontal="center" vertical="center"/>
    </xf>
    <xf numFmtId="2" fontId="54" fillId="45" borderId="5" xfId="0" applyNumberFormat="1" applyFont="1" applyFill="1" applyBorder="1" applyAlignment="1">
      <alignment horizontal="center" vertical="center"/>
    </xf>
    <xf numFmtId="2" fontId="58" fillId="45" borderId="5" xfId="0" applyNumberFormat="1" applyFont="1" applyFill="1" applyBorder="1" applyAlignment="1">
      <alignment horizontal="center" vertical="center"/>
    </xf>
    <xf numFmtId="2" fontId="57" fillId="45" borderId="5" xfId="0" applyNumberFormat="1" applyFont="1" applyFill="1" applyBorder="1" applyAlignment="1">
      <alignment horizontal="center" vertical="center"/>
    </xf>
    <xf numFmtId="1" fontId="50" fillId="0" borderId="5" xfId="0" applyNumberFormat="1" applyFont="1" applyFill="1" applyBorder="1" applyAlignment="1">
      <alignment horizontal="center" vertical="center"/>
    </xf>
    <xf numFmtId="1" fontId="82" fillId="0" borderId="5" xfId="0" applyNumberFormat="1" applyFont="1" applyFill="1" applyBorder="1" applyAlignment="1">
      <alignment horizontal="center" vertical="center"/>
    </xf>
    <xf numFmtId="1" fontId="38" fillId="0" borderId="23" xfId="0" applyNumberFormat="1" applyFont="1" applyBorder="1" applyAlignment="1">
      <alignment horizontal="center" vertical="center"/>
    </xf>
    <xf numFmtId="1" fontId="39" fillId="0" borderId="23" xfId="0" applyNumberFormat="1" applyFont="1" applyBorder="1" applyAlignment="1">
      <alignment horizontal="center" vertical="center"/>
    </xf>
    <xf numFmtId="1" fontId="39" fillId="0" borderId="23" xfId="0" applyNumberFormat="1" applyFont="1" applyFill="1" applyBorder="1" applyAlignment="1">
      <alignment horizontal="center" vertical="center"/>
    </xf>
    <xf numFmtId="0" fontId="43" fillId="0" borderId="23" xfId="0" applyNumberFormat="1" applyFont="1" applyFill="1" applyBorder="1" applyAlignment="1">
      <alignment horizontal="center" vertical="center"/>
    </xf>
    <xf numFmtId="0" fontId="83" fillId="0" borderId="23" xfId="0" applyNumberFormat="1" applyFont="1" applyFill="1" applyBorder="1" applyAlignment="1">
      <alignment horizontal="center" vertical="center"/>
    </xf>
    <xf numFmtId="1" fontId="46" fillId="0" borderId="23" xfId="0" applyNumberFormat="1" applyFont="1" applyBorder="1" applyAlignment="1">
      <alignment horizontal="center" vertical="center"/>
    </xf>
    <xf numFmtId="1" fontId="61" fillId="0" borderId="23" xfId="0" applyNumberFormat="1" applyFont="1" applyBorder="1" applyAlignment="1">
      <alignment horizontal="center" vertical="center"/>
    </xf>
    <xf numFmtId="1" fontId="38" fillId="0" borderId="23" xfId="0" applyNumberFormat="1" applyFont="1" applyFill="1" applyBorder="1" applyAlignment="1">
      <alignment horizontal="center" vertical="center"/>
    </xf>
    <xf numFmtId="0" fontId="44" fillId="0" borderId="23" xfId="0" applyNumberFormat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center" vertical="center"/>
    </xf>
    <xf numFmtId="1" fontId="84" fillId="0" borderId="23" xfId="0" applyNumberFormat="1" applyFont="1" applyBorder="1" applyAlignment="1">
      <alignment horizontal="center" vertical="center"/>
    </xf>
    <xf numFmtId="0" fontId="42" fillId="0" borderId="23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center" vertical="center"/>
    </xf>
    <xf numFmtId="0" fontId="39" fillId="0" borderId="23" xfId="0" applyNumberFormat="1" applyFont="1" applyFill="1" applyBorder="1" applyAlignment="1">
      <alignment horizontal="center" vertical="center" wrapText="1"/>
    </xf>
    <xf numFmtId="0" fontId="38" fillId="0" borderId="23" xfId="0" applyNumberFormat="1" applyFont="1" applyFill="1" applyBorder="1" applyAlignment="1">
      <alignment horizontal="center" vertical="center" wrapText="1"/>
    </xf>
    <xf numFmtId="1" fontId="46" fillId="0" borderId="23" xfId="0" applyNumberFormat="1" applyFont="1" applyBorder="1" applyAlignment="1">
      <alignment horizontal="center" vertical="center" wrapText="1"/>
    </xf>
    <xf numFmtId="1" fontId="38" fillId="0" borderId="23" xfId="0" applyNumberFormat="1" applyFont="1" applyFill="1" applyBorder="1" applyAlignment="1">
      <alignment horizontal="center" vertical="center" wrapText="1"/>
    </xf>
    <xf numFmtId="1" fontId="43" fillId="0" borderId="23" xfId="0" applyNumberFormat="1" applyFont="1" applyFill="1" applyBorder="1" applyAlignment="1">
      <alignment horizontal="center" vertical="center" wrapText="1"/>
    </xf>
    <xf numFmtId="1" fontId="46" fillId="0" borderId="23" xfId="0" applyNumberFormat="1" applyFont="1" applyFill="1" applyBorder="1" applyAlignment="1">
      <alignment horizontal="center" vertical="center"/>
    </xf>
    <xf numFmtId="1" fontId="60" fillId="0" borderId="23" xfId="0" applyNumberFormat="1" applyFont="1" applyBorder="1" applyAlignment="1">
      <alignment horizontal="center" vertical="center"/>
    </xf>
    <xf numFmtId="1" fontId="60" fillId="0" borderId="23" xfId="0" applyNumberFormat="1" applyFont="1" applyFill="1" applyBorder="1" applyAlignment="1">
      <alignment horizontal="center" vertical="center"/>
    </xf>
    <xf numFmtId="0" fontId="66" fillId="0" borderId="23" xfId="0" applyNumberFormat="1" applyFont="1" applyFill="1" applyBorder="1" applyAlignment="1">
      <alignment horizontal="center" vertical="center"/>
    </xf>
    <xf numFmtId="0" fontId="67" fillId="0" borderId="23" xfId="0" applyNumberFormat="1" applyFont="1" applyFill="1" applyBorder="1" applyAlignment="1">
      <alignment horizontal="center" vertical="center"/>
    </xf>
    <xf numFmtId="0" fontId="39" fillId="0" borderId="23" xfId="0" applyNumberFormat="1" applyFont="1" applyFill="1" applyBorder="1" applyAlignment="1">
      <alignment horizontal="center" vertical="center"/>
    </xf>
    <xf numFmtId="0" fontId="46" fillId="0" borderId="23" xfId="0" applyNumberFormat="1" applyFont="1" applyFill="1" applyBorder="1" applyAlignment="1">
      <alignment horizontal="center" vertical="center"/>
    </xf>
    <xf numFmtId="1" fontId="85" fillId="0" borderId="23" xfId="0" applyNumberFormat="1" applyFont="1" applyBorder="1" applyAlignment="1">
      <alignment horizontal="center" vertical="center" wrapText="1"/>
    </xf>
    <xf numFmtId="0" fontId="86" fillId="0" borderId="0" xfId="0" applyNumberFormat="1" applyFont="1" applyAlignment="1">
      <alignment horizontal="center" vertical="center"/>
    </xf>
    <xf numFmtId="0" fontId="87" fillId="0" borderId="0" xfId="0" applyNumberFormat="1" applyFont="1" applyAlignment="1">
      <alignment horizontal="center" vertical="center"/>
    </xf>
    <xf numFmtId="0" fontId="87" fillId="0" borderId="0" xfId="0" applyNumberFormat="1" applyFont="1">
      <alignment vertical="center"/>
    </xf>
    <xf numFmtId="0" fontId="88" fillId="0" borderId="0" xfId="0" applyNumberFormat="1" applyFont="1" applyAlignment="1">
      <alignment horizontal="center" vertical="center"/>
    </xf>
    <xf numFmtId="0" fontId="1" fillId="28" borderId="0" xfId="0" applyNumberFormat="1" applyFont="1" applyFill="1">
      <alignment vertical="center"/>
    </xf>
    <xf numFmtId="0" fontId="1" fillId="0" borderId="0" xfId="0" applyNumberFormat="1" applyFont="1">
      <alignment vertical="center"/>
    </xf>
    <xf numFmtId="0" fontId="89" fillId="46" borderId="0" xfId="0" applyNumberFormat="1" applyFont="1" applyFill="1">
      <alignment vertical="center"/>
    </xf>
    <xf numFmtId="178" fontId="89" fillId="46" borderId="0" xfId="0" applyNumberFormat="1" applyFont="1" applyFill="1">
      <alignment vertical="center"/>
    </xf>
    <xf numFmtId="2" fontId="1" fillId="0" borderId="0" xfId="0" applyNumberFormat="1" applyFont="1">
      <alignment vertical="center"/>
    </xf>
    <xf numFmtId="2" fontId="40" fillId="42" borderId="23" xfId="4" applyNumberFormat="1" applyFont="1" applyFill="1" applyBorder="1" applyAlignment="1">
      <alignment horizontal="center" vertical="center"/>
    </xf>
    <xf numFmtId="0" fontId="89" fillId="5" borderId="0" xfId="0" applyNumberFormat="1" applyFont="1" applyFill="1">
      <alignment vertical="center"/>
    </xf>
    <xf numFmtId="0" fontId="14" fillId="5" borderId="0" xfId="0" applyNumberFormat="1" applyFont="1" applyFill="1">
      <alignment vertical="center"/>
    </xf>
    <xf numFmtId="177" fontId="40" fillId="42" borderId="23" xfId="4" applyNumberFormat="1" applyFont="1" applyFill="1" applyBorder="1" applyAlignment="1">
      <alignment horizontal="center" vertical="center"/>
    </xf>
    <xf numFmtId="0" fontId="7" fillId="44" borderId="0" xfId="0" applyNumberFormat="1" applyFont="1" applyFill="1">
      <alignment vertical="center"/>
    </xf>
    <xf numFmtId="0" fontId="14" fillId="44" borderId="0" xfId="0" applyNumberFormat="1" applyFont="1" applyFill="1">
      <alignment vertical="center"/>
    </xf>
    <xf numFmtId="178" fontId="7" fillId="44" borderId="0" xfId="0" applyNumberFormat="1" applyFont="1" applyFill="1">
      <alignment vertical="center"/>
    </xf>
    <xf numFmtId="0" fontId="0" fillId="47" borderId="0" xfId="0" applyNumberFormat="1" applyFill="1">
      <alignment vertical="center"/>
    </xf>
    <xf numFmtId="177" fontId="13" fillId="4" borderId="23" xfId="3" applyNumberFormat="1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1" fontId="7" fillId="0" borderId="0" xfId="0" applyNumberFormat="1" applyFont="1" applyFill="1">
      <alignment vertical="center"/>
    </xf>
    <xf numFmtId="178" fontId="7" fillId="0" borderId="0" xfId="0" applyNumberFormat="1" applyFont="1" applyFill="1">
      <alignment vertical="center"/>
    </xf>
    <xf numFmtId="0" fontId="0" fillId="29" borderId="0" xfId="0" applyNumberFormat="1" applyFont="1" applyFill="1">
      <alignment vertical="center"/>
    </xf>
    <xf numFmtId="177" fontId="13" fillId="4" borderId="23" xfId="3" applyNumberFormat="1" applyFont="1" applyFill="1" applyBorder="1" applyAlignment="1">
      <alignment horizontal="center" vertical="center" wrapText="1"/>
    </xf>
    <xf numFmtId="177" fontId="40" fillId="42" borderId="23" xfId="4" applyNumberFormat="1" applyFont="1" applyFill="1" applyBorder="1" applyAlignment="1">
      <alignment horizontal="center" vertical="center" wrapText="1"/>
    </xf>
    <xf numFmtId="0" fontId="90" fillId="0" borderId="23" xfId="0" applyFont="1" applyBorder="1" applyAlignment="1">
      <alignment horizontal="center" vertical="center"/>
    </xf>
    <xf numFmtId="1" fontId="91" fillId="0" borderId="5" xfId="0" applyNumberFormat="1" applyFont="1" applyFill="1" applyBorder="1" applyAlignment="1">
      <alignment horizontal="center" vertical="center"/>
    </xf>
    <xf numFmtId="1" fontId="92" fillId="0" borderId="5" xfId="0" applyNumberFormat="1" applyFont="1" applyFill="1" applyBorder="1" applyAlignment="1">
      <alignment horizontal="center" vertical="center"/>
    </xf>
    <xf numFmtId="0" fontId="93" fillId="4" borderId="0" xfId="0" applyNumberFormat="1" applyFont="1" applyFill="1">
      <alignment vertical="center"/>
    </xf>
    <xf numFmtId="2" fontId="93" fillId="4" borderId="0" xfId="0" applyNumberFormat="1" applyFont="1" applyFill="1">
      <alignment vertical="center"/>
    </xf>
    <xf numFmtId="0" fontId="94" fillId="4" borderId="0" xfId="0" applyNumberFormat="1" applyFont="1" applyFill="1">
      <alignment vertical="center"/>
    </xf>
    <xf numFmtId="2" fontId="94" fillId="4" borderId="0" xfId="0" applyNumberFormat="1" applyFont="1" applyFill="1">
      <alignment vertical="center"/>
    </xf>
    <xf numFmtId="0" fontId="1" fillId="37" borderId="0" xfId="0" applyNumberFormat="1" applyFont="1" applyFill="1" applyAlignment="1">
      <alignment vertical="center" wrapText="1"/>
    </xf>
    <xf numFmtId="0" fontId="1" fillId="38" borderId="0" xfId="0" applyNumberFormat="1" applyFont="1" applyFill="1" applyAlignment="1">
      <alignment vertical="center" wrapText="1"/>
    </xf>
    <xf numFmtId="49" fontId="50" fillId="0" borderId="23" xfId="0" applyNumberFormat="1" applyFont="1" applyBorder="1" applyAlignment="1">
      <alignment horizontal="center" vertical="center"/>
    </xf>
    <xf numFmtId="49" fontId="18" fillId="0" borderId="38" xfId="0" applyNumberFormat="1" applyFont="1" applyBorder="1" applyAlignment="1">
      <alignment horizontal="center" vertical="center"/>
    </xf>
    <xf numFmtId="49" fontId="18" fillId="0" borderId="39" xfId="0" applyNumberFormat="1" applyFont="1" applyBorder="1" applyAlignment="1">
      <alignment horizontal="center" vertical="center"/>
    </xf>
    <xf numFmtId="49" fontId="18" fillId="0" borderId="23" xfId="0" applyNumberFormat="1" applyFont="1" applyBorder="1" applyAlignment="1">
      <alignment horizontal="center" vertical="center"/>
    </xf>
    <xf numFmtId="49" fontId="95" fillId="0" borderId="23" xfId="0" applyNumberFormat="1" applyFont="1" applyBorder="1" applyAlignment="1">
      <alignment horizontal="center" vertical="center"/>
    </xf>
    <xf numFmtId="49" fontId="64" fillId="0" borderId="23" xfId="0" applyNumberFormat="1" applyFont="1" applyBorder="1" applyAlignment="1">
      <alignment horizontal="center" vertical="center"/>
    </xf>
    <xf numFmtId="49" fontId="18" fillId="0" borderId="23" xfId="0" applyNumberFormat="1" applyFont="1" applyBorder="1" applyAlignment="1">
      <alignment horizontal="center" vertical="center" wrapText="1"/>
    </xf>
    <xf numFmtId="49" fontId="41" fillId="0" borderId="23" xfId="0" applyNumberFormat="1" applyFont="1" applyBorder="1" applyAlignment="1">
      <alignment horizontal="center" vertical="center"/>
    </xf>
    <xf numFmtId="49" fontId="96" fillId="0" borderId="23" xfId="0" applyNumberFormat="1" applyFont="1" applyBorder="1" applyAlignment="1">
      <alignment horizontal="center" vertical="center"/>
    </xf>
    <xf numFmtId="49" fontId="32" fillId="0" borderId="23" xfId="0" applyNumberFormat="1" applyFont="1" applyBorder="1" applyAlignment="1">
      <alignment horizontal="center" vertical="center" wrapText="1"/>
    </xf>
    <xf numFmtId="1" fontId="97" fillId="0" borderId="5" xfId="0" applyNumberFormat="1" applyFont="1" applyFill="1" applyBorder="1" applyAlignment="1">
      <alignment horizontal="center" vertical="center"/>
    </xf>
    <xf numFmtId="1" fontId="98" fillId="0" borderId="5" xfId="0" applyNumberFormat="1" applyFont="1" applyFill="1" applyBorder="1" applyAlignment="1">
      <alignment horizontal="center" vertical="center"/>
    </xf>
    <xf numFmtId="1" fontId="99" fillId="0" borderId="6" xfId="0" applyNumberFormat="1" applyFont="1" applyBorder="1" applyAlignment="1">
      <alignment horizontal="center" vertical="center"/>
    </xf>
    <xf numFmtId="0" fontId="15" fillId="0" borderId="30" xfId="0" applyNumberFormat="1" applyFont="1" applyBorder="1" applyAlignment="1">
      <alignment horizontal="center" vertical="center"/>
    </xf>
    <xf numFmtId="0" fontId="15" fillId="0" borderId="0" xfId="0" applyNumberFormat="1" applyFont="1" applyAlignment="1">
      <alignment horizontal="center" vertical="center"/>
    </xf>
    <xf numFmtId="2" fontId="38" fillId="0" borderId="23" xfId="0" applyNumberFormat="1" applyFont="1" applyBorder="1" applyAlignment="1">
      <alignment horizontal="center" vertical="center"/>
    </xf>
    <xf numFmtId="2" fontId="39" fillId="0" borderId="23" xfId="0" applyNumberFormat="1" applyFont="1" applyBorder="1" applyAlignment="1">
      <alignment horizontal="center" vertical="center"/>
    </xf>
    <xf numFmtId="0" fontId="13" fillId="4" borderId="23" xfId="3" applyFont="1" applyFill="1" applyBorder="1" applyAlignment="1">
      <alignment horizontal="center" vertical="center"/>
    </xf>
    <xf numFmtId="0" fontId="40" fillId="42" borderId="23" xfId="4" applyFont="1" applyFill="1" applyBorder="1" applyAlignment="1">
      <alignment horizontal="center" vertical="center"/>
    </xf>
    <xf numFmtId="2" fontId="46" fillId="0" borderId="23" xfId="0" applyNumberFormat="1" applyFont="1" applyBorder="1" applyAlignment="1">
      <alignment horizontal="center" vertical="center"/>
    </xf>
    <xf numFmtId="0" fontId="13" fillId="4" borderId="23" xfId="3" applyFont="1" applyFill="1" applyBorder="1" applyAlignment="1">
      <alignment horizontal="center" vertical="center" wrapText="1"/>
    </xf>
    <xf numFmtId="2" fontId="38" fillId="0" borderId="23" xfId="0" applyNumberFormat="1" applyFont="1" applyBorder="1" applyAlignment="1">
      <alignment horizontal="center" vertical="center" wrapText="1"/>
    </xf>
    <xf numFmtId="2" fontId="39" fillId="0" borderId="23" xfId="0" applyNumberFormat="1" applyFont="1" applyBorder="1" applyAlignment="1">
      <alignment horizontal="center" vertical="center" wrapText="1"/>
    </xf>
    <xf numFmtId="0" fontId="62" fillId="4" borderId="23" xfId="3" applyFont="1" applyFill="1" applyBorder="1" applyAlignment="1">
      <alignment horizontal="center" vertical="center"/>
    </xf>
    <xf numFmtId="0" fontId="63" fillId="42" borderId="23" xfId="4" applyFont="1" applyFill="1" applyBorder="1" applyAlignment="1">
      <alignment horizontal="center" vertical="center"/>
    </xf>
    <xf numFmtId="182" fontId="13" fillId="4" borderId="23" xfId="3" applyNumberFormat="1" applyFont="1" applyFill="1" applyBorder="1" applyAlignment="1">
      <alignment horizontal="center" vertical="center" wrapText="1"/>
    </xf>
    <xf numFmtId="0" fontId="40" fillId="42" borderId="23" xfId="4" applyFont="1" applyFill="1" applyBorder="1" applyAlignment="1">
      <alignment horizontal="center" vertical="center" wrapText="1"/>
    </xf>
    <xf numFmtId="0" fontId="32" fillId="4" borderId="23" xfId="3" applyFont="1" applyFill="1" applyBorder="1" applyAlignment="1">
      <alignment horizontal="center" vertical="center"/>
    </xf>
    <xf numFmtId="0" fontId="47" fillId="42" borderId="23" xfId="4" applyFont="1" applyFill="1" applyBorder="1" applyAlignment="1">
      <alignment horizontal="center" vertical="center"/>
    </xf>
    <xf numFmtId="2" fontId="60" fillId="0" borderId="23" xfId="0" applyNumberFormat="1" applyFont="1" applyBorder="1" applyAlignment="1">
      <alignment horizontal="center" vertical="center"/>
    </xf>
    <xf numFmtId="2" fontId="61" fillId="0" borderId="23" xfId="0" applyNumberFormat="1" applyFont="1" applyBorder="1" applyAlignment="1">
      <alignment horizontal="center" vertical="center"/>
    </xf>
    <xf numFmtId="1" fontId="50" fillId="46" borderId="16" xfId="0" applyNumberFormat="1" applyFont="1" applyFill="1" applyBorder="1" applyAlignment="1">
      <alignment horizontal="center" vertical="center"/>
    </xf>
    <xf numFmtId="1" fontId="82" fillId="0" borderId="16" xfId="0" applyNumberFormat="1" applyFont="1" applyFill="1" applyBorder="1" applyAlignment="1">
      <alignment horizontal="center" vertical="center"/>
    </xf>
    <xf numFmtId="0" fontId="88" fillId="0" borderId="0" xfId="0" applyNumberFormat="1" applyFont="1">
      <alignment vertical="center"/>
    </xf>
    <xf numFmtId="1" fontId="100" fillId="0" borderId="5" xfId="0" applyNumberFormat="1" applyFont="1" applyFill="1" applyBorder="1" applyAlignment="1">
      <alignment horizontal="center" vertical="center"/>
    </xf>
    <xf numFmtId="0" fontId="6" fillId="0" borderId="23" xfId="0" applyNumberFormat="1" applyFont="1" applyFill="1" applyBorder="1">
      <alignment vertical="center"/>
    </xf>
    <xf numFmtId="0" fontId="41" fillId="40" borderId="23" xfId="0" applyNumberFormat="1" applyFont="1" applyFill="1" applyBorder="1" applyAlignment="1">
      <alignment horizontal="center" vertical="center"/>
    </xf>
    <xf numFmtId="0" fontId="96" fillId="40" borderId="23" xfId="0" applyNumberFormat="1" applyFont="1" applyFill="1" applyBorder="1" applyAlignment="1">
      <alignment horizontal="center" vertical="center"/>
    </xf>
    <xf numFmtId="0" fontId="15" fillId="40" borderId="23" xfId="0" applyNumberFormat="1" applyFont="1" applyFill="1" applyBorder="1" applyAlignment="1">
      <alignment horizontal="center" vertical="center"/>
    </xf>
    <xf numFmtId="0" fontId="18" fillId="40" borderId="23" xfId="0" applyNumberFormat="1" applyFont="1" applyFill="1" applyBorder="1" applyAlignment="1">
      <alignment horizontal="center" vertical="center"/>
    </xf>
    <xf numFmtId="0" fontId="70" fillId="41" borderId="15" xfId="1" applyNumberFormat="1" applyFont="1" applyFill="1" applyBorder="1" applyAlignment="1" applyProtection="1">
      <alignment horizontal="center" vertical="center"/>
    </xf>
    <xf numFmtId="49" fontId="71" fillId="4" borderId="15" xfId="1" applyNumberFormat="1" applyFont="1" applyFill="1" applyBorder="1" applyAlignment="1" applyProtection="1">
      <alignment horizontal="center" vertical="center"/>
      <protection locked="0"/>
    </xf>
    <xf numFmtId="49" fontId="71" fillId="4" borderId="15" xfId="0" applyNumberFormat="1" applyFont="1" applyFill="1" applyBorder="1" applyAlignment="1" applyProtection="1">
      <alignment horizontal="center" vertical="center"/>
      <protection locked="0"/>
    </xf>
    <xf numFmtId="0" fontId="70" fillId="40" borderId="15" xfId="1" applyNumberFormat="1" applyFont="1" applyFill="1" applyBorder="1" applyAlignment="1" applyProtection="1">
      <alignment horizontal="center" vertical="center"/>
    </xf>
    <xf numFmtId="0" fontId="6" fillId="0" borderId="18" xfId="0" applyNumberFormat="1" applyFont="1" applyFill="1" applyBorder="1" applyAlignment="1" applyProtection="1">
      <alignment horizontal="left" vertical="center" wrapText="1"/>
    </xf>
    <xf numFmtId="0" fontId="6" fillId="0" borderId="18" xfId="0" applyNumberFormat="1" applyFont="1" applyFill="1" applyBorder="1" applyAlignment="1" applyProtection="1">
      <alignment horizontal="center" vertical="center"/>
    </xf>
    <xf numFmtId="0" fontId="70" fillId="40" borderId="0" xfId="1" applyNumberFormat="1" applyFont="1" applyFill="1" applyBorder="1" applyAlignment="1" applyProtection="1">
      <alignment horizontal="center" vertical="center"/>
    </xf>
    <xf numFmtId="0" fontId="70" fillId="40" borderId="36" xfId="1" applyNumberFormat="1" applyFont="1" applyFill="1" applyBorder="1" applyAlignment="1" applyProtection="1">
      <alignment horizontal="center" vertical="center"/>
    </xf>
    <xf numFmtId="49" fontId="71" fillId="39" borderId="34" xfId="1" applyNumberFormat="1" applyFont="1" applyFill="1" applyBorder="1" applyAlignment="1" applyProtection="1">
      <alignment horizontal="center" vertical="center"/>
    </xf>
    <xf numFmtId="0" fontId="71" fillId="39" borderId="35" xfId="1" applyNumberFormat="1" applyFont="1" applyFill="1" applyBorder="1" applyAlignment="1" applyProtection="1">
      <alignment horizontal="center" vertical="center"/>
    </xf>
    <xf numFmtId="49" fontId="71" fillId="39" borderId="37" xfId="1" applyNumberFormat="1" applyFont="1" applyFill="1" applyBorder="1" applyAlignment="1" applyProtection="1">
      <alignment horizontal="center" vertical="center"/>
    </xf>
    <xf numFmtId="0" fontId="0" fillId="4" borderId="0" xfId="0" applyNumberFormat="1" applyFill="1" applyAlignment="1">
      <alignment horizontal="center" vertical="center"/>
    </xf>
    <xf numFmtId="9" fontId="24" fillId="41" borderId="38" xfId="3" applyNumberFormat="1" applyFont="1" applyFill="1" applyBorder="1" applyAlignment="1">
      <alignment horizontal="center" vertical="center" wrapText="1"/>
    </xf>
    <xf numFmtId="9" fontId="24" fillId="41" borderId="39" xfId="3" applyNumberFormat="1" applyFont="1" applyFill="1" applyBorder="1" applyAlignment="1">
      <alignment horizontal="center" vertical="center" wrapText="1"/>
    </xf>
    <xf numFmtId="9" fontId="24" fillId="41" borderId="23" xfId="3" applyNumberFormat="1" applyFont="1" applyFill="1" applyBorder="1" applyAlignment="1">
      <alignment horizontal="center" vertical="center" wrapText="1"/>
    </xf>
    <xf numFmtId="1" fontId="38" fillId="0" borderId="38" xfId="0" applyNumberFormat="1" applyFont="1" applyFill="1" applyBorder="1" applyAlignment="1" applyProtection="1">
      <alignment horizontal="center" vertical="center"/>
    </xf>
    <xf numFmtId="1" fontId="38" fillId="0" borderId="39" xfId="0" applyNumberFormat="1" applyFont="1" applyFill="1" applyBorder="1" applyAlignment="1" applyProtection="1">
      <alignment horizontal="center" vertical="center"/>
    </xf>
    <xf numFmtId="9" fontId="19" fillId="4" borderId="23" xfId="3" applyNumberFormat="1" applyFont="1" applyFill="1" applyBorder="1" applyAlignment="1">
      <alignment horizontal="center" vertical="center" wrapText="1"/>
    </xf>
    <xf numFmtId="9" fontId="48" fillId="4" borderId="23" xfId="3" applyNumberFormat="1" applyFont="1" applyFill="1" applyBorder="1" applyAlignment="1">
      <alignment horizontal="center" vertical="center" wrapText="1"/>
    </xf>
    <xf numFmtId="9" fontId="47" fillId="4" borderId="23" xfId="3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29" fillId="4" borderId="40" xfId="0" applyNumberFormat="1" applyFont="1" applyFill="1" applyBorder="1" applyAlignment="1">
      <alignment horizontal="justify" vertical="center" wrapText="1"/>
    </xf>
    <xf numFmtId="0" fontId="28" fillId="4" borderId="0" xfId="0" applyNumberFormat="1" applyFont="1" applyFill="1" applyBorder="1" applyAlignment="1">
      <alignment vertical="center"/>
    </xf>
    <xf numFmtId="0" fontId="29" fillId="4" borderId="13" xfId="0" applyNumberFormat="1" applyFont="1" applyFill="1" applyBorder="1" applyAlignment="1">
      <alignment horizontal="center" vertical="center" wrapText="1"/>
    </xf>
    <xf numFmtId="0" fontId="72" fillId="15" borderId="0" xfId="0" applyNumberFormat="1" applyFont="1" applyFill="1" applyAlignment="1">
      <alignment horizontal="center" vertical="center"/>
    </xf>
    <xf numFmtId="0" fontId="72" fillId="5" borderId="0" xfId="0" applyNumberFormat="1" applyFont="1" applyFill="1" applyAlignment="1">
      <alignment horizontal="center" vertical="center"/>
    </xf>
  </cellXfs>
  <cellStyles count="5">
    <cellStyle name="나쁨" xfId="4" builtinId="27"/>
    <cellStyle name="요약" xfId="2" xr:uid="{00000000-0005-0000-0000-000001000000}"/>
    <cellStyle name="제목 1" xfId="1" xr:uid="{00000000-0005-0000-0000-000002000000}"/>
    <cellStyle name="좋음" xfId="3" builtinId="2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7</xdr:row>
      <xdr:rowOff>7620</xdr:rowOff>
    </xdr:from>
    <xdr:to>
      <xdr:col>1</xdr:col>
      <xdr:colOff>8549640</xdr:colOff>
      <xdr:row>34</xdr:row>
      <xdr:rowOff>129540</xdr:rowOff>
    </xdr:to>
    <xdr:pic>
      <xdr:nvPicPr>
        <xdr:cNvPr id="18" name="그림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838200" y="5010150"/>
          <a:ext cx="10687050" cy="761047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37</xdr:row>
      <xdr:rowOff>7620</xdr:rowOff>
    </xdr:from>
    <xdr:to>
      <xdr:col>1</xdr:col>
      <xdr:colOff>8549640</xdr:colOff>
      <xdr:row>65</xdr:row>
      <xdr:rowOff>0</xdr:rowOff>
    </xdr:to>
    <xdr:pic>
      <xdr:nvPicPr>
        <xdr:cNvPr id="19" name="그림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838200" y="13401675"/>
          <a:ext cx="10687050" cy="772477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66</xdr:row>
      <xdr:rowOff>22860</xdr:rowOff>
    </xdr:from>
    <xdr:to>
      <xdr:col>1</xdr:col>
      <xdr:colOff>9431655</xdr:colOff>
      <xdr:row>93</xdr:row>
      <xdr:rowOff>129540</xdr:rowOff>
    </xdr:to>
    <xdr:pic>
      <xdr:nvPicPr>
        <xdr:cNvPr id="20" name="그림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838200" y="21536026"/>
          <a:ext cx="11791949" cy="75914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34635</xdr:rowOff>
    </xdr:from>
    <xdr:to>
      <xdr:col>2</xdr:col>
      <xdr:colOff>0</xdr:colOff>
      <xdr:row>94</xdr:row>
      <xdr:rowOff>1523999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4E99625-D94E-E279-2364-ABBE0251B534}"/>
            </a:ext>
          </a:extLst>
        </xdr:cNvPr>
        <xdr:cNvSpPr/>
      </xdr:nvSpPr>
      <xdr:spPr>
        <a:xfrm>
          <a:off x="0" y="34635"/>
          <a:ext cx="10165773" cy="24106909"/>
        </a:xfrm>
        <a:prstGeom prst="rect">
          <a:avLst/>
        </a:prstGeom>
        <a:blipFill dpi="0" rotWithShape="1">
          <a:blip xmlns:r="http://schemas.openxmlformats.org/officeDocument/2006/relationships" r:embed="rId4">
            <a:alphaModFix amt="15000"/>
          </a:blip>
          <a:srcRect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21</xdr:col>
      <xdr:colOff>11206</xdr:colOff>
      <xdr:row>72</xdr:row>
      <xdr:rowOff>22412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74BC405-F4F4-42CD-8760-58E0F633BA84}"/>
            </a:ext>
          </a:extLst>
        </xdr:cNvPr>
        <xdr:cNvSpPr/>
      </xdr:nvSpPr>
      <xdr:spPr>
        <a:xfrm>
          <a:off x="549088" y="1524000"/>
          <a:ext cx="20114559" cy="22579853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15000"/>
          </a:blip>
          <a:srcRect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21</xdr:col>
      <xdr:colOff>11206</xdr:colOff>
      <xdr:row>75</xdr:row>
      <xdr:rowOff>11206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E0AD124-7D85-40B0-8C7E-190101464E29}"/>
            </a:ext>
          </a:extLst>
        </xdr:cNvPr>
        <xdr:cNvSpPr/>
      </xdr:nvSpPr>
      <xdr:spPr>
        <a:xfrm>
          <a:off x="549088" y="1512794"/>
          <a:ext cx="20114559" cy="23678030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15000"/>
          </a:blip>
          <a:srcRect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rgb="FFCA56A7"/>
  </sheetPr>
  <dimension ref="A1:B97"/>
  <sheetViews>
    <sheetView tabSelected="1" zoomScale="55" zoomScaleNormal="55" zoomScaleSheetLayoutView="75" workbookViewId="0">
      <selection activeCell="D1" sqref="D1"/>
    </sheetView>
  </sheetViews>
  <sheetFormatPr defaultColWidth="8.75" defaultRowHeight="16.5"/>
  <cols>
    <col min="1" max="1" width="8.75" style="10" bestFit="1" customWidth="1"/>
    <col min="2" max="2" width="124.5" style="10" customWidth="1"/>
  </cols>
  <sheetData>
    <row r="1" spans="1:2" ht="157.5">
      <c r="B1" s="237" t="s">
        <v>859</v>
      </c>
    </row>
    <row r="2" spans="1:2" s="8" customFormat="1" ht="13.9" customHeight="1">
      <c r="A2" s="10"/>
      <c r="B2" s="239"/>
    </row>
    <row r="3" spans="1:2" s="8" customFormat="1" ht="86.25">
      <c r="A3" s="93"/>
      <c r="B3" s="240" t="s">
        <v>858</v>
      </c>
    </row>
    <row r="4" spans="1:2" ht="26.25">
      <c r="B4" s="93"/>
    </row>
    <row r="5" spans="1:2" ht="24">
      <c r="A5" s="214" t="s">
        <v>474</v>
      </c>
      <c r="B5" s="10" t="s">
        <v>2</v>
      </c>
    </row>
    <row r="6" spans="1:2" s="10" customFormat="1">
      <c r="A6" s="94"/>
      <c r="B6" s="179" t="s">
        <v>599</v>
      </c>
    </row>
    <row r="15" spans="1:2" s="8" customFormat="1">
      <c r="A15" s="10"/>
      <c r="B15" s="10"/>
    </row>
    <row r="16" spans="1:2" s="8" customFormat="1">
      <c r="A16" s="10"/>
      <c r="B16" s="10"/>
    </row>
    <row r="17" spans="1:2" s="8" customFormat="1">
      <c r="A17" s="10"/>
      <c r="B17" s="10"/>
    </row>
    <row r="18" spans="1:2" s="8" customFormat="1">
      <c r="A18" s="10"/>
      <c r="B18" s="10"/>
    </row>
    <row r="19" spans="1:2" s="8" customFormat="1">
      <c r="A19" s="10"/>
      <c r="B19" s="10"/>
    </row>
    <row r="20" spans="1:2" s="8" customFormat="1">
      <c r="A20" s="10"/>
      <c r="B20" s="10"/>
    </row>
    <row r="21" spans="1:2" s="8" customFormat="1">
      <c r="A21" s="10"/>
      <c r="B21" s="10"/>
    </row>
    <row r="22" spans="1:2" s="8" customFormat="1">
      <c r="A22" s="10"/>
      <c r="B22" s="10"/>
    </row>
    <row r="23" spans="1:2" s="8" customFormat="1">
      <c r="A23" s="10"/>
      <c r="B23" s="10"/>
    </row>
    <row r="24" spans="1:2" s="8" customFormat="1">
      <c r="A24" s="10"/>
      <c r="B24" s="10"/>
    </row>
    <row r="25" spans="1:2" s="8" customFormat="1">
      <c r="A25" s="10"/>
      <c r="B25" s="10"/>
    </row>
    <row r="36" spans="1:2" ht="24">
      <c r="A36" s="214" t="s">
        <v>434</v>
      </c>
      <c r="B36" s="10" t="s">
        <v>1</v>
      </c>
    </row>
    <row r="44" spans="1:2" s="8" customFormat="1">
      <c r="A44" s="10"/>
      <c r="B44" s="10"/>
    </row>
    <row r="45" spans="1:2" s="8" customFormat="1">
      <c r="A45" s="10"/>
      <c r="B45" s="10"/>
    </row>
    <row r="46" spans="1:2" s="8" customFormat="1">
      <c r="A46" s="10"/>
      <c r="B46" s="10"/>
    </row>
    <row r="47" spans="1:2" s="8" customFormat="1">
      <c r="A47" s="10"/>
      <c r="B47" s="10"/>
    </row>
    <row r="48" spans="1:2" s="8" customFormat="1">
      <c r="A48" s="10"/>
      <c r="B48" s="10"/>
    </row>
    <row r="49" spans="1:2" s="8" customFormat="1">
      <c r="A49" s="10"/>
      <c r="B49" s="10"/>
    </row>
    <row r="50" spans="1:2" s="8" customFormat="1">
      <c r="A50" s="10"/>
      <c r="B50" s="10"/>
    </row>
    <row r="51" spans="1:2" s="8" customFormat="1">
      <c r="A51" s="10"/>
      <c r="B51" s="10"/>
    </row>
    <row r="52" spans="1:2" s="8" customFormat="1">
      <c r="A52" s="10"/>
      <c r="B52" s="10"/>
    </row>
    <row r="53" spans="1:2" s="8" customFormat="1">
      <c r="A53" s="10"/>
      <c r="B53" s="10"/>
    </row>
    <row r="54" spans="1:2" s="8" customFormat="1">
      <c r="A54" s="10"/>
      <c r="B54" s="10"/>
    </row>
    <row r="66" spans="1:2" ht="24">
      <c r="A66" s="214" t="s">
        <v>443</v>
      </c>
      <c r="B66" s="95" t="s">
        <v>0</v>
      </c>
    </row>
    <row r="67" spans="1:2">
      <c r="B67" s="180"/>
    </row>
    <row r="80" spans="1:2" s="8" customFormat="1">
      <c r="A80" s="10"/>
      <c r="B80" s="10"/>
    </row>
    <row r="81" spans="1:2" s="8" customFormat="1">
      <c r="A81" s="10"/>
      <c r="B81" s="10"/>
    </row>
    <row r="82" spans="1:2" s="8" customFormat="1">
      <c r="A82" s="10"/>
      <c r="B82" s="10"/>
    </row>
    <row r="83" spans="1:2" s="8" customFormat="1">
      <c r="A83" s="10"/>
      <c r="B83" s="10"/>
    </row>
    <row r="84" spans="1:2" s="8" customFormat="1">
      <c r="A84" s="10"/>
      <c r="B84" s="10"/>
    </row>
    <row r="85" spans="1:2" s="8" customFormat="1">
      <c r="A85" s="10"/>
      <c r="B85" s="10"/>
    </row>
    <row r="86" spans="1:2" s="8" customFormat="1">
      <c r="A86" s="10"/>
      <c r="B86" s="10"/>
    </row>
    <row r="91" spans="1:2" s="10" customFormat="1"/>
    <row r="92" spans="1:2" s="10" customFormat="1"/>
    <row r="93" spans="1:2" s="10" customFormat="1"/>
    <row r="94" spans="1:2" s="10" customFormat="1"/>
    <row r="95" spans="1:2" s="10" customFormat="1" ht="121.9" customHeight="1">
      <c r="A95" s="214" t="s">
        <v>436</v>
      </c>
      <c r="B95" s="403" t="s">
        <v>611</v>
      </c>
    </row>
    <row r="96" spans="1:2" s="10" customFormat="1"/>
    <row r="97" spans="2:2" ht="17.25">
      <c r="B97" s="238"/>
    </row>
  </sheetData>
  <sheetProtection algorithmName="SHA-512" hashValue="4MAAsHWrQ/s/VdFUsNJfq+7ukwyZ3JVYsVo2ux88qx+KXhvgfrcQSM8lKxw4ddBQLKyZ0nFuaJTnxKGpFvReyw==" saltValue="8HIK6UdV6KiP1r4s7/k2VA==" spinCount="100000" sheet="1" objects="1" scenarios="1"/>
  <phoneticPr fontId="81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draf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>
    <tabColor rgb="FF92D050"/>
    <pageSetUpPr fitToPage="1"/>
  </sheetPr>
  <dimension ref="A1:V92"/>
  <sheetViews>
    <sheetView view="pageBreakPreview" zoomScale="85" zoomScaleNormal="100" zoomScaleSheetLayoutView="85" workbookViewId="0">
      <pane ySplit="4" topLeftCell="A5" activePane="bottomLeft" state="frozen"/>
      <selection pane="bottomLeft" activeCell="A67" sqref="A67:XFD67"/>
    </sheetView>
  </sheetViews>
  <sheetFormatPr defaultColWidth="8.75" defaultRowHeight="16.5"/>
  <cols>
    <col min="1" max="1" width="7.25" style="95" customWidth="1"/>
    <col min="2" max="2" width="30.125" style="25" customWidth="1"/>
    <col min="3" max="10" width="13" style="25" customWidth="1"/>
    <col min="11" max="11" width="13" style="292" customWidth="1"/>
    <col min="12" max="13" width="10.25" style="14" customWidth="1"/>
    <col min="14" max="14" width="10.25" style="14" hidden="1" customWidth="1"/>
    <col min="15" max="15" width="10.25" style="292" customWidth="1"/>
    <col min="16" max="16" width="10.25" style="97" customWidth="1"/>
    <col min="17" max="17" width="10.25" style="18" hidden="1" customWidth="1"/>
    <col min="18" max="18" width="10.25" style="25" hidden="1" customWidth="1"/>
    <col min="19" max="20" width="10.25" style="292" customWidth="1"/>
    <col min="21" max="21" width="55.5" style="25" customWidth="1"/>
    <col min="22" max="22" width="8.875" style="25" bestFit="1" customWidth="1"/>
  </cols>
  <sheetData>
    <row r="1" spans="1:22">
      <c r="B1" s="10"/>
      <c r="C1" s="10"/>
      <c r="D1" s="10"/>
      <c r="E1" s="10"/>
      <c r="F1" s="10"/>
      <c r="G1" s="10"/>
      <c r="H1" s="10"/>
      <c r="I1" s="10"/>
      <c r="J1" s="10"/>
      <c r="L1" s="10"/>
      <c r="M1" s="10"/>
      <c r="N1" s="10"/>
      <c r="Q1" s="10"/>
      <c r="R1" s="10"/>
      <c r="U1" s="10"/>
      <c r="V1" s="10"/>
    </row>
    <row r="2" spans="1:22" ht="43.9" customHeight="1">
      <c r="A2" s="223"/>
      <c r="B2" s="233"/>
      <c r="C2" s="514" t="s">
        <v>252</v>
      </c>
      <c r="D2" s="514"/>
      <c r="E2" s="515" t="s">
        <v>433</v>
      </c>
      <c r="F2" s="515"/>
      <c r="G2" s="516"/>
      <c r="H2" s="234"/>
      <c r="I2" s="224"/>
      <c r="J2" s="225"/>
      <c r="K2" s="225"/>
      <c r="L2" s="226"/>
      <c r="M2" s="226"/>
      <c r="N2" s="226"/>
      <c r="O2" s="226"/>
      <c r="P2" s="226"/>
      <c r="Q2" s="226"/>
      <c r="R2" s="226"/>
      <c r="S2" s="226"/>
      <c r="T2" s="226"/>
      <c r="U2" s="227"/>
      <c r="V2" s="10"/>
    </row>
    <row r="3" spans="1:22" ht="15" customHeight="1">
      <c r="B3" s="229"/>
      <c r="C3" s="235"/>
      <c r="D3" s="235"/>
      <c r="E3" s="235"/>
      <c r="F3" s="235"/>
      <c r="G3" s="235"/>
      <c r="H3" s="230"/>
      <c r="I3" s="230"/>
      <c r="J3" s="230"/>
      <c r="K3" s="230"/>
      <c r="L3" s="230"/>
      <c r="M3" s="230"/>
      <c r="N3" s="230"/>
      <c r="O3" s="230"/>
      <c r="P3" s="231"/>
      <c r="Q3" s="230"/>
      <c r="R3" s="230"/>
      <c r="S3" s="230"/>
      <c r="T3" s="230"/>
      <c r="U3" s="232"/>
      <c r="V3" s="10"/>
    </row>
    <row r="4" spans="1:22" ht="45" customHeight="1">
      <c r="A4" s="259" t="s">
        <v>419</v>
      </c>
      <c r="B4" s="259" t="s">
        <v>477</v>
      </c>
      <c r="C4" s="259" t="s">
        <v>440</v>
      </c>
      <c r="D4" s="260" t="s">
        <v>403</v>
      </c>
      <c r="E4" s="260" t="s">
        <v>389</v>
      </c>
      <c r="F4" s="260" t="s">
        <v>360</v>
      </c>
      <c r="G4" s="259" t="s">
        <v>234</v>
      </c>
      <c r="H4" s="259" t="s">
        <v>266</v>
      </c>
      <c r="I4" s="260" t="s">
        <v>322</v>
      </c>
      <c r="J4" s="260" t="s">
        <v>279</v>
      </c>
      <c r="K4" s="290" t="s">
        <v>614</v>
      </c>
      <c r="L4" s="290" t="s">
        <v>47</v>
      </c>
      <c r="M4" s="290" t="s">
        <v>348</v>
      </c>
      <c r="N4" s="290" t="s">
        <v>64</v>
      </c>
      <c r="O4" s="290" t="s">
        <v>615</v>
      </c>
      <c r="P4" s="290" t="s">
        <v>50</v>
      </c>
      <c r="Q4" s="290" t="s">
        <v>104</v>
      </c>
      <c r="R4" s="290" t="s">
        <v>362</v>
      </c>
      <c r="S4" s="290" t="s">
        <v>691</v>
      </c>
      <c r="T4" s="290" t="s">
        <v>692</v>
      </c>
      <c r="U4" s="260" t="s">
        <v>309</v>
      </c>
      <c r="V4" s="10"/>
    </row>
    <row r="5" spans="1:22" ht="29.25" customHeight="1" thickBot="1">
      <c r="A5" s="261" t="str">
        <f>'상담(남)'!A5</f>
        <v>경기</v>
      </c>
      <c r="B5" s="175" t="str">
        <f>'상담(남)'!B5</f>
        <v>가천대 체육</v>
      </c>
      <c r="C5" s="278">
        <f>'상담(남)'!C5</f>
        <v>300</v>
      </c>
      <c r="D5" s="266">
        <f>'상담(남)'!D5</f>
        <v>294</v>
      </c>
      <c r="E5" s="357">
        <v>272</v>
      </c>
      <c r="F5" s="282">
        <f>C5-D5</f>
        <v>6</v>
      </c>
      <c r="G5" s="266">
        <f>'상담(남)'!G5</f>
        <v>700</v>
      </c>
      <c r="H5" s="279">
        <f>'상담(남)'!H5</f>
        <v>1000</v>
      </c>
      <c r="I5" s="280">
        <f>'상담(남)'!I5</f>
        <v>984</v>
      </c>
      <c r="J5" s="281">
        <f>'상담(남)'!J5</f>
        <v>973</v>
      </c>
      <c r="K5" s="414">
        <f>'상담(남)'!K5</f>
        <v>40</v>
      </c>
      <c r="L5" s="136">
        <f>'상담(남)'!L5</f>
        <v>40</v>
      </c>
      <c r="M5" s="484">
        <f>'상담(남)'!M5</f>
        <v>30</v>
      </c>
      <c r="N5" s="484">
        <f>'상담(남)'!N5</f>
        <v>20</v>
      </c>
      <c r="O5" s="413">
        <f>'상담(남)'!O5</f>
        <v>20</v>
      </c>
      <c r="P5" s="136">
        <f>'상담(남)'!P5</f>
        <v>37</v>
      </c>
      <c r="Q5" s="484">
        <f>'상담(남)'!Q5</f>
        <v>3</v>
      </c>
      <c r="R5" s="484">
        <f>'상담(남)'!R5</f>
        <v>3</v>
      </c>
      <c r="S5" s="505" t="str">
        <f>'상담(남)'!S5</f>
        <v>49.18</v>
      </c>
      <c r="T5" s="506" t="str">
        <f>'상담(남)'!T5</f>
        <v>66.7</v>
      </c>
      <c r="U5" s="221" t="str">
        <f>'상담(남)'!U5</f>
        <v>.</v>
      </c>
      <c r="V5" s="10"/>
    </row>
    <row r="6" spans="1:22" ht="29.25" customHeight="1" thickBot="1">
      <c r="A6" s="261" t="str">
        <f>'상담(남)'!A6</f>
        <v>강원</v>
      </c>
      <c r="B6" s="175" t="str">
        <f>'상담(남)'!B6</f>
        <v>가톨릭관동대 체육교육</v>
      </c>
      <c r="C6" s="278">
        <f>'상담(남)'!C6</f>
        <v>700</v>
      </c>
      <c r="D6" s="266">
        <f>'상담(남)'!D6</f>
        <v>661</v>
      </c>
      <c r="E6" s="357">
        <f>'상담(남)'!E6</f>
        <v>621</v>
      </c>
      <c r="F6" s="282">
        <f t="shared" ref="F6:F72" si="0">C6-D6</f>
        <v>39</v>
      </c>
      <c r="G6" s="266">
        <f>'상담(남)'!G6</f>
        <v>300</v>
      </c>
      <c r="H6" s="279">
        <f>'상담(남)'!H6</f>
        <v>1000</v>
      </c>
      <c r="I6" s="280">
        <f>'상담(남)'!I6</f>
        <v>945</v>
      </c>
      <c r="J6" s="281">
        <f>'상담(남)'!J6</f>
        <v>921</v>
      </c>
      <c r="K6" s="414">
        <f>'상담(남)'!K6</f>
        <v>20</v>
      </c>
      <c r="L6" s="136">
        <f>'상담(남)'!L6</f>
        <v>20</v>
      </c>
      <c r="M6" s="484">
        <f>'상담(남)'!M6</f>
        <v>20</v>
      </c>
      <c r="N6" s="484">
        <f>'상담(남)'!N6</f>
        <v>20</v>
      </c>
      <c r="O6" s="413">
        <f>'상담(남)'!O6</f>
        <v>20</v>
      </c>
      <c r="P6" s="136">
        <f>'상담(남)'!P6</f>
        <v>27</v>
      </c>
      <c r="Q6" s="484">
        <f>'상담(남)'!Q6</f>
        <v>32</v>
      </c>
      <c r="R6" s="484">
        <f>'상담(남)'!R6</f>
        <v>34</v>
      </c>
      <c r="S6" s="505" t="str">
        <f>'상담(남)'!S6</f>
        <v>8.05</v>
      </c>
      <c r="T6" s="506" t="str">
        <f>'상담(남)'!T6</f>
        <v>6.45</v>
      </c>
      <c r="U6" s="221" t="str">
        <f>'상담(남)'!U6</f>
        <v>내신8과목에서 12과목 반영</v>
      </c>
    </row>
    <row r="7" spans="1:22" ht="29.25" customHeight="1" thickBot="1">
      <c r="A7" s="261" t="str">
        <f>'상담(남)'!A7</f>
        <v>강원</v>
      </c>
      <c r="B7" s="175" t="str">
        <f>'상담(남)'!B7</f>
        <v>가톨릭관동대 스포츠레저</v>
      </c>
      <c r="C7" s="278">
        <f>'상담(남)'!C7</f>
        <v>600</v>
      </c>
      <c r="D7" s="266">
        <f>'상담(남)'!D7</f>
        <v>485</v>
      </c>
      <c r="E7" s="357">
        <f>'상담(남)'!E7</f>
        <v>414</v>
      </c>
      <c r="F7" s="282">
        <f t="shared" si="0"/>
        <v>115</v>
      </c>
      <c r="G7" s="266">
        <f>'상담(남)'!G7</f>
        <v>400</v>
      </c>
      <c r="H7" s="279">
        <f>'상담(남)'!H7</f>
        <v>1000</v>
      </c>
      <c r="I7" s="280">
        <f>'상담(남)'!I7</f>
        <v>835</v>
      </c>
      <c r="J7" s="281">
        <f>'상담(남)'!J7</f>
        <v>814</v>
      </c>
      <c r="K7" s="414">
        <f>'상담(남)'!K7</f>
        <v>41</v>
      </c>
      <c r="L7" s="136">
        <f>'상담(남)'!L7</f>
        <v>40</v>
      </c>
      <c r="M7" s="484">
        <f>'상담(남)'!M7</f>
        <v>40</v>
      </c>
      <c r="N7" s="484">
        <f>'상담(남)'!N7</f>
        <v>96</v>
      </c>
      <c r="O7" s="413">
        <f>'상담(남)'!O7</f>
        <v>59</v>
      </c>
      <c r="P7" s="136">
        <f>'상담(남)'!P7</f>
        <v>7</v>
      </c>
      <c r="Q7" s="484" t="str">
        <f>'상담(남)'!Q7</f>
        <v>_</v>
      </c>
      <c r="R7" s="484">
        <f>'상담(남)'!R7</f>
        <v>64</v>
      </c>
      <c r="S7" s="505" t="str">
        <f>'상담(남)'!S7</f>
        <v>2.68</v>
      </c>
      <c r="T7" s="506" t="str">
        <f>'상담(남)'!T7</f>
        <v>1.3</v>
      </c>
      <c r="U7" s="221" t="str">
        <f>'상담(남)'!U7</f>
        <v>내신8과목에서 12과목 반영</v>
      </c>
    </row>
    <row r="8" spans="1:22" ht="29.25" customHeight="1" thickBot="1">
      <c r="A8" s="261" t="str">
        <f>'상담(남)'!A8</f>
        <v>강원</v>
      </c>
      <c r="B8" s="175" t="str">
        <f>'상담(남)'!B8</f>
        <v>가톨릭관동대  스포츠재활의학</v>
      </c>
      <c r="C8" s="278">
        <f>'상담(남)'!C8</f>
        <v>600</v>
      </c>
      <c r="D8" s="266">
        <f>'상담(남)'!D8</f>
        <v>500</v>
      </c>
      <c r="E8" s="357">
        <f>'상담(남)'!E8</f>
        <v>455</v>
      </c>
      <c r="F8" s="282">
        <f t="shared" si="0"/>
        <v>100</v>
      </c>
      <c r="G8" s="266">
        <f>'상담(남)'!G8</f>
        <v>400</v>
      </c>
      <c r="H8" s="279">
        <f>'상담(남)'!H8</f>
        <v>1000</v>
      </c>
      <c r="I8" s="280">
        <f>'상담(남)'!I8</f>
        <v>878</v>
      </c>
      <c r="J8" s="281">
        <f>'상담(남)'!J8</f>
        <v>855</v>
      </c>
      <c r="K8" s="414">
        <f>'상담(남)'!K8</f>
        <v>40</v>
      </c>
      <c r="L8" s="136">
        <f>'상담(남)'!L8</f>
        <v>40</v>
      </c>
      <c r="M8" s="484">
        <f>'상담(남)'!M8</f>
        <v>31</v>
      </c>
      <c r="N8" s="484">
        <f>'상담(남)'!N8</f>
        <v>0</v>
      </c>
      <c r="O8" s="413">
        <f>'상담(남)'!O8</f>
        <v>46</v>
      </c>
      <c r="P8" s="136">
        <f>'상담(남)'!P8</f>
        <v>49</v>
      </c>
      <c r="Q8" s="484" t="str">
        <f>'상담(남)'!Q8</f>
        <v>_</v>
      </c>
      <c r="R8" s="484">
        <f>'상담(남)'!R8</f>
        <v>57</v>
      </c>
      <c r="S8" s="505" t="str">
        <f>'상담(남)'!S8</f>
        <v>5.28</v>
      </c>
      <c r="T8" s="506" t="str">
        <f>'상담(남)'!T8</f>
        <v>3.6</v>
      </c>
      <c r="U8" s="221" t="str">
        <f>'상담(남)'!U8</f>
        <v>실기만점기준 상향 조정</v>
      </c>
    </row>
    <row r="9" spans="1:22" ht="29.25" customHeight="1" thickBot="1">
      <c r="A9" s="261" t="str">
        <f>'상담(남)'!A9</f>
        <v>경기</v>
      </c>
      <c r="B9" s="175" t="str">
        <f>'상담(남)'!B9</f>
        <v>강남대 체육</v>
      </c>
      <c r="C9" s="278">
        <f>'상담(남)'!C9</f>
        <v>300</v>
      </c>
      <c r="D9" s="266">
        <f>'상담(남)'!D9</f>
        <v>291</v>
      </c>
      <c r="E9" s="357">
        <v>248</v>
      </c>
      <c r="F9" s="282">
        <f t="shared" si="0"/>
        <v>9</v>
      </c>
      <c r="G9" s="266">
        <f>'상담(남)'!G9</f>
        <v>676</v>
      </c>
      <c r="H9" s="279">
        <f>'상담(남)'!H9</f>
        <v>976</v>
      </c>
      <c r="I9" s="280">
        <f>'상담(남)'!I9</f>
        <v>979</v>
      </c>
      <c r="J9" s="281">
        <v>948</v>
      </c>
      <c r="K9" s="414">
        <f>'상담(남)'!K9</f>
        <v>29</v>
      </c>
      <c r="L9" s="136">
        <f>'상담(남)'!L9</f>
        <v>29</v>
      </c>
      <c r="M9" s="484">
        <f>'상담(남)'!M9</f>
        <v>29</v>
      </c>
      <c r="N9" s="484">
        <f>'상담(남)'!N9</f>
        <v>29</v>
      </c>
      <c r="O9" s="413">
        <f>'상담(남)'!O9</f>
        <v>36</v>
      </c>
      <c r="P9" s="136">
        <f>'상담(남)'!P9</f>
        <v>38</v>
      </c>
      <c r="Q9" s="484">
        <f>'상담(남)'!Q9</f>
        <v>38</v>
      </c>
      <c r="R9" s="484">
        <f>'상담(남)'!R9</f>
        <v>19</v>
      </c>
      <c r="S9" s="505" t="str">
        <f>'상담(남)'!S9</f>
        <v>23.62</v>
      </c>
      <c r="T9" s="506" t="str">
        <f>'상담(남)'!T9</f>
        <v>16.79</v>
      </c>
      <c r="U9" s="221" t="str">
        <f>'상담(남)'!U9</f>
        <v>내신반영변경,실기급간점수 변경</v>
      </c>
    </row>
    <row r="10" spans="1:22" ht="29.25" customHeight="1" thickBot="1">
      <c r="A10" s="261" t="str">
        <f>'상담(남)'!A10</f>
        <v>충북</v>
      </c>
      <c r="B10" s="175" t="str">
        <f>'상담(남)'!B10</f>
        <v>건국대(글) 스포츠건강</v>
      </c>
      <c r="C10" s="278">
        <f>'상담(남)'!C10</f>
        <v>200</v>
      </c>
      <c r="D10" s="266">
        <f>'상담(남)'!D10</f>
        <v>165</v>
      </c>
      <c r="E10" s="357">
        <f>'상담(남)'!E10</f>
        <v>121</v>
      </c>
      <c r="F10" s="282">
        <f t="shared" si="0"/>
        <v>35</v>
      </c>
      <c r="G10" s="266">
        <f>'상담(남)'!G10</f>
        <v>520</v>
      </c>
      <c r="H10" s="279">
        <f>'상담(남)'!H10</f>
        <v>720</v>
      </c>
      <c r="I10" s="280">
        <f>'상담(남)'!I10</f>
        <v>951</v>
      </c>
      <c r="J10" s="281">
        <f>'상담(남)'!J10</f>
        <v>921</v>
      </c>
      <c r="K10" s="414">
        <f>'상담(남)'!K10</f>
        <v>20</v>
      </c>
      <c r="L10" s="136">
        <f>'상담(남)'!L10</f>
        <v>20</v>
      </c>
      <c r="M10" s="484">
        <f>'상담(남)'!M10</f>
        <v>22</v>
      </c>
      <c r="N10" s="484">
        <f>'상담(남)'!N10</f>
        <v>18</v>
      </c>
      <c r="O10" s="413">
        <f>'상담(남)'!O10</f>
        <v>15</v>
      </c>
      <c r="P10" s="136">
        <f>'상담(남)'!P10</f>
        <v>15</v>
      </c>
      <c r="Q10" s="484">
        <f>'상담(남)'!Q10</f>
        <v>9</v>
      </c>
      <c r="R10" s="484">
        <f>'상담(남)'!R10</f>
        <v>8</v>
      </c>
      <c r="S10" s="505" t="str">
        <f>'상담(남)'!S10</f>
        <v>28.35</v>
      </c>
      <c r="T10" s="506" t="str">
        <f>'상담(남)'!T10</f>
        <v>17.09</v>
      </c>
      <c r="U10" s="221" t="str">
        <f>'상담(남)'!U10</f>
        <v>여자제멀, 남녀 농구 만점상향 조정</v>
      </c>
    </row>
    <row r="11" spans="1:22" s="6" customFormat="1" ht="29.25" customHeight="1" thickBot="1">
      <c r="A11" s="261" t="str">
        <f>'상담(남)'!A11</f>
        <v>경기</v>
      </c>
      <c r="B11" s="175" t="str">
        <f>'상담(남)'!B11</f>
        <v>경기대 스포츠과학</v>
      </c>
      <c r="C11" s="278">
        <f>'상담(남)'!C11</f>
        <v>39</v>
      </c>
      <c r="D11" s="266">
        <f>'상담(남)'!D11</f>
        <v>29.49</v>
      </c>
      <c r="E11" s="357">
        <f>'상담(남)'!E11</f>
        <v>29.17</v>
      </c>
      <c r="F11" s="282">
        <f t="shared" si="0"/>
        <v>9.5100000000000016</v>
      </c>
      <c r="G11" s="266">
        <f>'상담(남)'!G11</f>
        <v>70</v>
      </c>
      <c r="H11" s="279">
        <f>'상담(남)'!H11</f>
        <v>109</v>
      </c>
      <c r="I11" s="280">
        <f>'상담(남)'!I11</f>
        <v>99.3</v>
      </c>
      <c r="J11" s="281">
        <f>'상담(남)'!J11</f>
        <v>99.17</v>
      </c>
      <c r="K11" s="414">
        <f>'상담(남)'!K11</f>
        <v>19</v>
      </c>
      <c r="L11" s="136">
        <f>'상담(남)'!L11</f>
        <v>10</v>
      </c>
      <c r="M11" s="484">
        <f>'상담(남)'!M11</f>
        <v>10</v>
      </c>
      <c r="N11" s="484">
        <f>'상담(남)'!N11</f>
        <v>10</v>
      </c>
      <c r="O11" s="413">
        <f>'상담(남)'!O11</f>
        <v>13</v>
      </c>
      <c r="P11" s="136">
        <f>'상담(남)'!P11</f>
        <v>4</v>
      </c>
      <c r="Q11" s="484">
        <f>'상담(남)'!Q11</f>
        <v>15</v>
      </c>
      <c r="R11" s="484" t="str">
        <f>'상담(남)'!R11</f>
        <v>23신설</v>
      </c>
      <c r="S11" s="505" t="str">
        <f>'상담(남)'!S11</f>
        <v>62.00</v>
      </c>
      <c r="T11" s="506" t="str">
        <f>'상담(남)'!T11</f>
        <v>20.1</v>
      </c>
      <c r="U11" s="221" t="str">
        <f>'상담(남)'!U11</f>
        <v>만점기준 강화 실기반영(10%) 증가</v>
      </c>
    </row>
    <row r="12" spans="1:22" s="95" customFormat="1" ht="29.25" hidden="1" customHeight="1">
      <c r="A12" s="392" t="str">
        <f>'상담(남)'!A12</f>
        <v>경기</v>
      </c>
      <c r="B12" s="393" t="str">
        <f>'상담(남)'!B12</f>
        <v>경기대 체육</v>
      </c>
      <c r="C12" s="350">
        <f>'상담(남)'!C12</f>
        <v>39</v>
      </c>
      <c r="D12" s="334">
        <f>'상담(남)'!D12</f>
        <v>0</v>
      </c>
      <c r="E12" s="358">
        <f>'상담(남)'!E12</f>
        <v>0</v>
      </c>
      <c r="F12" s="351">
        <f t="shared" si="0"/>
        <v>39</v>
      </c>
      <c r="G12" s="334">
        <f>'상담(남)'!G12</f>
        <v>60</v>
      </c>
      <c r="H12" s="352">
        <f>'상담(남)'!H12</f>
        <v>99</v>
      </c>
      <c r="I12" s="353">
        <f>'상담(남)'!I12</f>
        <v>0</v>
      </c>
      <c r="J12" s="354">
        <f>'상담(남)'!J12</f>
        <v>0</v>
      </c>
      <c r="K12" s="414" t="str">
        <f>'상담(남)'!K12</f>
        <v>미선발</v>
      </c>
      <c r="L12" s="394">
        <f>'상담(남)'!L12</f>
        <v>0</v>
      </c>
      <c r="M12" s="485">
        <f>'상담(남)'!M12</f>
        <v>5</v>
      </c>
      <c r="N12" s="485">
        <f>'상담(남)'!N12</f>
        <v>5</v>
      </c>
      <c r="O12" s="413" t="str">
        <f>'상담(남)'!O12</f>
        <v>미선발</v>
      </c>
      <c r="P12" s="394">
        <f>'상담(남)'!P12</f>
        <v>3</v>
      </c>
      <c r="Q12" s="485">
        <f>'상담(남)'!Q12</f>
        <v>3</v>
      </c>
      <c r="R12" s="485" t="str">
        <f>'상담(남)'!R12</f>
        <v>23신설</v>
      </c>
      <c r="S12" s="505">
        <f>'상담(남)'!S12</f>
        <v>0</v>
      </c>
      <c r="T12" s="506" t="str">
        <f>'상담(남)'!T12</f>
        <v>9.0</v>
      </c>
      <c r="U12" s="398" t="str">
        <f>'상담(남)'!U12</f>
        <v>수시 폐지 2027 모집정원 전원 수시선발</v>
      </c>
    </row>
    <row r="13" spans="1:22" ht="29.25" customHeight="1" thickBot="1">
      <c r="A13" s="261" t="str">
        <f>'상담(남)'!A13</f>
        <v>충북</v>
      </c>
      <c r="B13" s="175" t="str">
        <f>'상담(남)'!B13</f>
        <v>극동대 스포츠재활</v>
      </c>
      <c r="C13" s="278">
        <f>'상담(남)'!C13</f>
        <v>200</v>
      </c>
      <c r="D13" s="266">
        <f>'상담(남)'!D13</f>
        <v>160</v>
      </c>
      <c r="E13" s="357">
        <f>'상담(남)'!E13</f>
        <v>116</v>
      </c>
      <c r="F13" s="282">
        <f t="shared" si="0"/>
        <v>40</v>
      </c>
      <c r="G13" s="266">
        <f>'상담(남)'!G13</f>
        <v>800</v>
      </c>
      <c r="H13" s="279">
        <f>'상담(남)'!H13</f>
        <v>1000</v>
      </c>
      <c r="I13" s="280">
        <f>'상담(남)'!I13</f>
        <v>920</v>
      </c>
      <c r="J13" s="281">
        <f>'상담(남)'!J13</f>
        <v>889.33</v>
      </c>
      <c r="K13" s="414">
        <f>'상담(남)'!K13</f>
        <v>29</v>
      </c>
      <c r="L13" s="136">
        <f>'상담(남)'!L13</f>
        <v>16</v>
      </c>
      <c r="M13" s="484">
        <f>'상담(남)'!M13</f>
        <v>26</v>
      </c>
      <c r="N13" s="484">
        <f>'상담(남)'!N13</f>
        <v>30</v>
      </c>
      <c r="O13" s="413">
        <f>'상담(남)'!O13</f>
        <v>1</v>
      </c>
      <c r="P13" s="136" t="str">
        <f>'상담(남)'!P13</f>
        <v>미달</v>
      </c>
      <c r="Q13" s="484" t="str">
        <f>'상담(남)'!Q13</f>
        <v>_</v>
      </c>
      <c r="R13" s="484">
        <f>'상담(남)'!R13</f>
        <v>12</v>
      </c>
      <c r="S13" s="505" t="str">
        <f>'상담(남)'!S13</f>
        <v>2.44</v>
      </c>
      <c r="T13" s="506" t="str">
        <f>'상담(남)'!T13</f>
        <v>0.92</v>
      </c>
      <c r="U13" s="389" t="str">
        <f>'상담(남)'!U13</f>
        <v>실기 4종목 중 3종목 반영/ 경쟁률에 따른 컷라인 예측 불가</v>
      </c>
    </row>
    <row r="14" spans="1:22" ht="29.25" customHeight="1" thickBot="1">
      <c r="A14" s="261" t="str">
        <f>'상담(남)'!A14</f>
        <v>충남</v>
      </c>
      <c r="B14" s="175" t="str">
        <f>'상담(남)'!B14</f>
        <v>나사렛대 재활스포츠</v>
      </c>
      <c r="C14" s="278">
        <f>'상담(남)'!C14</f>
        <v>100</v>
      </c>
      <c r="D14" s="266">
        <f>'상담(남)'!D14</f>
        <v>85</v>
      </c>
      <c r="E14" s="357">
        <f>'상담(남)'!E14</f>
        <v>72</v>
      </c>
      <c r="F14" s="282">
        <f t="shared" si="0"/>
        <v>15</v>
      </c>
      <c r="G14" s="266">
        <f>'상담(남)'!G14</f>
        <v>900</v>
      </c>
      <c r="H14" s="279">
        <f>'상담(남)'!H14</f>
        <v>1000</v>
      </c>
      <c r="I14" s="280">
        <f>'상담(남)'!I14</f>
        <v>965</v>
      </c>
      <c r="J14" s="281">
        <f>'상담(남)'!J14</f>
        <v>923</v>
      </c>
      <c r="K14" s="414">
        <f>'상담(남)'!K14</f>
        <v>55</v>
      </c>
      <c r="L14" s="136">
        <f>'상담(남)'!L14</f>
        <v>30</v>
      </c>
      <c r="M14" s="484">
        <f>'상담(남)'!M14</f>
        <v>30</v>
      </c>
      <c r="N14" s="484">
        <f>'상담(남)'!N14</f>
        <v>30</v>
      </c>
      <c r="O14" s="413">
        <f>'상담(남)'!O14</f>
        <v>39</v>
      </c>
      <c r="P14" s="136">
        <f>'상담(남)'!P14</f>
        <v>48</v>
      </c>
      <c r="Q14" s="484">
        <f>'상담(남)'!Q14</f>
        <v>26</v>
      </c>
      <c r="R14" s="484">
        <f>'상담(남)'!R14</f>
        <v>17</v>
      </c>
      <c r="S14" s="505" t="str">
        <f>'상담(남)'!S14</f>
        <v>13.20</v>
      </c>
      <c r="T14" s="506" t="str">
        <f>'상담(남)'!T14</f>
        <v>12.67</v>
      </c>
      <c r="U14" s="221" t="str">
        <f>'상담(남)'!U14</f>
        <v>모집정원 대폭증가 컷라인 내려가라~</v>
      </c>
    </row>
    <row r="15" spans="1:22" ht="29.25" customHeight="1" thickBot="1">
      <c r="A15" s="261" t="str">
        <f>'상담(남)'!A15</f>
        <v>충남</v>
      </c>
      <c r="B15" s="175" t="str">
        <f>'상담(남)'!B15</f>
        <v>남서울대 스포츠건강관리</v>
      </c>
      <c r="C15" s="278">
        <f>'상담(남)'!C15</f>
        <v>258</v>
      </c>
      <c r="D15" s="266">
        <f>'상담(남)'!D15</f>
        <v>210</v>
      </c>
      <c r="E15" s="357">
        <f>'상담(남)'!E15</f>
        <v>154</v>
      </c>
      <c r="F15" s="282">
        <f t="shared" si="0"/>
        <v>48</v>
      </c>
      <c r="G15" s="266">
        <f>'상담(남)'!G15</f>
        <v>700</v>
      </c>
      <c r="H15" s="279">
        <f>'상담(남)'!H15</f>
        <v>958</v>
      </c>
      <c r="I15" s="280">
        <f>'상담(남)'!I15</f>
        <v>851</v>
      </c>
      <c r="J15" s="281">
        <f>'상담(남)'!J15</f>
        <v>805</v>
      </c>
      <c r="K15" s="414">
        <f>'상담(남)'!K15</f>
        <v>42</v>
      </c>
      <c r="L15" s="136">
        <f>'상담(남)'!L15</f>
        <v>41</v>
      </c>
      <c r="M15" s="484">
        <f>'상담(남)'!M15</f>
        <v>36</v>
      </c>
      <c r="N15" s="484">
        <f>'상담(남)'!N15</f>
        <v>38</v>
      </c>
      <c r="O15" s="413">
        <f>'상담(남)'!O15</f>
        <v>52</v>
      </c>
      <c r="P15" s="136">
        <f>'상담(남)'!P15</f>
        <v>86</v>
      </c>
      <c r="Q15" s="484">
        <f>'상담(남)'!Q15</f>
        <v>100</v>
      </c>
      <c r="R15" s="484">
        <f>'상담(남)'!R15</f>
        <v>48</v>
      </c>
      <c r="S15" s="505" t="str">
        <f>'상담(남)'!S15</f>
        <v>7.76</v>
      </c>
      <c r="T15" s="506" t="str">
        <f>'상담(남)'!T15</f>
        <v>6.22</v>
      </c>
      <c r="U15" s="221" t="str">
        <f>'상담(남)'!U15</f>
        <v>좌전굴 폐지 매던 신설</v>
      </c>
    </row>
    <row r="16" spans="1:22" ht="29.25" customHeight="1" thickBot="1">
      <c r="A16" s="261" t="str">
        <f>'상담(남)'!A16</f>
        <v>충남</v>
      </c>
      <c r="B16" s="175" t="str">
        <f>'상담(남)'!B16</f>
        <v>남서울대 스포츠비즈니스</v>
      </c>
      <c r="C16" s="278">
        <f>'상담(남)'!C16</f>
        <v>249</v>
      </c>
      <c r="D16" s="266">
        <f>'상담(남)'!D16</f>
        <v>210</v>
      </c>
      <c r="E16" s="357">
        <f>'상담(남)'!E16</f>
        <v>136</v>
      </c>
      <c r="F16" s="282">
        <f t="shared" si="0"/>
        <v>39</v>
      </c>
      <c r="G16" s="266">
        <f>'상담(남)'!G16</f>
        <v>700</v>
      </c>
      <c r="H16" s="279">
        <f>'상담(남)'!H16</f>
        <v>949</v>
      </c>
      <c r="I16" s="280">
        <f>'상담(남)'!I16</f>
        <v>840</v>
      </c>
      <c r="J16" s="281">
        <f>'상담(남)'!J16</f>
        <v>784</v>
      </c>
      <c r="K16" s="414">
        <f>'상담(남)'!K16</f>
        <v>42</v>
      </c>
      <c r="L16" s="136">
        <f>'상담(남)'!L16</f>
        <v>40</v>
      </c>
      <c r="M16" s="484">
        <f>'상담(남)'!M16</f>
        <v>35</v>
      </c>
      <c r="N16" s="484">
        <f>'상담(남)'!N16</f>
        <v>38</v>
      </c>
      <c r="O16" s="413">
        <f>'상담(남)'!O16</f>
        <v>37</v>
      </c>
      <c r="P16" s="136">
        <f>'상담(남)'!P16</f>
        <v>50</v>
      </c>
      <c r="Q16" s="484">
        <f>'상담(남)'!Q16</f>
        <v>74</v>
      </c>
      <c r="R16" s="484">
        <f>'상담(남)'!R16</f>
        <v>43</v>
      </c>
      <c r="S16" s="505" t="str">
        <f>'상담(남)'!S16</f>
        <v>4.93</v>
      </c>
      <c r="T16" s="506" t="str">
        <f>'상담(남)'!T16</f>
        <v>4.74</v>
      </c>
      <c r="U16" s="221" t="str">
        <f>'상담(남)'!U16</f>
        <v>3종목 모두 반영으로 총점 하향???</v>
      </c>
    </row>
    <row r="17" spans="1:22" s="5" customFormat="1" ht="29.25" customHeight="1" thickBot="1">
      <c r="A17" s="261" t="str">
        <f>'상담(남)'!A17</f>
        <v>경기</v>
      </c>
      <c r="B17" s="175" t="str">
        <f>'상담(남)'!B17</f>
        <v>단국대 체육교육</v>
      </c>
      <c r="C17" s="278">
        <f>'상담(남)'!C17</f>
        <v>198</v>
      </c>
      <c r="D17" s="266">
        <f>'상담(남)'!D17</f>
        <v>686</v>
      </c>
      <c r="E17" s="357">
        <f>'상담(남)'!E17</f>
        <v>668</v>
      </c>
      <c r="F17" s="282">
        <f>C17-D17</f>
        <v>-488</v>
      </c>
      <c r="G17" s="266">
        <f>'상담(남)'!G17</f>
        <v>270</v>
      </c>
      <c r="H17" s="279">
        <f>'상담(남)'!H17</f>
        <v>468</v>
      </c>
      <c r="I17" s="280">
        <f>'상담(남)'!I17</f>
        <v>982</v>
      </c>
      <c r="J17" s="281">
        <f>'상담(남)'!J17</f>
        <v>968</v>
      </c>
      <c r="K17" s="414">
        <f>'상담(남)'!K17</f>
        <v>10</v>
      </c>
      <c r="L17" s="136">
        <f>'상담(남)'!L17</f>
        <v>10</v>
      </c>
      <c r="M17" s="484">
        <f>'상담(남)'!M17</f>
        <v>0</v>
      </c>
      <c r="N17" s="484">
        <f>'상담(남)'!N17</f>
        <v>0</v>
      </c>
      <c r="O17" s="413">
        <f>'상담(남)'!O17</f>
        <v>2</v>
      </c>
      <c r="P17" s="136">
        <f>'상담(남)'!P17</f>
        <v>0</v>
      </c>
      <c r="Q17" s="484">
        <f>'상담(남)'!Q17</f>
        <v>0</v>
      </c>
      <c r="R17" s="484">
        <f>'상담(남)'!R17</f>
        <v>0</v>
      </c>
      <c r="S17" s="505" t="str">
        <f>'상담(남)'!S17</f>
        <v>42.50</v>
      </c>
      <c r="T17" s="506">
        <f>'상담(남)'!T17</f>
        <v>0</v>
      </c>
      <c r="U17" s="221"/>
      <c r="V17" s="292"/>
    </row>
    <row r="18" spans="1:22" s="6" customFormat="1" ht="29.25" customHeight="1" thickBot="1">
      <c r="A18" s="261" t="str">
        <f>'상담(남)'!A18</f>
        <v>충남</v>
      </c>
      <c r="B18" s="175" t="str">
        <f>'상담(남)'!B18</f>
        <v>단국대 생활체육</v>
      </c>
      <c r="C18" s="278">
        <f>'상담(남)'!C18</f>
        <v>198</v>
      </c>
      <c r="D18" s="266">
        <f>'상담(남)'!D18</f>
        <v>190</v>
      </c>
      <c r="E18" s="357">
        <f>'상담(남)'!E18</f>
        <v>180</v>
      </c>
      <c r="F18" s="282">
        <f t="shared" si="0"/>
        <v>8</v>
      </c>
      <c r="G18" s="266">
        <f>'상담(남)'!G18</f>
        <v>800</v>
      </c>
      <c r="H18" s="279">
        <f>'상담(남)'!H18</f>
        <v>998</v>
      </c>
      <c r="I18" s="280">
        <f>'상담(남)'!I18</f>
        <v>990</v>
      </c>
      <c r="J18" s="281">
        <f>'상담(남)'!J18</f>
        <v>980</v>
      </c>
      <c r="K18" s="414">
        <f>'상담(남)'!K18</f>
        <v>14</v>
      </c>
      <c r="L18" s="136">
        <f>'상담(남)'!L18</f>
        <v>14</v>
      </c>
      <c r="M18" s="484">
        <f>'상담(남)'!M18</f>
        <v>15</v>
      </c>
      <c r="N18" s="484">
        <f>'상담(남)'!N18</f>
        <v>15</v>
      </c>
      <c r="O18" s="413">
        <f>'상담(남)'!O18</f>
        <v>12</v>
      </c>
      <c r="P18" s="136">
        <f>'상담(남)'!P18</f>
        <v>8</v>
      </c>
      <c r="Q18" s="484">
        <f>'상담(남)'!Q18</f>
        <v>3</v>
      </c>
      <c r="R18" s="484" t="str">
        <f>'상담(남)'!R18</f>
        <v>23신설</v>
      </c>
      <c r="S18" s="505" t="str">
        <f>'상담(남)'!S18</f>
        <v>42.36</v>
      </c>
      <c r="T18" s="506" t="str">
        <f>'상담(남)'!T18</f>
        <v>34.6</v>
      </c>
      <c r="U18" s="221" t="str">
        <f>'상담(남)'!U18</f>
        <v>.</v>
      </c>
    </row>
    <row r="19" spans="1:22" s="6" customFormat="1" ht="29.25" hidden="1" customHeight="1">
      <c r="A19" s="261" t="str">
        <f>'상담(남)'!A19</f>
        <v>충남</v>
      </c>
      <c r="B19" s="175" t="str">
        <f>'상담(남)'!B19</f>
        <v>단국대 운동처방재활</v>
      </c>
      <c r="C19" s="278">
        <f>'상담(남)'!C19</f>
        <v>198</v>
      </c>
      <c r="D19" s="266">
        <f>'상담(남)'!D19</f>
        <v>194.8</v>
      </c>
      <c r="E19" s="357">
        <f>'상담(남)'!E19</f>
        <v>192.2</v>
      </c>
      <c r="F19" s="282">
        <f t="shared" si="0"/>
        <v>3.1999999999999886</v>
      </c>
      <c r="G19" s="266">
        <f>'상담(남)'!G19</f>
        <v>800</v>
      </c>
      <c r="H19" s="279">
        <f>'상담(남)'!H19</f>
        <v>998</v>
      </c>
      <c r="I19" s="280">
        <f>'상담(남)'!I19</f>
        <v>0</v>
      </c>
      <c r="J19" s="281">
        <f>'상담(남)'!J19</f>
        <v>0</v>
      </c>
      <c r="K19" s="414" t="str">
        <f>'상담(남)'!K19</f>
        <v>미선발</v>
      </c>
      <c r="L19" s="136">
        <f>'상담(남)'!L19</f>
        <v>5</v>
      </c>
      <c r="M19" s="484">
        <f>'상담(남)'!M19</f>
        <v>5</v>
      </c>
      <c r="N19" s="484">
        <f>'상담(남)'!N19</f>
        <v>6</v>
      </c>
      <c r="O19" s="413">
        <f>'상담(남)'!O19</f>
        <v>5</v>
      </c>
      <c r="P19" s="136">
        <f>'상담(남)'!P19</f>
        <v>4</v>
      </c>
      <c r="Q19" s="484">
        <f>'상담(남)'!Q19</f>
        <v>1</v>
      </c>
      <c r="R19" s="484" t="str">
        <f>'상담(남)'!R19</f>
        <v>23신설</v>
      </c>
      <c r="S19" s="505" t="str">
        <f>'상담(남)'!S19</f>
        <v>36.20</v>
      </c>
      <c r="T19" s="506" t="str">
        <f>'상담(남)'!T19</f>
        <v>27.4</v>
      </c>
      <c r="U19" s="221" t="str">
        <f>'상담(남)'!U19</f>
        <v>실기전형 미선발/교과전형 선발</v>
      </c>
    </row>
    <row r="20" spans="1:22" ht="29.25" customHeight="1" thickBot="1">
      <c r="A20" s="261" t="str">
        <f>'상담(남)'!A20</f>
        <v>대전</v>
      </c>
      <c r="B20" s="175" t="str">
        <f>'상담(남)'!B20</f>
        <v>대전대 스포츠건강재활</v>
      </c>
      <c r="C20" s="278">
        <f>'상담(남)'!C20</f>
        <v>400</v>
      </c>
      <c r="D20" s="266">
        <f>'상담(남)'!D20</f>
        <v>352</v>
      </c>
      <c r="E20" s="357">
        <f>'상담(남)'!E20</f>
        <v>330</v>
      </c>
      <c r="F20" s="282">
        <f t="shared" si="0"/>
        <v>48</v>
      </c>
      <c r="G20" s="266">
        <f>'상담(남)'!G20</f>
        <v>585</v>
      </c>
      <c r="H20" s="279">
        <f>'상담(남)'!H20</f>
        <v>985</v>
      </c>
      <c r="I20" s="280">
        <f>'상담(남)'!I20</f>
        <v>942</v>
      </c>
      <c r="J20" s="281">
        <f>'상담(남)'!J20</f>
        <v>930</v>
      </c>
      <c r="K20" s="414">
        <f>'상담(남)'!K20</f>
        <v>27</v>
      </c>
      <c r="L20" s="136">
        <f>'상담(남)'!L20</f>
        <v>25</v>
      </c>
      <c r="M20" s="484">
        <f>'상담(남)'!M20</f>
        <v>25</v>
      </c>
      <c r="N20" s="484">
        <f>'상담(남)'!N20</f>
        <v>25</v>
      </c>
      <c r="O20" s="413">
        <f>'상담(남)'!O20</f>
        <v>28</v>
      </c>
      <c r="P20" s="136">
        <f>'상담(남)'!P20</f>
        <v>37</v>
      </c>
      <c r="Q20" s="484">
        <f>'상담(남)'!Q20</f>
        <v>54</v>
      </c>
      <c r="R20" s="484">
        <f>'상담(남)'!R20</f>
        <v>42</v>
      </c>
      <c r="S20" s="505" t="str">
        <f>'상담(남)'!S20</f>
        <v>8.88</v>
      </c>
      <c r="T20" s="506" t="str">
        <f>'상담(남)'!T20</f>
        <v>7.96</v>
      </c>
      <c r="U20" s="221" t="str">
        <f>'상담(남)'!U20</f>
        <v>.</v>
      </c>
    </row>
    <row r="21" spans="1:22" s="19" customFormat="1" ht="29.25" customHeight="1" thickBot="1">
      <c r="A21" s="261" t="str">
        <f>'상담(남)'!A21</f>
        <v>대전</v>
      </c>
      <c r="B21" s="175" t="str">
        <f>'상담(남)'!B21</f>
        <v>대전대 스포츠운동과학</v>
      </c>
      <c r="C21" s="278">
        <f>'상담(남)'!C21</f>
        <v>400</v>
      </c>
      <c r="D21" s="266">
        <f>'상담(남)'!D21</f>
        <v>348</v>
      </c>
      <c r="E21" s="357">
        <f>'상담(남)'!E21</f>
        <v>320</v>
      </c>
      <c r="F21" s="282">
        <f t="shared" si="0"/>
        <v>52</v>
      </c>
      <c r="G21" s="266">
        <f>'상담(남)'!G21</f>
        <v>585</v>
      </c>
      <c r="H21" s="279">
        <f>'상담(남)'!H21</f>
        <v>985</v>
      </c>
      <c r="I21" s="280">
        <f>'상담(남)'!I21</f>
        <v>938</v>
      </c>
      <c r="J21" s="281">
        <f>'상담(남)'!J21</f>
        <v>920</v>
      </c>
      <c r="K21" s="414">
        <f>'상담(남)'!K21</f>
        <v>32</v>
      </c>
      <c r="L21" s="136">
        <f>'상담(남)'!L21</f>
        <v>32</v>
      </c>
      <c r="M21" s="484">
        <f>'상담(남)'!M21</f>
        <v>23</v>
      </c>
      <c r="N21" s="484">
        <f>'상담(남)'!N21</f>
        <v>20</v>
      </c>
      <c r="O21" s="413">
        <f>'상담(남)'!O21</f>
        <v>22</v>
      </c>
      <c r="P21" s="136">
        <f>'상담(남)'!P21</f>
        <v>35</v>
      </c>
      <c r="Q21" s="484">
        <f>'상담(남)'!Q21</f>
        <v>30</v>
      </c>
      <c r="R21" s="484">
        <f>'상담(남)'!R21</f>
        <v>37</v>
      </c>
      <c r="S21" s="505" t="str">
        <f>'상담(남)'!S21</f>
        <v>3.81</v>
      </c>
      <c r="T21" s="506" t="str">
        <f>'상담(남)'!T21</f>
        <v>4.52</v>
      </c>
      <c r="U21" s="221" t="str">
        <f>'상담(남)'!U21</f>
        <v>.</v>
      </c>
      <c r="V21" s="20"/>
    </row>
    <row r="22" spans="1:22" ht="29.25" customHeight="1" thickBot="1">
      <c r="A22" s="261" t="str">
        <f>'상담(남)'!A22</f>
        <v>경기</v>
      </c>
      <c r="B22" s="175" t="str">
        <f>'상담(남)'!B22</f>
        <v>대진대 스포츠겅강과학</v>
      </c>
      <c r="C22" s="278">
        <f>'상담(남)'!C22</f>
        <v>200</v>
      </c>
      <c r="D22" s="266">
        <f>'상담(남)'!D22</f>
        <v>184</v>
      </c>
      <c r="E22" s="357">
        <f>'상담(남)'!E22</f>
        <v>179.3</v>
      </c>
      <c r="F22" s="282">
        <f t="shared" si="0"/>
        <v>16</v>
      </c>
      <c r="G22" s="266">
        <f>'상담(남)'!G22</f>
        <v>800</v>
      </c>
      <c r="H22" s="279">
        <f>'상담(남)'!H22</f>
        <v>1000</v>
      </c>
      <c r="I22" s="280">
        <f>'상담(남)'!I22</f>
        <v>984</v>
      </c>
      <c r="J22" s="281">
        <f>'상담(남)'!J22</f>
        <v>979.3</v>
      </c>
      <c r="K22" s="414">
        <f>'상담(남)'!K22</f>
        <v>25</v>
      </c>
      <c r="L22" s="136">
        <f>'상담(남)'!L22</f>
        <v>25</v>
      </c>
      <c r="M22" s="484">
        <f>'상담(남)'!M22</f>
        <v>25</v>
      </c>
      <c r="N22" s="484">
        <f>'상담(남)'!N22</f>
        <v>22</v>
      </c>
      <c r="O22" s="413">
        <f>'상담(남)'!O22</f>
        <v>22</v>
      </c>
      <c r="P22" s="136">
        <f>'상담(남)'!P22</f>
        <v>32</v>
      </c>
      <c r="Q22" s="484">
        <f>'상담(남)'!Q22</f>
        <v>33</v>
      </c>
      <c r="R22" s="484">
        <f>'상담(남)'!R22</f>
        <v>21</v>
      </c>
      <c r="S22" s="505" t="str">
        <f>'상담(남)'!S22</f>
        <v>10.48</v>
      </c>
      <c r="T22" s="506" t="str">
        <f>'상담(남)'!T22</f>
        <v>6.88</v>
      </c>
      <c r="U22" s="221" t="str">
        <f>'상담(남)'!U22</f>
        <v>진로선택3과목 반영에서 5과목 반영</v>
      </c>
    </row>
    <row r="23" spans="1:22" ht="29.25" customHeight="1" thickBot="1">
      <c r="A23" s="261" t="str">
        <f>'상담(남)'!A23</f>
        <v>서울</v>
      </c>
      <c r="B23" s="175" t="str">
        <f>'상담(남)'!B23</f>
        <v>동국대 체육교육</v>
      </c>
      <c r="C23" s="278">
        <f>'상담(남)'!C23</f>
        <v>300</v>
      </c>
      <c r="D23" s="266">
        <f>'상담(남)'!D23</f>
        <v>298.39999999999998</v>
      </c>
      <c r="E23" s="357">
        <f>'상담(남)'!E23</f>
        <v>294.3</v>
      </c>
      <c r="F23" s="282">
        <f t="shared" si="0"/>
        <v>1.6000000000000227</v>
      </c>
      <c r="G23" s="266">
        <f>'상담(남)'!G23</f>
        <v>700</v>
      </c>
      <c r="H23" s="279">
        <f>'상담(남)'!H23</f>
        <v>1000</v>
      </c>
      <c r="I23" s="280">
        <f>'상담(남)'!I23</f>
        <v>996.5</v>
      </c>
      <c r="J23" s="281">
        <f>'상담(남)'!J23</f>
        <v>994.3</v>
      </c>
      <c r="K23" s="414">
        <f>'상담(남)'!K23</f>
        <v>22</v>
      </c>
      <c r="L23" s="136">
        <f>'상담(남)'!L23</f>
        <v>23</v>
      </c>
      <c r="M23" s="484">
        <f>'상담(남)'!M23</f>
        <v>23</v>
      </c>
      <c r="N23" s="484">
        <f>'상담(남)'!N23</f>
        <v>23</v>
      </c>
      <c r="O23" s="413">
        <f>'상담(남)'!O23</f>
        <v>0</v>
      </c>
      <c r="P23" s="136">
        <f>'상담(남)'!P23</f>
        <v>0</v>
      </c>
      <c r="Q23" s="484">
        <f>'상담(남)'!Q23</f>
        <v>0</v>
      </c>
      <c r="R23" s="484" t="str">
        <f>'상담(남)'!R23</f>
        <v>_</v>
      </c>
      <c r="S23" s="505" t="str">
        <f>'상담(남)'!S23</f>
        <v>30.17</v>
      </c>
      <c r="T23" s="506" t="str">
        <f>'상담(남)'!T23</f>
        <v>27.22</v>
      </c>
      <c r="U23" s="221" t="str">
        <f>'상담(남)'!U23</f>
        <v>실기기본점수 50점</v>
      </c>
    </row>
    <row r="24" spans="1:22" ht="29.25" customHeight="1" thickBot="1">
      <c r="A24" s="261" t="str">
        <f>'상담(남)'!A24</f>
        <v>대전</v>
      </c>
      <c r="B24" s="175" t="str">
        <f>'상담(남)'!B24</f>
        <v>목원대 스포츠건강관리</v>
      </c>
      <c r="C24" s="278">
        <f>'상담(남)'!C24</f>
        <v>92</v>
      </c>
      <c r="D24" s="266">
        <f>'상담(남)'!D24</f>
        <v>86</v>
      </c>
      <c r="E24" s="357">
        <f>'상담(남)'!E24</f>
        <v>50</v>
      </c>
      <c r="F24" s="282">
        <f t="shared" si="0"/>
        <v>6</v>
      </c>
      <c r="G24" s="266">
        <f>'상담(남)'!G24</f>
        <v>900</v>
      </c>
      <c r="H24" s="279">
        <f>'상담(남)'!H24</f>
        <v>992</v>
      </c>
      <c r="I24" s="280">
        <f>'상담(남)'!I24</f>
        <v>918</v>
      </c>
      <c r="J24" s="281">
        <f>'상담(남)'!J24</f>
        <v>888</v>
      </c>
      <c r="K24" s="414">
        <f>'상담(남)'!K24</f>
        <v>30</v>
      </c>
      <c r="L24" s="136">
        <f>'상담(남)'!L24</f>
        <v>33</v>
      </c>
      <c r="M24" s="484">
        <f>'상담(남)'!M24</f>
        <v>33</v>
      </c>
      <c r="N24" s="484">
        <f>'상담(남)'!N24</f>
        <v>54</v>
      </c>
      <c r="O24" s="413">
        <f>'상담(남)'!O24</f>
        <v>76</v>
      </c>
      <c r="P24" s="136">
        <f>'상담(남)'!P24</f>
        <v>126</v>
      </c>
      <c r="Q24" s="484">
        <f>'상담(남)'!Q24</f>
        <v>149</v>
      </c>
      <c r="R24" s="484">
        <f>'상담(남)'!R24</f>
        <v>129</v>
      </c>
      <c r="S24" s="505" t="str">
        <f>'상담(남)'!S24</f>
        <v>6.90</v>
      </c>
      <c r="T24" s="506" t="str">
        <f>'상담(남)'!T24</f>
        <v>5.73</v>
      </c>
      <c r="U24" s="221" t="str">
        <f>'상담(남)'!U24</f>
        <v>.</v>
      </c>
    </row>
    <row r="25" spans="1:22" ht="29.25" customHeight="1" thickBot="1">
      <c r="A25" s="261" t="str">
        <f>'상담(남)'!A25</f>
        <v>충남</v>
      </c>
      <c r="B25" s="175" t="str">
        <f>'상담(남)'!B25</f>
        <v>백석대 특수체육교육</v>
      </c>
      <c r="C25" s="278">
        <f>'상담(남)'!C25</f>
        <v>400</v>
      </c>
      <c r="D25" s="266">
        <f>'상담(남)'!D25</f>
        <v>552</v>
      </c>
      <c r="E25" s="357">
        <f>'상담(남)'!E25</f>
        <v>516</v>
      </c>
      <c r="F25" s="282">
        <f t="shared" si="0"/>
        <v>-152</v>
      </c>
      <c r="G25" s="266">
        <f>'상담(남)'!G25</f>
        <v>400</v>
      </c>
      <c r="H25" s="279">
        <f>'상담(남)'!H25</f>
        <v>800</v>
      </c>
      <c r="I25" s="280">
        <f>'상담(남)'!I25</f>
        <v>930.67000000000007</v>
      </c>
      <c r="J25" s="281">
        <f>'상담(남)'!J25</f>
        <v>916</v>
      </c>
      <c r="K25" s="414">
        <f>'상담(남)'!K25</f>
        <v>27</v>
      </c>
      <c r="L25" s="136">
        <f>'상담(남)'!L25</f>
        <v>27</v>
      </c>
      <c r="M25" s="484">
        <f>'상담(남)'!M25</f>
        <v>27</v>
      </c>
      <c r="N25" s="484">
        <f>'상담(남)'!N25</f>
        <v>26</v>
      </c>
      <c r="O25" s="413">
        <f>'상담(남)'!O25</f>
        <v>16</v>
      </c>
      <c r="P25" s="136">
        <f>'상담(남)'!P25</f>
        <v>28</v>
      </c>
      <c r="Q25" s="484">
        <f>'상담(남)'!Q25</f>
        <v>32</v>
      </c>
      <c r="R25" s="484">
        <f>'상담(남)'!R25</f>
        <v>16</v>
      </c>
      <c r="S25" s="505" t="str">
        <f>'상담(남)'!S25</f>
        <v>6.15</v>
      </c>
      <c r="T25" s="506" t="str">
        <f>'상담(남)'!T25</f>
        <v>5.15</v>
      </c>
      <c r="U25" s="221" t="str">
        <f>'상담(남)'!U25</f>
        <v>.</v>
      </c>
    </row>
    <row r="26" spans="1:22" ht="29.25" customHeight="1" thickBot="1">
      <c r="A26" s="261" t="str">
        <f>'상담(남)'!A26</f>
        <v>충남</v>
      </c>
      <c r="B26" s="175" t="str">
        <f>'상담(남)'!B26</f>
        <v>백석대 스포츠과학</v>
      </c>
      <c r="C26" s="278">
        <f>'상담(남)'!C26</f>
        <v>600</v>
      </c>
      <c r="D26" s="266">
        <f>'상담(남)'!D26</f>
        <v>349</v>
      </c>
      <c r="E26" s="357">
        <f>'상담(남)'!E26</f>
        <v>323</v>
      </c>
      <c r="F26" s="282">
        <f t="shared" si="0"/>
        <v>251</v>
      </c>
      <c r="G26" s="266">
        <f>'상담(남)'!G26</f>
        <v>600</v>
      </c>
      <c r="H26" s="279">
        <f>'상담(남)'!H26</f>
        <v>1200</v>
      </c>
      <c r="I26" s="280">
        <f>'상담(남)'!I26</f>
        <v>941</v>
      </c>
      <c r="J26" s="281">
        <f>'상담(남)'!J26</f>
        <v>923</v>
      </c>
      <c r="K26" s="414">
        <f>'상담(남)'!K26</f>
        <v>73</v>
      </c>
      <c r="L26" s="136">
        <f>'상담(남)'!L26</f>
        <v>73</v>
      </c>
      <c r="M26" s="484">
        <f>'상담(남)'!M26</f>
        <v>75</v>
      </c>
      <c r="N26" s="484">
        <f>'상담(남)'!N26</f>
        <v>46</v>
      </c>
      <c r="O26" s="413">
        <f>'상담(남)'!O26</f>
        <v>36</v>
      </c>
      <c r="P26" s="136">
        <f>'상담(남)'!P26</f>
        <v>42</v>
      </c>
      <c r="Q26" s="484">
        <f>'상담(남)'!Q26</f>
        <v>30</v>
      </c>
      <c r="R26" s="484">
        <f>'상담(남)'!R26</f>
        <v>19</v>
      </c>
      <c r="S26" s="505" t="str">
        <f>'상담(남)'!S26</f>
        <v>10.96</v>
      </c>
      <c r="T26" s="506" t="str">
        <f>'상담(남)'!T26</f>
        <v>9.29</v>
      </c>
      <c r="U26" s="221" t="str">
        <f>'상담(남)'!U26</f>
        <v>.</v>
      </c>
    </row>
    <row r="27" spans="1:22" ht="29.25" customHeight="1" thickBot="1">
      <c r="A27" s="261" t="str">
        <f>'상담(남)'!A27</f>
        <v>서울</v>
      </c>
      <c r="B27" s="175" t="str">
        <f>'상담(남)'!B27</f>
        <v>삼육대 체육</v>
      </c>
      <c r="C27" s="278">
        <f>'상담(남)'!C27</f>
        <v>400</v>
      </c>
      <c r="D27" s="266">
        <f>'상담(남)'!D27</f>
        <v>392</v>
      </c>
      <c r="E27" s="357">
        <f>'상담(남)'!E27</f>
        <v>386</v>
      </c>
      <c r="F27" s="282">
        <f t="shared" si="0"/>
        <v>8</v>
      </c>
      <c r="G27" s="266">
        <f>'상담(남)'!G27</f>
        <v>600</v>
      </c>
      <c r="H27" s="279">
        <f>'상담(남)'!H27</f>
        <v>1000</v>
      </c>
      <c r="I27" s="280">
        <f>'상담(남)'!I27</f>
        <v>990</v>
      </c>
      <c r="J27" s="281">
        <f>'상담(남)'!J27</f>
        <v>986</v>
      </c>
      <c r="K27" s="414">
        <f>'상담(남)'!K27</f>
        <v>12</v>
      </c>
      <c r="L27" s="136">
        <f>'상담(남)'!L27</f>
        <v>10</v>
      </c>
      <c r="M27" s="484">
        <f>'상담(남)'!M27</f>
        <v>11</v>
      </c>
      <c r="N27" s="484">
        <f>'상담(남)'!N27</f>
        <v>9</v>
      </c>
      <c r="O27" s="413">
        <f>'상담(남)'!O27</f>
        <v>4</v>
      </c>
      <c r="P27" s="136">
        <f>'상담(남)'!P27</f>
        <v>4</v>
      </c>
      <c r="Q27" s="484">
        <f>'상담(남)'!Q27</f>
        <v>3</v>
      </c>
      <c r="R27" s="484">
        <f>'상담(남)'!R27</f>
        <v>14</v>
      </c>
      <c r="S27" s="505" t="str">
        <f>'상담(남)'!S27</f>
        <v>13.70</v>
      </c>
      <c r="T27" s="506" t="str">
        <f>'상담(남)'!T27</f>
        <v>29.91</v>
      </c>
      <c r="U27" s="221" t="str">
        <f>'상담(남)'!U27</f>
        <v>진로선택3과목 반영에서 이수전과목 반영</v>
      </c>
    </row>
    <row r="28" spans="1:22" s="5" customFormat="1" ht="29.25" customHeight="1" thickBot="1">
      <c r="A28" s="261" t="str">
        <f>'상담(남)'!A28</f>
        <v>서울</v>
      </c>
      <c r="B28" s="175" t="str">
        <f>'상담(남)'!B28</f>
        <v>상명대 스포츠건강</v>
      </c>
      <c r="C28" s="278">
        <f>'상담(남)'!C28</f>
        <v>300</v>
      </c>
      <c r="D28" s="266">
        <f>'상담(남)'!D28</f>
        <v>282</v>
      </c>
      <c r="E28" s="357">
        <f>'상담(남)'!E28</f>
        <v>235</v>
      </c>
      <c r="F28" s="282">
        <f>C28-D28</f>
        <v>18</v>
      </c>
      <c r="G28" s="266">
        <f>'상담(남)'!G28</f>
        <v>675.5</v>
      </c>
      <c r="H28" s="279">
        <f>'상담(남)'!H28</f>
        <v>975.5</v>
      </c>
      <c r="I28" s="280">
        <f>'상담(남)'!I28</f>
        <v>961</v>
      </c>
      <c r="J28" s="281">
        <f>'상담(남)'!J28</f>
        <v>935</v>
      </c>
      <c r="K28" s="414">
        <f>'상담(남)'!K28</f>
        <v>12</v>
      </c>
      <c r="L28" s="136">
        <f>'상담(남)'!L28</f>
        <v>12</v>
      </c>
      <c r="M28" s="484">
        <f>'상담(남)'!M28</f>
        <v>0</v>
      </c>
      <c r="N28" s="484">
        <f>'상담(남)'!N28</f>
        <v>0</v>
      </c>
      <c r="O28" s="413">
        <f>'상담(남)'!O28</f>
        <v>12</v>
      </c>
      <c r="P28" s="136">
        <f>'상담(남)'!P28</f>
        <v>0</v>
      </c>
      <c r="Q28" s="484">
        <f>'상담(남)'!Q28</f>
        <v>0</v>
      </c>
      <c r="R28" s="484">
        <f>'상담(남)'!R28</f>
        <v>0</v>
      </c>
      <c r="S28" s="505" t="str">
        <f>'상담(남)'!S28</f>
        <v>65.92</v>
      </c>
      <c r="T28" s="506">
        <f>'상담(남)'!T28</f>
        <v>0</v>
      </c>
      <c r="U28" s="221"/>
      <c r="V28" s="292"/>
    </row>
    <row r="29" spans="1:22" ht="29.25" customHeight="1" thickBot="1">
      <c r="A29" s="261" t="str">
        <f>'상담(남)'!A29</f>
        <v>충남</v>
      </c>
      <c r="B29" s="175" t="str">
        <f>'상담(남)'!B29</f>
        <v>상명대(천안) 스포츠융합</v>
      </c>
      <c r="C29" s="278">
        <f>'상담(남)'!C29</f>
        <v>400</v>
      </c>
      <c r="D29" s="266">
        <f>'상담(남)'!D29</f>
        <v>357</v>
      </c>
      <c r="E29" s="357">
        <f>'상담(남)'!E29</f>
        <v>288</v>
      </c>
      <c r="F29" s="282">
        <f t="shared" si="0"/>
        <v>43</v>
      </c>
      <c r="G29" s="266">
        <f>'상담(남)'!G29</f>
        <v>590</v>
      </c>
      <c r="H29" s="279">
        <f>'상담(남)'!H29</f>
        <v>990</v>
      </c>
      <c r="I29" s="280">
        <f>'상담(남)'!I29</f>
        <v>910</v>
      </c>
      <c r="J29" s="281">
        <f>'상담(남)'!J29</f>
        <v>888</v>
      </c>
      <c r="K29" s="414">
        <f>'상담(남)'!K29</f>
        <v>38</v>
      </c>
      <c r="L29" s="136">
        <f>'상담(남)'!L29</f>
        <v>38</v>
      </c>
      <c r="M29" s="484">
        <f>'상담(남)'!M29</f>
        <v>38</v>
      </c>
      <c r="N29" s="484">
        <f>'상담(남)'!N29</f>
        <v>43</v>
      </c>
      <c r="O29" s="413">
        <f>'상담(남)'!O29</f>
        <v>23</v>
      </c>
      <c r="P29" s="136">
        <f>'상담(남)'!P29</f>
        <v>37</v>
      </c>
      <c r="Q29" s="484">
        <f>'상담(남)'!Q29</f>
        <v>27</v>
      </c>
      <c r="R29" s="484">
        <f>'상담(남)'!R29</f>
        <v>33</v>
      </c>
      <c r="S29" s="505" t="str">
        <f>'상담(남)'!S29</f>
        <v>7.68</v>
      </c>
      <c r="T29" s="506" t="str">
        <f>'상담(남)'!T29</f>
        <v>7.9</v>
      </c>
      <c r="U29" s="221" t="str">
        <f>'상담(남)'!U29</f>
        <v>.</v>
      </c>
    </row>
    <row r="30" spans="1:22" ht="29.25" customHeight="1" thickBot="1">
      <c r="A30" s="261" t="str">
        <f>'상담(남)'!A30</f>
        <v>강원</v>
      </c>
      <c r="B30" s="175" t="str">
        <f>'상담(남)'!B30</f>
        <v>상지대 체육</v>
      </c>
      <c r="C30" s="278">
        <f>'상담(남)'!C30</f>
        <v>300</v>
      </c>
      <c r="D30" s="266">
        <f>'상담(남)'!D30</f>
        <v>233</v>
      </c>
      <c r="E30" s="357">
        <f>'상담(남)'!E30</f>
        <v>197</v>
      </c>
      <c r="F30" s="282">
        <f t="shared" si="0"/>
        <v>67</v>
      </c>
      <c r="G30" s="266">
        <f>'상담(남)'!G30</f>
        <v>700</v>
      </c>
      <c r="H30" s="279">
        <f>'상담(남)'!H30</f>
        <v>1000</v>
      </c>
      <c r="I30" s="280">
        <f>'상담(남)'!I30</f>
        <v>920</v>
      </c>
      <c r="J30" s="281">
        <f>'상담(남)'!J30</f>
        <v>897</v>
      </c>
      <c r="K30" s="414">
        <f>'상담(남)'!K30</f>
        <v>40</v>
      </c>
      <c r="L30" s="136">
        <f>'상담(남)'!L30</f>
        <v>40</v>
      </c>
      <c r="M30" s="484">
        <f>'상담(남)'!M30</f>
        <v>55</v>
      </c>
      <c r="N30" s="484">
        <f>'상담(남)'!N30</f>
        <v>60</v>
      </c>
      <c r="O30" s="413">
        <f>'상담(남)'!O30</f>
        <v>56</v>
      </c>
      <c r="P30" s="136">
        <f>'상담(남)'!P30</f>
        <v>40</v>
      </c>
      <c r="Q30" s="484">
        <f>'상담(남)'!Q30</f>
        <v>24</v>
      </c>
      <c r="R30" s="484">
        <f>'상담(남)'!R30</f>
        <v>47</v>
      </c>
      <c r="S30" s="505" t="str">
        <f>'상담(남)'!S30</f>
        <v>4.28</v>
      </c>
      <c r="T30" s="506" t="str">
        <f>'상담(남)'!T30</f>
        <v>1.93</v>
      </c>
      <c r="U30" s="221" t="str">
        <f>'상담(남)'!U30</f>
        <v>.</v>
      </c>
    </row>
    <row r="31" spans="1:22" s="5" customFormat="1" ht="29.25" hidden="1" customHeight="1">
      <c r="A31" s="261" t="str">
        <f>'상담(남)'!A31</f>
        <v>서울</v>
      </c>
      <c r="B31" s="175" t="str">
        <f>'상담(남)'!B31</f>
        <v>서경대 스포츠&amp;테크놀러지</v>
      </c>
      <c r="C31" s="278">
        <f>'상담(남)'!C31</f>
        <v>250</v>
      </c>
      <c r="D31" s="266">
        <f>'상담(남)'!D31</f>
        <v>294</v>
      </c>
      <c r="E31" s="357">
        <f>'상담(남)'!E31</f>
        <v>281</v>
      </c>
      <c r="F31" s="282">
        <f>C31-D31</f>
        <v>-44</v>
      </c>
      <c r="G31" s="266">
        <f>'상담(남)'!G31</f>
        <v>400</v>
      </c>
      <c r="H31" s="279">
        <f>'상담(남)'!H31</f>
        <v>650</v>
      </c>
      <c r="I31" s="280">
        <f>'상담(남)'!I31</f>
        <v>687.33</v>
      </c>
      <c r="J31" s="281">
        <f>'상담(남)'!J31</f>
        <v>680.67</v>
      </c>
      <c r="K31" s="414">
        <f>'상담(남)'!K31</f>
        <v>30</v>
      </c>
      <c r="L31" s="136">
        <f>'상담(남)'!L31</f>
        <v>30</v>
      </c>
      <c r="M31" s="484">
        <f>'상담(남)'!M31</f>
        <v>0</v>
      </c>
      <c r="N31" s="484">
        <f>'상담(남)'!N31</f>
        <v>0</v>
      </c>
      <c r="O31" s="413">
        <f>'상담(남)'!O31</f>
        <v>2</v>
      </c>
      <c r="P31" s="136">
        <f>'상담(남)'!P31</f>
        <v>7</v>
      </c>
      <c r="Q31" s="484">
        <f>'상담(남)'!Q31</f>
        <v>0</v>
      </c>
      <c r="R31" s="484">
        <f>'상담(남)'!R31</f>
        <v>0</v>
      </c>
      <c r="S31" s="505" t="str">
        <f>'상담(남)'!S31</f>
        <v>24.70</v>
      </c>
      <c r="T31" s="506" t="str">
        <f>'상담(남)'!T31</f>
        <v>19.90</v>
      </c>
      <c r="U31" s="221"/>
      <c r="V31" s="292"/>
    </row>
    <row r="32" spans="1:22" ht="29.25" customHeight="1" thickBot="1">
      <c r="A32" s="261" t="str">
        <f>'상담(남)'!A32</f>
        <v>충남</v>
      </c>
      <c r="B32" s="175" t="str">
        <f>'상담(남)'!B32</f>
        <v>서원대 체육교육</v>
      </c>
      <c r="C32" s="278">
        <f>'상담(남)'!C32</f>
        <v>600</v>
      </c>
      <c r="D32" s="266">
        <f>'상담(남)'!D32</f>
        <v>588</v>
      </c>
      <c r="E32" s="357">
        <f>'상담(남)'!E32</f>
        <v>576</v>
      </c>
      <c r="F32" s="282">
        <f t="shared" si="0"/>
        <v>12</v>
      </c>
      <c r="G32" s="266">
        <f>'상담(남)'!G32</f>
        <v>400</v>
      </c>
      <c r="H32" s="279">
        <f>'상담(남)'!H32</f>
        <v>1000</v>
      </c>
      <c r="I32" s="280">
        <f>'상담(남)'!I32</f>
        <v>981.6</v>
      </c>
      <c r="J32" s="281">
        <f>'상담(남)'!J32</f>
        <v>976</v>
      </c>
      <c r="K32" s="414">
        <f>'상담(남)'!K32</f>
        <v>28</v>
      </c>
      <c r="L32" s="136">
        <f>'상담(남)'!L32</f>
        <v>23</v>
      </c>
      <c r="M32" s="484">
        <f>'상담(남)'!M32</f>
        <v>23</v>
      </c>
      <c r="N32" s="484">
        <f>'상담(남)'!N32</f>
        <v>23</v>
      </c>
      <c r="O32" s="413">
        <f>'상담(남)'!O32</f>
        <v>36</v>
      </c>
      <c r="P32" s="136">
        <f>'상담(남)'!P32</f>
        <v>23</v>
      </c>
      <c r="Q32" s="484" t="str">
        <f>'상담(남)'!Q32</f>
        <v>_</v>
      </c>
      <c r="R32" s="484">
        <f>'상담(남)'!R32</f>
        <v>13</v>
      </c>
      <c r="S32" s="505" t="str">
        <f>'상담(남)'!S32</f>
        <v>6.74</v>
      </c>
      <c r="T32" s="506" t="str">
        <f>'상담(남)'!T32</f>
        <v>11.52</v>
      </c>
      <c r="U32" s="221" t="str">
        <f>'상담(남)'!U32</f>
        <v>실기기본점수 80점/실기변경/변별력 상승</v>
      </c>
    </row>
    <row r="33" spans="1:22" ht="29.25" customHeight="1" thickBot="1">
      <c r="A33" s="261" t="str">
        <f>'상담(남)'!A33</f>
        <v>충남</v>
      </c>
      <c r="B33" s="175" t="str">
        <f>'상담(남)'!B33</f>
        <v>서원대 레저스포츠</v>
      </c>
      <c r="C33" s="278">
        <f>'상담(남)'!C33</f>
        <v>200</v>
      </c>
      <c r="D33" s="266">
        <f>'상담(남)'!D33</f>
        <v>190.5</v>
      </c>
      <c r="E33" s="357">
        <f>'상담(남)'!E33</f>
        <v>170</v>
      </c>
      <c r="F33" s="282">
        <f t="shared" si="0"/>
        <v>9.5</v>
      </c>
      <c r="G33" s="266">
        <f>'상담(남)'!G33</f>
        <v>800</v>
      </c>
      <c r="H33" s="279">
        <f>'상담(남)'!H33</f>
        <v>1000</v>
      </c>
      <c r="I33" s="280">
        <f>'상담(남)'!I33</f>
        <v>978.3</v>
      </c>
      <c r="J33" s="281">
        <f>'상담(남)'!J33</f>
        <v>963.6</v>
      </c>
      <c r="K33" s="414">
        <f>'상담(남)'!K33</f>
        <v>31</v>
      </c>
      <c r="L33" s="136">
        <f>'상담(남)'!L33</f>
        <v>48</v>
      </c>
      <c r="M33" s="484">
        <f>'상담(남)'!M33</f>
        <v>45</v>
      </c>
      <c r="N33" s="484">
        <f>'상담(남)'!N33</f>
        <v>58</v>
      </c>
      <c r="O33" s="413">
        <f>'상담(남)'!O33</f>
        <v>157</v>
      </c>
      <c r="P33" s="136">
        <f>'상담(남)'!P33</f>
        <v>176</v>
      </c>
      <c r="Q33" s="484" t="str">
        <f>'상담(남)'!Q33</f>
        <v>_</v>
      </c>
      <c r="R33" s="484">
        <f>'상담(남)'!R33</f>
        <v>48</v>
      </c>
      <c r="S33" s="505" t="str">
        <f>'상담(남)'!S33</f>
        <v>6.44</v>
      </c>
      <c r="T33" s="506" t="str">
        <f>'상담(남)'!T33</f>
        <v>6.69</v>
      </c>
      <c r="U33" s="221" t="str">
        <f>'상담(남)'!U33</f>
        <v>실기기본점수 160점/변별력 상승</v>
      </c>
    </row>
    <row r="34" spans="1:22" s="6" customFormat="1" ht="29.25" customHeight="1" thickBot="1">
      <c r="A34" s="261" t="str">
        <f>'상담(남)'!A34</f>
        <v>충남</v>
      </c>
      <c r="B34" s="175" t="str">
        <f>'상담(남)'!B34</f>
        <v>서원대 헬스케어운동</v>
      </c>
      <c r="C34" s="278">
        <f>'상담(남)'!C34</f>
        <v>200</v>
      </c>
      <c r="D34" s="266">
        <f>'상담(남)'!D34</f>
        <v>193</v>
      </c>
      <c r="E34" s="357">
        <f>'상담(남)'!E34</f>
        <v>175</v>
      </c>
      <c r="F34" s="282">
        <f t="shared" si="0"/>
        <v>7</v>
      </c>
      <c r="G34" s="266">
        <f>'상담(남)'!G34</f>
        <v>800</v>
      </c>
      <c r="H34" s="279">
        <f>'상담(남)'!H34</f>
        <v>1000</v>
      </c>
      <c r="I34" s="280">
        <f>'상담(남)'!I34</f>
        <v>986.6</v>
      </c>
      <c r="J34" s="281">
        <f>'상담(남)'!J34</f>
        <v>971.4</v>
      </c>
      <c r="K34" s="414">
        <f>'상담(남)'!K34</f>
        <v>25</v>
      </c>
      <c r="L34" s="136">
        <f>'상담(남)'!L34</f>
        <v>25</v>
      </c>
      <c r="M34" s="484">
        <f>'상담(남)'!M34</f>
        <v>25</v>
      </c>
      <c r="N34" s="484">
        <f>'상담(남)'!N34</f>
        <v>30</v>
      </c>
      <c r="O34" s="413">
        <f>'상담(남)'!O34</f>
        <v>46</v>
      </c>
      <c r="P34" s="136">
        <f>'상담(남)'!P34</f>
        <v>60</v>
      </c>
      <c r="Q34" s="484" t="str">
        <f>'상담(남)'!Q34</f>
        <v>_</v>
      </c>
      <c r="R34" s="484" t="str">
        <f>'상담(남)'!R34</f>
        <v>23신설</v>
      </c>
      <c r="S34" s="505" t="str">
        <f>'상담(남)'!S34</f>
        <v>8.24</v>
      </c>
      <c r="T34" s="506" t="str">
        <f>'상담(남)'!T34</f>
        <v>7.24</v>
      </c>
      <c r="U34" s="221" t="str">
        <f>'상담(남)'!U34</f>
        <v>실기기본점수 160점/변별력 상승</v>
      </c>
    </row>
    <row r="35" spans="1:22" ht="29.25" customHeight="1" thickBot="1">
      <c r="A35" s="261" t="str">
        <f>'상담(남)'!A35</f>
        <v>충남</v>
      </c>
      <c r="B35" s="175" t="str">
        <f>'상담(남)'!B35</f>
        <v>선문대 스포츠과학</v>
      </c>
      <c r="C35" s="278">
        <f>'상담(남)'!C35</f>
        <v>200</v>
      </c>
      <c r="D35" s="266">
        <f>'상담(남)'!D35</f>
        <v>120</v>
      </c>
      <c r="E35" s="357">
        <f>'상담(남)'!E35</f>
        <v>40</v>
      </c>
      <c r="F35" s="282">
        <f t="shared" si="0"/>
        <v>80</v>
      </c>
      <c r="G35" s="266">
        <f>'상담(남)'!G35</f>
        <v>800</v>
      </c>
      <c r="H35" s="279">
        <f>'상담(남)'!H35</f>
        <v>1000</v>
      </c>
      <c r="I35" s="280">
        <f>'상담(남)'!I35</f>
        <v>830</v>
      </c>
      <c r="J35" s="281">
        <f>'상담(남)'!J35</f>
        <v>795</v>
      </c>
      <c r="K35" s="414">
        <f>'상담(남)'!K35</f>
        <v>27</v>
      </c>
      <c r="L35" s="136">
        <f>'상담(남)'!L35</f>
        <v>26</v>
      </c>
      <c r="M35" s="484">
        <f>'상담(남)'!M35</f>
        <v>24</v>
      </c>
      <c r="N35" s="484">
        <f>'상담(남)'!N35</f>
        <v>25</v>
      </c>
      <c r="O35" s="413">
        <f>'상담(남)'!O35</f>
        <v>16</v>
      </c>
      <c r="P35" s="136">
        <f>'상담(남)'!P35</f>
        <v>33</v>
      </c>
      <c r="Q35" s="484">
        <f>'상담(남)'!Q35</f>
        <v>18</v>
      </c>
      <c r="R35" s="484">
        <f>'상담(남)'!R35</f>
        <v>63</v>
      </c>
      <c r="S35" s="505" t="str">
        <f>'상담(남)'!S35</f>
        <v>5.35</v>
      </c>
      <c r="T35" s="506" t="str">
        <f>'상담(남)'!T35</f>
        <v>5.22</v>
      </c>
      <c r="U35" s="221" t="str">
        <f>'상담(남)'!U35</f>
        <v>.</v>
      </c>
    </row>
    <row r="36" spans="1:22" s="6" customFormat="1" ht="29.25" customHeight="1" thickBot="1">
      <c r="A36" s="261" t="str">
        <f>'상담(남)'!A36</f>
        <v>충남</v>
      </c>
      <c r="B36" s="175" t="str">
        <f>'상담(남)'!B36</f>
        <v>선문대 피트니스재활</v>
      </c>
      <c r="C36" s="278">
        <f>'상담(남)'!C36</f>
        <v>180</v>
      </c>
      <c r="D36" s="266">
        <f>'상담(남)'!D36</f>
        <v>120</v>
      </c>
      <c r="E36" s="357">
        <f>'상담(남)'!E36</f>
        <v>40</v>
      </c>
      <c r="F36" s="282">
        <f t="shared" si="0"/>
        <v>60</v>
      </c>
      <c r="G36" s="266">
        <f>'상담(남)'!G36</f>
        <v>800</v>
      </c>
      <c r="H36" s="279">
        <f>'상담(남)'!H36</f>
        <v>980</v>
      </c>
      <c r="I36" s="280">
        <f>'상담(남)'!I36</f>
        <v>780</v>
      </c>
      <c r="J36" s="281">
        <f>'상담(남)'!J36</f>
        <v>734</v>
      </c>
      <c r="K36" s="414">
        <f>'상담(남)'!K36</f>
        <v>27</v>
      </c>
      <c r="L36" s="136">
        <f>'상담(남)'!L36</f>
        <v>25</v>
      </c>
      <c r="M36" s="484">
        <f>'상담(남)'!M36</f>
        <v>24</v>
      </c>
      <c r="N36" s="484">
        <f>'상담(남)'!N36</f>
        <v>25</v>
      </c>
      <c r="O36" s="413">
        <f>'상담(남)'!O36</f>
        <v>19</v>
      </c>
      <c r="P36" s="136">
        <f>'상담(남)'!P36</f>
        <v>46</v>
      </c>
      <c r="Q36" s="484">
        <f>'상담(남)'!Q36</f>
        <v>31</v>
      </c>
      <c r="R36" s="484" t="str">
        <f>'상담(남)'!R36</f>
        <v>_</v>
      </c>
      <c r="S36" s="505" t="str">
        <f>'상담(남)'!S36</f>
        <v>4.08</v>
      </c>
      <c r="T36" s="506" t="str">
        <f>'상담(남)'!T36</f>
        <v>5.25</v>
      </c>
      <c r="U36" s="221" t="str">
        <f>'상담(남)'!U36</f>
        <v>.</v>
      </c>
    </row>
    <row r="37" spans="1:22" ht="29.25" customHeight="1" thickBot="1">
      <c r="A37" s="261" t="str">
        <f>'상담(남)'!A37</f>
        <v>경기</v>
      </c>
      <c r="B37" s="175" t="str">
        <f>'상담(남)'!B37</f>
        <v>성결대 체육교육</v>
      </c>
      <c r="C37" s="278">
        <f>'상담(남)'!C37</f>
        <v>400</v>
      </c>
      <c r="D37" s="266">
        <f>'상담(남)'!D37</f>
        <v>395</v>
      </c>
      <c r="E37" s="357">
        <f>'상담(남)'!E37</f>
        <v>385</v>
      </c>
      <c r="F37" s="282">
        <f t="shared" si="0"/>
        <v>5</v>
      </c>
      <c r="G37" s="266">
        <f>'상담(남)'!G37</f>
        <v>600</v>
      </c>
      <c r="H37" s="279">
        <f>'상담(남)'!H37</f>
        <v>1000</v>
      </c>
      <c r="I37" s="280">
        <f>'상담(남)'!I37</f>
        <v>991</v>
      </c>
      <c r="J37" s="281">
        <f>'상담(남)'!J37</f>
        <v>985</v>
      </c>
      <c r="K37" s="414">
        <f>'상담(남)'!K37</f>
        <v>14</v>
      </c>
      <c r="L37" s="136">
        <f>'상담(남)'!L37</f>
        <v>14</v>
      </c>
      <c r="M37" s="484">
        <f>'상담(남)'!M37</f>
        <v>14</v>
      </c>
      <c r="N37" s="484">
        <f>'상담(남)'!N37</f>
        <v>8</v>
      </c>
      <c r="O37" s="413">
        <f>'상담(남)'!O37</f>
        <v>6</v>
      </c>
      <c r="P37" s="136">
        <f>'상담(남)'!P37</f>
        <v>8</v>
      </c>
      <c r="Q37" s="484">
        <f>'상담(남)'!Q37</f>
        <v>3</v>
      </c>
      <c r="R37" s="484">
        <f>'상담(남)'!R37</f>
        <v>6</v>
      </c>
      <c r="S37" s="505" t="str">
        <f>'상담(남)'!S37</f>
        <v>16.93</v>
      </c>
      <c r="T37" s="506" t="str">
        <f>'상담(남)'!T37</f>
        <v>23.36</v>
      </c>
      <c r="U37" s="221" t="str">
        <f>'상담(남)'!U37</f>
        <v>내신반영방법 변경/교과점수 상승</v>
      </c>
    </row>
    <row r="38" spans="1:22" ht="29.25" customHeight="1" thickBot="1">
      <c r="A38" s="261" t="str">
        <f>'상담(남)'!A38</f>
        <v>충북</v>
      </c>
      <c r="B38" s="175" t="str">
        <f>'상담(남)'!B38</f>
        <v>세명대 생활체육</v>
      </c>
      <c r="C38" s="278">
        <f>'상담(남)'!C38</f>
        <v>200</v>
      </c>
      <c r="D38" s="266">
        <f>'상담(남)'!D38</f>
        <v>120</v>
      </c>
      <c r="E38" s="357">
        <f>'상담(남)'!E38</f>
        <v>40</v>
      </c>
      <c r="F38" s="282">
        <f t="shared" si="0"/>
        <v>80</v>
      </c>
      <c r="G38" s="266">
        <f>'상담(남)'!G38</f>
        <v>800</v>
      </c>
      <c r="H38" s="279">
        <f>'상담(남)'!H38</f>
        <v>1000</v>
      </c>
      <c r="I38" s="280">
        <f>'상담(남)'!I38</f>
        <v>860</v>
      </c>
      <c r="J38" s="281">
        <f>'상담(남)'!J38</f>
        <v>740</v>
      </c>
      <c r="K38" s="414">
        <f>'상담(남)'!K38</f>
        <v>30</v>
      </c>
      <c r="L38" s="136">
        <f>'상담(남)'!L38</f>
        <v>25</v>
      </c>
      <c r="M38" s="484">
        <f>'상담(남)'!M38</f>
        <v>25</v>
      </c>
      <c r="N38" s="484">
        <f>'상담(남)'!N38</f>
        <v>25</v>
      </c>
      <c r="O38" s="413">
        <f>'상담(남)'!O38</f>
        <v>51</v>
      </c>
      <c r="P38" s="136">
        <f>'상담(남)'!P38</f>
        <v>43</v>
      </c>
      <c r="Q38" s="484">
        <f>'상담(남)'!Q38</f>
        <v>116</v>
      </c>
      <c r="R38" s="484">
        <f>'상담(남)'!R38</f>
        <v>53</v>
      </c>
      <c r="S38" s="505" t="str">
        <f>'상담(남)'!S38</f>
        <v>3.44</v>
      </c>
      <c r="T38" s="506" t="str">
        <f>'상담(남)'!T38</f>
        <v>3.2</v>
      </c>
      <c r="U38" s="221" t="str">
        <f>'상담(남)'!U38</f>
        <v>윗몸폐지 농구신설 실기반영비율 증가</v>
      </c>
    </row>
    <row r="39" spans="1:22" ht="29.25" customHeight="1" thickBot="1">
      <c r="A39" s="261" t="str">
        <f>'상담(남)'!A39</f>
        <v>경기</v>
      </c>
      <c r="B39" s="175" t="str">
        <f>'상담(남)'!B39</f>
        <v>수원대 스포츠과학부</v>
      </c>
      <c r="C39" s="278">
        <f>'상담(남)'!C39</f>
        <v>400</v>
      </c>
      <c r="D39" s="266">
        <f>'상담(남)'!D39</f>
        <v>380</v>
      </c>
      <c r="E39" s="357">
        <f>'상담(남)'!E39</f>
        <v>367</v>
      </c>
      <c r="F39" s="282">
        <f t="shared" si="0"/>
        <v>20</v>
      </c>
      <c r="G39" s="266">
        <f>'상담(남)'!G39</f>
        <v>600</v>
      </c>
      <c r="H39" s="279">
        <f>'상담(남)'!H39</f>
        <v>1000</v>
      </c>
      <c r="I39" s="280">
        <f>'상담(남)'!I39</f>
        <v>974</v>
      </c>
      <c r="J39" s="281">
        <f>'상담(남)'!J39</f>
        <v>967</v>
      </c>
      <c r="K39" s="466" t="str">
        <f>'상담(남)'!K39</f>
        <v>기초 20
축구 13
농구 7
체조 5</v>
      </c>
      <c r="L39" s="467" t="str">
        <f>'상담(남)'!L39</f>
        <v>기초 20
축구 13
농구 7
체조 5</v>
      </c>
      <c r="M39" s="484">
        <f>'상담(남)'!M39</f>
        <v>20</v>
      </c>
      <c r="N39" s="484">
        <f>'상담(남)'!N39</f>
        <v>20</v>
      </c>
      <c r="O39" s="413">
        <f>'상담(남)'!O39</f>
        <v>23</v>
      </c>
      <c r="P39" s="136" t="str">
        <f>'상담(남)'!P39</f>
        <v>-</v>
      </c>
      <c r="Q39" s="484">
        <f>'상담(남)'!Q39</f>
        <v>16</v>
      </c>
      <c r="R39" s="484">
        <f>'상담(남)'!R39</f>
        <v>9</v>
      </c>
      <c r="S39" s="505" t="str">
        <f>'상담(남)'!S39</f>
        <v xml:space="preserve">27.85
</v>
      </c>
      <c r="T39" s="506" t="str">
        <f>'상담(남)'!T39</f>
        <v xml:space="preserve">27.05
</v>
      </c>
      <c r="U39" s="221" t="str">
        <f>'상담(남)'!U39</f>
        <v>기초체력 기준</v>
      </c>
    </row>
    <row r="40" spans="1:22" ht="29.25" customHeight="1" thickBot="1">
      <c r="A40" s="261" t="str">
        <f>'상담(남)'!A40</f>
        <v>충남</v>
      </c>
      <c r="B40" s="175" t="str">
        <f>'상담(남)'!B40</f>
        <v>순천향대 스포츠과학</v>
      </c>
      <c r="C40" s="278">
        <f>'상담(남)'!C40</f>
        <v>300</v>
      </c>
      <c r="D40" s="266">
        <f>'상담(남)'!D40</f>
        <v>276</v>
      </c>
      <c r="E40" s="357">
        <f>'상담(남)'!E40</f>
        <v>252</v>
      </c>
      <c r="F40" s="282">
        <f t="shared" si="0"/>
        <v>24</v>
      </c>
      <c r="G40" s="266">
        <f>'상담(남)'!G40</f>
        <v>692.22222222222217</v>
      </c>
      <c r="H40" s="279">
        <f>'상담(남)'!H40</f>
        <v>992.22222222222217</v>
      </c>
      <c r="I40" s="280">
        <f>'상담(남)'!I40</f>
        <v>962</v>
      </c>
      <c r="J40" s="281">
        <f>'상담(남)'!J40</f>
        <v>952</v>
      </c>
      <c r="K40" s="414">
        <f>'상담(남)'!K40</f>
        <v>16</v>
      </c>
      <c r="L40" s="136">
        <f>'상담(남)'!L40</f>
        <v>16</v>
      </c>
      <c r="M40" s="484">
        <f>'상담(남)'!M40</f>
        <v>17</v>
      </c>
      <c r="N40" s="484">
        <f>'상담(남)'!N40</f>
        <v>17</v>
      </c>
      <c r="O40" s="413">
        <f>'상담(남)'!O40</f>
        <v>7</v>
      </c>
      <c r="P40" s="136">
        <f>'상담(남)'!P40</f>
        <v>13</v>
      </c>
      <c r="Q40" s="484">
        <f>'상담(남)'!Q40</f>
        <v>7</v>
      </c>
      <c r="R40" s="484">
        <f>'상담(남)'!R40</f>
        <v>7</v>
      </c>
      <c r="S40" s="505" t="str">
        <f>'상담(남)'!S40</f>
        <v>27.94</v>
      </c>
      <c r="T40" s="506" t="str">
        <f>'상담(남)'!T40</f>
        <v>18.47</v>
      </c>
      <c r="U40" s="221" t="str">
        <f>'상담(남)'!U40</f>
        <v>윗몸폐지 농구신설(45초)</v>
      </c>
    </row>
    <row r="41" spans="1:22" ht="29.25" customHeight="1" thickBot="1">
      <c r="A41" s="261" t="str">
        <f>'상담(남)'!A41</f>
        <v>충남</v>
      </c>
      <c r="B41" s="175" t="str">
        <f>'상담(남)'!B41</f>
        <v>순천향대 스포츠의학</v>
      </c>
      <c r="C41" s="278">
        <f>'상담(남)'!C41</f>
        <v>400</v>
      </c>
      <c r="D41" s="266">
        <f>'상담(남)'!D41</f>
        <v>382</v>
      </c>
      <c r="E41" s="357">
        <f>'상담(남)'!E41</f>
        <v>369</v>
      </c>
      <c r="F41" s="282">
        <f t="shared" si="0"/>
        <v>18</v>
      </c>
      <c r="G41" s="266">
        <f>'상담(남)'!G41</f>
        <v>595</v>
      </c>
      <c r="H41" s="279">
        <f>'상담(남)'!H41</f>
        <v>995</v>
      </c>
      <c r="I41" s="280">
        <f>'상담(남)'!I41</f>
        <v>976</v>
      </c>
      <c r="J41" s="281">
        <f>'상담(남)'!J41</f>
        <v>969</v>
      </c>
      <c r="K41" s="414">
        <f>'상담(남)'!K41</f>
        <v>13</v>
      </c>
      <c r="L41" s="136">
        <f>'상담(남)'!L41</f>
        <v>13</v>
      </c>
      <c r="M41" s="484">
        <f>'상담(남)'!M41</f>
        <v>12</v>
      </c>
      <c r="N41" s="484">
        <f>'상담(남)'!N41</f>
        <v>15</v>
      </c>
      <c r="O41" s="413">
        <f>'상담(남)'!O41</f>
        <v>27</v>
      </c>
      <c r="P41" s="136">
        <f>'상담(남)'!P41</f>
        <v>19</v>
      </c>
      <c r="Q41" s="484">
        <f>'상담(남)'!Q41</f>
        <v>18</v>
      </c>
      <c r="R41" s="484">
        <f>'상담(남)'!R41</f>
        <v>25</v>
      </c>
      <c r="S41" s="505" t="str">
        <f>'상담(남)'!S41</f>
        <v>11.23</v>
      </c>
      <c r="T41" s="506" t="str">
        <f>'상담(남)'!T41</f>
        <v>13.0</v>
      </c>
      <c r="U41" s="221" t="str">
        <f>'상담(남)'!U41</f>
        <v>.</v>
      </c>
    </row>
    <row r="42" spans="1:22" ht="29.25" customHeight="1" thickBot="1">
      <c r="A42" s="261" t="str">
        <f>'상담(남)'!A42</f>
        <v>충남</v>
      </c>
      <c r="B42" s="175" t="str">
        <f>'상담(남)'!B42</f>
        <v>순천향대 스포츠응용산업</v>
      </c>
      <c r="C42" s="278">
        <f>'상담(남)'!C42</f>
        <v>300</v>
      </c>
      <c r="D42" s="266">
        <f>'상담(남)'!D42</f>
        <v>276</v>
      </c>
      <c r="E42" s="357">
        <f>'상담(남)'!E42</f>
        <v>262</v>
      </c>
      <c r="F42" s="282">
        <f t="shared" si="0"/>
        <v>24</v>
      </c>
      <c r="G42" s="266">
        <f>'상담(남)'!G42</f>
        <v>696.11111111111109</v>
      </c>
      <c r="H42" s="279">
        <f>'상담(남)'!H42</f>
        <v>996.11111111111109</v>
      </c>
      <c r="I42" s="280">
        <f>'상담(남)'!I42</f>
        <v>968</v>
      </c>
      <c r="J42" s="281">
        <f>'상담(남)'!J42</f>
        <v>962</v>
      </c>
      <c r="K42" s="414">
        <f>'상담(남)'!K42</f>
        <v>20</v>
      </c>
      <c r="L42" s="136">
        <f>'상담(남)'!L42</f>
        <v>20</v>
      </c>
      <c r="M42" s="484">
        <f>'상담(남)'!M42</f>
        <v>19</v>
      </c>
      <c r="N42" s="484">
        <f>'상담(남)'!N42</f>
        <v>19</v>
      </c>
      <c r="O42" s="413">
        <f>'상담(남)'!O42</f>
        <v>6</v>
      </c>
      <c r="P42" s="136">
        <f>'상담(남)'!P42</f>
        <v>26</v>
      </c>
      <c r="Q42" s="484">
        <f>'상담(남)'!Q42</f>
        <v>26</v>
      </c>
      <c r="R42" s="484">
        <f>'상담(남)'!R42</f>
        <v>20</v>
      </c>
      <c r="S42" s="505" t="str">
        <f>'상담(남)'!S42</f>
        <v>21.60</v>
      </c>
      <c r="T42" s="506" t="str">
        <f>'상담(남)'!T42</f>
        <v>22.63</v>
      </c>
      <c r="U42" s="221" t="str">
        <f>'상담(남)'!U42</f>
        <v>학과명 변경</v>
      </c>
    </row>
    <row r="43" spans="1:22" s="9" customFormat="1" ht="29.25" customHeight="1" thickBot="1">
      <c r="A43" s="261" t="str">
        <f>'상담(남)'!A43</f>
        <v>인천</v>
      </c>
      <c r="B43" s="175" t="str">
        <f>'상담(남)'!B43</f>
        <v>안양대 스포츠과학</v>
      </c>
      <c r="C43" s="278">
        <f>'상담(남)'!C43</f>
        <v>300</v>
      </c>
      <c r="D43" s="266">
        <f>'상담(남)'!D43</f>
        <v>282</v>
      </c>
      <c r="E43" s="357">
        <f>'상담(남)'!E43</f>
        <v>230</v>
      </c>
      <c r="F43" s="282">
        <f t="shared" si="0"/>
        <v>18</v>
      </c>
      <c r="G43" s="266">
        <f>'상담(남)'!G43</f>
        <v>600</v>
      </c>
      <c r="H43" s="279">
        <f>'상담(남)'!H43</f>
        <v>900</v>
      </c>
      <c r="I43" s="280">
        <f>'상담(남)'!I43</f>
        <v>852</v>
      </c>
      <c r="J43" s="281">
        <f>'상담(남)'!J43</f>
        <v>830</v>
      </c>
      <c r="K43" s="414">
        <f>'상담(남)'!K43</f>
        <v>10</v>
      </c>
      <c r="L43" s="136">
        <f>'상담(남)'!L43</f>
        <v>7</v>
      </c>
      <c r="M43" s="484">
        <f>'상담(남)'!M43</f>
        <v>14</v>
      </c>
      <c r="N43" s="484">
        <f>'상담(남)'!N43</f>
        <v>12</v>
      </c>
      <c r="O43" s="413">
        <f>'상담(남)'!O43</f>
        <v>27</v>
      </c>
      <c r="P43" s="136">
        <f>'상담(남)'!P43</f>
        <v>42</v>
      </c>
      <c r="Q43" s="484">
        <f>'상담(남)'!Q43</f>
        <v>20</v>
      </c>
      <c r="R43" s="484">
        <f>'상담(남)'!R43</f>
        <v>64</v>
      </c>
      <c r="S43" s="505" t="str">
        <f>'상담(남)'!S43</f>
        <v>7.57</v>
      </c>
      <c r="T43" s="506" t="str">
        <f>'상담(남)'!T43</f>
        <v>5.36</v>
      </c>
      <c r="U43" s="221" t="str">
        <f>'상담(남)'!U43</f>
        <v>.</v>
      </c>
      <c r="V43" s="10"/>
    </row>
    <row r="44" spans="1:22" s="6" customFormat="1" ht="29.25" hidden="1" customHeight="1">
      <c r="A44" s="261" t="str">
        <f>'상담(남)'!A44</f>
        <v>인천</v>
      </c>
      <c r="B44" s="175" t="str">
        <f>'상담(남)'!B44</f>
        <v>안양대 스포츠응용산업</v>
      </c>
      <c r="C44" s="278">
        <f>'상담(남)'!C44</f>
        <v>280</v>
      </c>
      <c r="D44" s="266">
        <f>'상담(남)'!D44</f>
        <v>0</v>
      </c>
      <c r="E44" s="357">
        <f>'상담(남)'!E44</f>
        <v>0</v>
      </c>
      <c r="F44" s="282">
        <f t="shared" si="0"/>
        <v>280</v>
      </c>
      <c r="G44" s="266">
        <f>'상담(남)'!G44</f>
        <v>600</v>
      </c>
      <c r="H44" s="279">
        <f>'상담(남)'!H44</f>
        <v>880</v>
      </c>
      <c r="I44" s="280">
        <f>'상담(남)'!I44</f>
        <v>800</v>
      </c>
      <c r="J44" s="281">
        <f>'상담(남)'!J44</f>
        <v>730</v>
      </c>
      <c r="K44" s="414" t="str">
        <f>'상담(남)'!K44</f>
        <v>일반학생선발</v>
      </c>
      <c r="L44" s="136">
        <f>'상담(남)'!L44</f>
        <v>4</v>
      </c>
      <c r="M44" s="484">
        <f>'상담(남)'!M44</f>
        <v>16</v>
      </c>
      <c r="N44" s="484">
        <f>'상담(남)'!N44</f>
        <v>0</v>
      </c>
      <c r="O44" s="413">
        <f>'상담(남)'!O44</f>
        <v>3</v>
      </c>
      <c r="P44" s="136" t="str">
        <f>'상담(남)'!P44</f>
        <v>-</v>
      </c>
      <c r="Q44" s="484" t="str">
        <f>'상담(남)'!Q44</f>
        <v>24신설</v>
      </c>
      <c r="R44" s="484">
        <f>'상담(남)'!R44</f>
        <v>0</v>
      </c>
      <c r="S44" s="505" t="str">
        <f>'상담(남)'!S44</f>
        <v>7.00</v>
      </c>
      <c r="T44" s="506" t="str">
        <f>'상담(남)'!T44</f>
        <v>3.25</v>
      </c>
      <c r="U44" s="221" t="str">
        <f>'상담(남)'!U44</f>
        <v>학과명 변경</v>
      </c>
    </row>
    <row r="45" spans="1:22" s="292" customFormat="1" ht="29.25" customHeight="1" thickBot="1">
      <c r="A45" s="261" t="str">
        <f>'상담(남)'!A45</f>
        <v>인천</v>
      </c>
      <c r="B45" s="175" t="str">
        <f>'상담(남)'!B45</f>
        <v>안양대 스포츠자율전공</v>
      </c>
      <c r="C45" s="278">
        <f>'상담(남)'!C45</f>
        <v>250</v>
      </c>
      <c r="D45" s="266">
        <f>'상담(남)'!D45</f>
        <v>322</v>
      </c>
      <c r="E45" s="357">
        <f>'상담(남)'!E45</f>
        <v>250</v>
      </c>
      <c r="F45" s="282">
        <f>C45-D45</f>
        <v>-72</v>
      </c>
      <c r="G45" s="266">
        <f>'상담(남)'!G45</f>
        <v>600</v>
      </c>
      <c r="H45" s="279">
        <f>'상담(남)'!H45</f>
        <v>850</v>
      </c>
      <c r="I45" s="280">
        <f>'상담(남)'!I45</f>
        <v>904</v>
      </c>
      <c r="J45" s="281">
        <f>'상담(남)'!J45</f>
        <v>850</v>
      </c>
      <c r="K45" s="414">
        <f>'상담(남)'!K45</f>
        <v>15</v>
      </c>
      <c r="L45" s="136">
        <f>'상담(남)'!L45</f>
        <v>15</v>
      </c>
      <c r="M45" s="484">
        <f>'상담(남)'!M45</f>
        <v>0</v>
      </c>
      <c r="N45" s="484">
        <f>'상담(남)'!N45</f>
        <v>0</v>
      </c>
      <c r="O45" s="413">
        <f>'상담(남)'!O45</f>
        <v>24</v>
      </c>
      <c r="P45" s="136" t="str">
        <f>'상담(남)'!P45</f>
        <v>25신설</v>
      </c>
      <c r="Q45" s="484">
        <f>'상담(남)'!Q45</f>
        <v>0</v>
      </c>
      <c r="R45" s="484">
        <f>'상담(남)'!R45</f>
        <v>0</v>
      </c>
      <c r="S45" s="505" t="str">
        <f>'상담(남)'!S45</f>
        <v>6.60</v>
      </c>
      <c r="T45" s="506">
        <f>'상담(남)'!T45</f>
        <v>0</v>
      </c>
      <c r="U45" s="221"/>
    </row>
    <row r="46" spans="1:22" ht="29.25" customHeight="1" thickBot="1">
      <c r="A46" s="261" t="str">
        <f>'상담(남)'!A46</f>
        <v>경기</v>
      </c>
      <c r="B46" s="175" t="str">
        <f>'상담(남)'!B46</f>
        <v>용인대 스포츠레저</v>
      </c>
      <c r="C46" s="278">
        <f>'상담(남)'!C46</f>
        <v>140</v>
      </c>
      <c r="D46" s="266">
        <f>'상담(남)'!D46</f>
        <v>138.5</v>
      </c>
      <c r="E46" s="357">
        <f>'상담(남)'!E46</f>
        <v>131</v>
      </c>
      <c r="F46" s="282">
        <f t="shared" si="0"/>
        <v>1.5</v>
      </c>
      <c r="G46" s="266">
        <f>'상담(남)'!G46</f>
        <v>340</v>
      </c>
      <c r="H46" s="279">
        <f>'상담(남)'!H46</f>
        <v>480</v>
      </c>
      <c r="I46" s="280">
        <f>'상담(남)'!I46</f>
        <v>483.5</v>
      </c>
      <c r="J46" s="281">
        <f>'상담(남)'!J46</f>
        <v>476</v>
      </c>
      <c r="K46" s="414">
        <f>'상담(남)'!K46</f>
        <v>8</v>
      </c>
      <c r="L46" s="136">
        <f>'상담(남)'!L46</f>
        <v>9</v>
      </c>
      <c r="M46" s="484">
        <f>'상담(남)'!M46</f>
        <v>16</v>
      </c>
      <c r="N46" s="484">
        <f>'상담(남)'!N46</f>
        <v>15</v>
      </c>
      <c r="O46" s="413">
        <f>'상담(남)'!O46</f>
        <v>1</v>
      </c>
      <c r="P46" s="136">
        <f>'상담(남)'!P46</f>
        <v>16</v>
      </c>
      <c r="Q46" s="484">
        <f>'상담(남)'!Q46</f>
        <v>23</v>
      </c>
      <c r="R46" s="484">
        <f>'상담(남)'!R46</f>
        <v>9</v>
      </c>
      <c r="S46" s="505" t="str">
        <f>'상담(남)'!S46</f>
        <v>33.56</v>
      </c>
      <c r="T46" s="506" t="str">
        <f>'상담(남)'!T46</f>
        <v>13.0</v>
      </c>
      <c r="U46" s="221" t="str">
        <f>'상담(남)'!U46</f>
        <v>.</v>
      </c>
    </row>
    <row r="47" spans="1:22" ht="29.25" customHeight="1" thickBot="1">
      <c r="A47" s="261" t="str">
        <f>'상담(남)'!A47</f>
        <v>경기</v>
      </c>
      <c r="B47" s="175" t="str">
        <f>'상담(남)'!B47</f>
        <v>용인대 특수체육교육</v>
      </c>
      <c r="C47" s="278">
        <f>'상담(남)'!C47</f>
        <v>148</v>
      </c>
      <c r="D47" s="266">
        <f>'상담(남)'!D47</f>
        <v>142.5</v>
      </c>
      <c r="E47" s="357">
        <f>'상담(남)'!E47</f>
        <v>140.69999999999999</v>
      </c>
      <c r="F47" s="282">
        <f t="shared" si="0"/>
        <v>5.5</v>
      </c>
      <c r="G47" s="266">
        <f>'상담(남)'!G47</f>
        <v>350</v>
      </c>
      <c r="H47" s="279">
        <f>'상담(남)'!H47</f>
        <v>498</v>
      </c>
      <c r="I47" s="280">
        <f>'상담(남)'!I47</f>
        <v>492.5</v>
      </c>
      <c r="J47" s="281">
        <f>'상담(남)'!J47</f>
        <v>490.7</v>
      </c>
      <c r="K47" s="414">
        <f>'상담(남)'!K47</f>
        <v>12</v>
      </c>
      <c r="L47" s="136">
        <f>'상담(남)'!L47</f>
        <v>12</v>
      </c>
      <c r="M47" s="484">
        <f>'상담(남)'!M47</f>
        <v>12</v>
      </c>
      <c r="N47" s="484">
        <f>'상담(남)'!N47</f>
        <v>13</v>
      </c>
      <c r="O47" s="413">
        <f>'상담(남)'!O47</f>
        <v>15</v>
      </c>
      <c r="P47" s="136">
        <f>'상담(남)'!P47</f>
        <v>14</v>
      </c>
      <c r="Q47" s="484">
        <f>'상담(남)'!Q47</f>
        <v>19</v>
      </c>
      <c r="R47" s="484">
        <f>'상담(남)'!R47</f>
        <v>22</v>
      </c>
      <c r="S47" s="505" t="str">
        <f>'상담(남)'!S47</f>
        <v>19.17</v>
      </c>
      <c r="T47" s="506" t="str">
        <f>'상담(남)'!T47</f>
        <v>16.0</v>
      </c>
      <c r="U47" s="221" t="str">
        <f>'상담(남)'!U47</f>
        <v>.</v>
      </c>
    </row>
    <row r="48" spans="1:22" s="5" customFormat="1" ht="29.25" customHeight="1" thickBot="1">
      <c r="A48" s="261" t="str">
        <f>'상담(남)'!A48</f>
        <v>경기</v>
      </c>
      <c r="B48" s="175" t="str">
        <f>'상담(남)'!B48</f>
        <v>용인대 체육</v>
      </c>
      <c r="C48" s="278">
        <f>'상담(남)'!C48</f>
        <v>142</v>
      </c>
      <c r="D48" s="266">
        <f>'상담(남)'!D48</f>
        <v>139.5</v>
      </c>
      <c r="E48" s="357">
        <f>'상담(남)'!E48</f>
        <v>137</v>
      </c>
      <c r="F48" s="282">
        <f>C48-D48</f>
        <v>2.5</v>
      </c>
      <c r="G48" s="266">
        <f>'상담(남)'!G48</f>
        <v>350</v>
      </c>
      <c r="H48" s="279">
        <f>'상담(남)'!H48</f>
        <v>492</v>
      </c>
      <c r="I48" s="280">
        <f>'상담(남)'!I48</f>
        <v>484.5</v>
      </c>
      <c r="J48" s="281">
        <f>'상담(남)'!J48</f>
        <v>482</v>
      </c>
      <c r="K48" s="414">
        <f>'상담(남)'!K48</f>
        <v>13</v>
      </c>
      <c r="L48" s="136">
        <f>'상담(남)'!L48</f>
        <v>12</v>
      </c>
      <c r="M48" s="484">
        <f>'상담(남)'!M48</f>
        <v>0</v>
      </c>
      <c r="N48" s="484">
        <f>'상담(남)'!N48</f>
        <v>0</v>
      </c>
      <c r="O48" s="413">
        <f>'상담(남)'!O48</f>
        <v>16</v>
      </c>
      <c r="P48" s="136" t="str">
        <f>'상담(남)'!P48</f>
        <v>25신설</v>
      </c>
      <c r="Q48" s="484">
        <f>'상담(남)'!Q48</f>
        <v>0</v>
      </c>
      <c r="R48" s="484">
        <f>'상담(남)'!R48</f>
        <v>0</v>
      </c>
      <c r="S48" s="505" t="str">
        <f>'상담(남)'!S48</f>
        <v>40.25</v>
      </c>
      <c r="T48" s="506">
        <f>'상담(남)'!T48</f>
        <v>0</v>
      </c>
      <c r="U48" s="221"/>
      <c r="V48" s="292"/>
    </row>
    <row r="49" spans="1:22" ht="29.25" customHeight="1" thickBot="1">
      <c r="A49" s="261" t="str">
        <f>'상담(남)'!A49</f>
        <v>전북</v>
      </c>
      <c r="B49" s="175" t="str">
        <f>'상담(남)'!B49</f>
        <v>원광대 스포츠과학</v>
      </c>
      <c r="C49" s="278">
        <f>'상담(남)'!C49</f>
        <v>400</v>
      </c>
      <c r="D49" s="266">
        <f>'상담(남)'!D49</f>
        <v>540</v>
      </c>
      <c r="E49" s="357">
        <f>'상담(남)'!E49</f>
        <v>530</v>
      </c>
      <c r="F49" s="282">
        <f t="shared" si="0"/>
        <v>-140</v>
      </c>
      <c r="G49" s="266">
        <f>'상담(남)'!G49</f>
        <v>980</v>
      </c>
      <c r="H49" s="279">
        <f>'상담(남)'!H49</f>
        <v>1380</v>
      </c>
      <c r="I49" s="280">
        <f>'상담(남)'!I49</f>
        <v>1455</v>
      </c>
      <c r="J49" s="281">
        <f>'상담(남)'!J49</f>
        <v>1354</v>
      </c>
      <c r="K49" s="414">
        <f>'상담(남)'!K49</f>
        <v>45</v>
      </c>
      <c r="L49" s="136">
        <f>'상담(남)'!L49</f>
        <v>45</v>
      </c>
      <c r="M49" s="484">
        <f>'상담(남)'!M49</f>
        <v>53</v>
      </c>
      <c r="N49" s="484">
        <f>'상담(남)'!N49</f>
        <v>53</v>
      </c>
      <c r="O49" s="413">
        <f>'상담(남)'!O49</f>
        <v>67</v>
      </c>
      <c r="P49" s="136">
        <f>'상담(남)'!P49</f>
        <v>115</v>
      </c>
      <c r="Q49" s="484">
        <f>'상담(남)'!Q49</f>
        <v>106</v>
      </c>
      <c r="R49" s="484">
        <f>'상담(남)'!R49</f>
        <v>61</v>
      </c>
      <c r="S49" s="505" t="str">
        <f>'상담(남)'!S49</f>
        <v>4.11</v>
      </c>
      <c r="T49" s="506" t="str">
        <f>'상담(남)'!T49</f>
        <v>4.02</v>
      </c>
      <c r="U49" s="221" t="str">
        <f>'상담(남)'!U49</f>
        <v>교과점수 반영 변경 자연 상승발생</v>
      </c>
    </row>
    <row r="50" spans="1:22" ht="29.25" customHeight="1" thickBot="1">
      <c r="A50" s="261" t="str">
        <f>'상담(남)'!A50</f>
        <v>전북</v>
      </c>
      <c r="B50" s="175" t="str">
        <f>'상담(남)'!B50</f>
        <v>원광대 체육교육</v>
      </c>
      <c r="C50" s="278">
        <f>'상담(남)'!C50</f>
        <v>400</v>
      </c>
      <c r="D50" s="266">
        <f>'상담(남)'!D50</f>
        <v>582.5</v>
      </c>
      <c r="E50" s="357">
        <f>'상담(남)'!E50</f>
        <v>530</v>
      </c>
      <c r="F50" s="282">
        <f t="shared" si="0"/>
        <v>-182.5</v>
      </c>
      <c r="G50" s="266">
        <f>'상담(남)'!G50</f>
        <v>910</v>
      </c>
      <c r="H50" s="279">
        <f>'상담(남)'!H50</f>
        <v>1310</v>
      </c>
      <c r="I50" s="280">
        <f>'상담(남)'!I50</f>
        <v>1450</v>
      </c>
      <c r="J50" s="281">
        <f>'상담(남)'!J50</f>
        <v>1250</v>
      </c>
      <c r="K50" s="414">
        <f>'상담(남)'!K50</f>
        <v>18</v>
      </c>
      <c r="L50" s="136">
        <f>'상담(남)'!L50</f>
        <v>18</v>
      </c>
      <c r="M50" s="484">
        <f>'상담(남)'!M50</f>
        <v>18</v>
      </c>
      <c r="N50" s="484">
        <f>'상담(남)'!N50</f>
        <v>18</v>
      </c>
      <c r="O50" s="413">
        <f>'상담(남)'!O50</f>
        <v>9</v>
      </c>
      <c r="P50" s="136">
        <f>'상담(남)'!P50</f>
        <v>10</v>
      </c>
      <c r="Q50" s="484">
        <f>'상담(남)'!Q50</f>
        <v>4</v>
      </c>
      <c r="R50" s="484">
        <f>'상담(남)'!R50</f>
        <v>4</v>
      </c>
      <c r="S50" s="505" t="str">
        <f>'상담(남)'!S50</f>
        <v>16.44</v>
      </c>
      <c r="T50" s="506" t="str">
        <f>'상담(남)'!T50</f>
        <v>15.56</v>
      </c>
      <c r="U50" s="221" t="str">
        <f>'상담(남)'!U50</f>
        <v>교과점수 반영 변경 자연 상승발생</v>
      </c>
    </row>
    <row r="51" spans="1:22" s="397" customFormat="1" ht="29.25" hidden="1" customHeight="1">
      <c r="A51" s="392" t="str">
        <f>'상담(남)'!A51</f>
        <v>경기</v>
      </c>
      <c r="B51" s="393" t="str">
        <f>'상담(남)'!B51</f>
        <v>을지대 스포츠아웃도어</v>
      </c>
      <c r="C51" s="350">
        <f>'상담(남)'!C51</f>
        <v>300</v>
      </c>
      <c r="D51" s="334">
        <f>'상담(남)'!D51</f>
        <v>255.7</v>
      </c>
      <c r="E51" s="358">
        <f>'상담(남)'!E51</f>
        <v>185.1</v>
      </c>
      <c r="F51" s="351">
        <f t="shared" si="0"/>
        <v>44.300000000000011</v>
      </c>
      <c r="G51" s="334">
        <f>'상담(남)'!G51</f>
        <v>700</v>
      </c>
      <c r="H51" s="352">
        <f>'상담(남)'!H51</f>
        <v>1000</v>
      </c>
      <c r="I51" s="353">
        <f>'상담(남)'!I51</f>
        <v>916</v>
      </c>
      <c r="J51" s="354">
        <f>'상담(남)'!J51</f>
        <v>892</v>
      </c>
      <c r="K51" s="414" t="str">
        <f>'상담(남)'!K51</f>
        <v>-</v>
      </c>
      <c r="L51" s="394">
        <f>'상담(남)'!L51</f>
        <v>0</v>
      </c>
      <c r="M51" s="485">
        <f>'상담(남)'!M51</f>
        <v>25</v>
      </c>
      <c r="N51" s="485">
        <f>'상담(남)'!N51</f>
        <v>27</v>
      </c>
      <c r="O51" s="413">
        <f>'상담(남)'!O51</f>
        <v>0</v>
      </c>
      <c r="P51" s="394">
        <f>'상담(남)'!P51</f>
        <v>0</v>
      </c>
      <c r="Q51" s="485">
        <f>'상담(남)'!Q51</f>
        <v>26</v>
      </c>
      <c r="R51" s="485">
        <f>'상담(남)'!R51</f>
        <v>27</v>
      </c>
      <c r="S51" s="505">
        <f>'상담(남)'!S51</f>
        <v>0</v>
      </c>
      <c r="T51" s="506">
        <f>'상담(남)'!T51</f>
        <v>0</v>
      </c>
      <c r="U51" s="398" t="str">
        <f>'상담(남)'!U51</f>
        <v>폐지</v>
      </c>
      <c r="V51" s="95"/>
    </row>
    <row r="52" spans="1:22" ht="29.25" customHeight="1" thickBot="1">
      <c r="A52" s="261" t="str">
        <f>'상담(남)'!A52</f>
        <v>인천</v>
      </c>
      <c r="B52" s="175" t="str">
        <f>'상담(남)'!B52</f>
        <v>인천대 운동건강</v>
      </c>
      <c r="C52" s="278">
        <f>'상담(남)'!C52</f>
        <v>200</v>
      </c>
      <c r="D52" s="266">
        <f>'상담(남)'!D52</f>
        <v>194.6</v>
      </c>
      <c r="E52" s="357">
        <f>'상담(남)'!E52</f>
        <v>190.1</v>
      </c>
      <c r="F52" s="282">
        <f t="shared" si="0"/>
        <v>5.4000000000000057</v>
      </c>
      <c r="G52" s="266">
        <f>'상담(남)'!G52</f>
        <v>300</v>
      </c>
      <c r="H52" s="279">
        <f>'상담(남)'!H52</f>
        <v>500</v>
      </c>
      <c r="I52" s="280">
        <f>'상담(남)'!I52</f>
        <v>487.6</v>
      </c>
      <c r="J52" s="281">
        <f>'상담(남)'!J52</f>
        <v>483.1</v>
      </c>
      <c r="K52" s="414">
        <f>'상담(남)'!K52</f>
        <v>20</v>
      </c>
      <c r="L52" s="136">
        <f>'상담(남)'!L52</f>
        <v>20</v>
      </c>
      <c r="M52" s="484">
        <f>'상담(남)'!M52</f>
        <v>20</v>
      </c>
      <c r="N52" s="484">
        <f>'상담(남)'!N52</f>
        <v>24</v>
      </c>
      <c r="O52" s="413">
        <f>'상담(남)'!O52</f>
        <v>1</v>
      </c>
      <c r="P52" s="136">
        <f>'상담(남)'!P52</f>
        <v>4</v>
      </c>
      <c r="Q52" s="484">
        <f>'상담(남)'!Q52</f>
        <v>7</v>
      </c>
      <c r="R52" s="484">
        <f>'상담(남)'!R52</f>
        <v>5</v>
      </c>
      <c r="S52" s="505" t="str">
        <f>'상담(남)'!S52</f>
        <v>16.05</v>
      </c>
      <c r="T52" s="506" t="str">
        <f>'상담(남)'!T52</f>
        <v>18.35</v>
      </c>
      <c r="U52" s="221" t="str">
        <f>'상담(남)'!U52</f>
        <v>.</v>
      </c>
    </row>
    <row r="53" spans="1:22" ht="29.25" customHeight="1" thickBot="1">
      <c r="A53" s="261" t="str">
        <f>'상담(남)'!A53</f>
        <v>인천</v>
      </c>
      <c r="B53" s="175" t="str">
        <f>'상담(남)'!B53</f>
        <v>인천대 스포츠과학</v>
      </c>
      <c r="C53" s="278">
        <f>'상담(남)'!C53</f>
        <v>200</v>
      </c>
      <c r="D53" s="266">
        <f>'상담(남)'!D53</f>
        <v>195.4</v>
      </c>
      <c r="E53" s="357">
        <f>'상담(남)'!E53</f>
        <v>192.1</v>
      </c>
      <c r="F53" s="282">
        <f t="shared" si="0"/>
        <v>4.5999999999999943</v>
      </c>
      <c r="G53" s="266">
        <f>'상담(남)'!G53</f>
        <v>300</v>
      </c>
      <c r="H53" s="279">
        <f>'상담(남)'!H53</f>
        <v>500</v>
      </c>
      <c r="I53" s="280">
        <f>'상담(남)'!I53</f>
        <v>488.4</v>
      </c>
      <c r="J53" s="281">
        <f>'상담(남)'!J53</f>
        <v>485.1</v>
      </c>
      <c r="K53" s="414">
        <f>'상담(남)'!K53</f>
        <v>27</v>
      </c>
      <c r="L53" s="136">
        <f>'상담(남)'!L53</f>
        <v>27</v>
      </c>
      <c r="M53" s="484">
        <f>'상담(남)'!M53</f>
        <v>27</v>
      </c>
      <c r="N53" s="484">
        <f>'상담(남)'!N53</f>
        <v>27</v>
      </c>
      <c r="O53" s="413">
        <f>'상담(남)'!O53</f>
        <v>4</v>
      </c>
      <c r="P53" s="136">
        <f>'상담(남)'!P53</f>
        <v>3</v>
      </c>
      <c r="Q53" s="484">
        <f>'상담(남)'!Q53</f>
        <v>3</v>
      </c>
      <c r="R53" s="484">
        <f>'상담(남)'!R53</f>
        <v>6</v>
      </c>
      <c r="S53" s="505" t="str">
        <f>'상담(남)'!S53</f>
        <v>7.74</v>
      </c>
      <c r="T53" s="506" t="str">
        <f>'상담(남)'!T53</f>
        <v>8.37</v>
      </c>
      <c r="U53" s="221" t="str">
        <f>'상담(남)'!U53</f>
        <v>.</v>
      </c>
    </row>
    <row r="54" spans="1:22" ht="29.25" customHeight="1" thickBot="1">
      <c r="A54" s="261" t="str">
        <f>'상담(남)'!A54</f>
        <v>인천</v>
      </c>
      <c r="B54" s="175" t="str">
        <f>'상담(남)'!B54</f>
        <v>인천대 체육교육</v>
      </c>
      <c r="C54" s="278">
        <f>'상담(남)'!C54</f>
        <v>200</v>
      </c>
      <c r="D54" s="266">
        <f>'상담(남)'!D54</f>
        <v>198.4</v>
      </c>
      <c r="E54" s="357">
        <f>'상담(남)'!E54</f>
        <v>197.1</v>
      </c>
      <c r="F54" s="282">
        <f t="shared" si="0"/>
        <v>1.5999999999999943</v>
      </c>
      <c r="G54" s="266">
        <f>'상담(남)'!G54</f>
        <v>200</v>
      </c>
      <c r="H54" s="279">
        <f>'상담(남)'!H54</f>
        <v>400</v>
      </c>
      <c r="I54" s="280">
        <f>'상담(남)'!I54</f>
        <v>395.4</v>
      </c>
      <c r="J54" s="281">
        <f>'상담(남)'!J54</f>
        <v>392.4</v>
      </c>
      <c r="K54" s="414">
        <f>'상담(남)'!K54</f>
        <v>8</v>
      </c>
      <c r="L54" s="136">
        <f>'상담(남)'!L54</f>
        <v>7</v>
      </c>
      <c r="M54" s="484">
        <f>'상담(남)'!M54</f>
        <v>7</v>
      </c>
      <c r="N54" s="484">
        <f>'상담(남)'!N54</f>
        <v>6</v>
      </c>
      <c r="O54" s="413">
        <f>'상담(남)'!O54</f>
        <v>3</v>
      </c>
      <c r="P54" s="136">
        <f>'상담(남)'!P54</f>
        <v>0</v>
      </c>
      <c r="Q54" s="484">
        <f>'상담(남)'!Q54</f>
        <v>1</v>
      </c>
      <c r="R54" s="484">
        <f>'상담(남)'!R54</f>
        <v>6</v>
      </c>
      <c r="S54" s="505" t="str">
        <f>'상담(남)'!S54</f>
        <v>15.29</v>
      </c>
      <c r="T54" s="506" t="str">
        <f>'상담(남)'!T54</f>
        <v>11.14</v>
      </c>
      <c r="U54" s="221" t="str">
        <f>'상담(남)'!U54</f>
        <v>턱걸이,매달리기 폐지 매던 신설</v>
      </c>
    </row>
    <row r="55" spans="1:22" ht="29.25" customHeight="1" thickBot="1">
      <c r="A55" s="261" t="str">
        <f>'상담(남)'!A55</f>
        <v>충남</v>
      </c>
      <c r="B55" s="175" t="str">
        <f>'상담(남)'!B55</f>
        <v>중부대 스포츠재활복지</v>
      </c>
      <c r="C55" s="278">
        <f>'상담(남)'!C55</f>
        <v>300</v>
      </c>
      <c r="D55" s="266">
        <f>'상담(남)'!D55</f>
        <v>235</v>
      </c>
      <c r="E55" s="357">
        <f>'상담(남)'!E55</f>
        <v>160</v>
      </c>
      <c r="F55" s="282">
        <f t="shared" si="0"/>
        <v>65</v>
      </c>
      <c r="G55" s="266">
        <f>'상담(남)'!G55</f>
        <v>700</v>
      </c>
      <c r="H55" s="279">
        <f>'상담(남)'!H55</f>
        <v>1000</v>
      </c>
      <c r="I55" s="280">
        <f>'상담(남)'!I55</f>
        <v>882</v>
      </c>
      <c r="J55" s="281">
        <f>'상담(남)'!J55</f>
        <v>836</v>
      </c>
      <c r="K55" s="414">
        <f>'상담(남)'!K55</f>
        <v>10</v>
      </c>
      <c r="L55" s="136">
        <f>'상담(남)'!L55</f>
        <v>10</v>
      </c>
      <c r="M55" s="484">
        <f>'상담(남)'!M55</f>
        <v>26</v>
      </c>
      <c r="N55" s="484">
        <f>'상담(남)'!N55</f>
        <v>22</v>
      </c>
      <c r="O55" s="413">
        <f>'상담(남)'!O55</f>
        <v>25</v>
      </c>
      <c r="P55" s="136">
        <f>'상담(남)'!P55</f>
        <v>22</v>
      </c>
      <c r="Q55" s="484">
        <f>'상담(남)'!Q55</f>
        <v>60</v>
      </c>
      <c r="R55" s="484">
        <f>'상담(남)'!R55</f>
        <v>101</v>
      </c>
      <c r="S55" s="505" t="str">
        <f>'상담(남)'!S55</f>
        <v>5.90</v>
      </c>
      <c r="T55" s="506" t="str">
        <f>'상담(남)'!T55</f>
        <v>2.19</v>
      </c>
      <c r="U55" s="221" t="str">
        <f>'상담(남)'!U55</f>
        <v>경쟁률과 컷라인 민감</v>
      </c>
    </row>
    <row r="56" spans="1:22" ht="29.25" customHeight="1" thickBot="1">
      <c r="A56" s="261" t="str">
        <f>'상담(남)'!A56</f>
        <v>충남</v>
      </c>
      <c r="B56" s="175" t="str">
        <f>'상담(남)'!B56</f>
        <v>중부대 스포츠건강관리</v>
      </c>
      <c r="C56" s="278">
        <f>'상담(남)'!C56</f>
        <v>300</v>
      </c>
      <c r="D56" s="266">
        <f>'상담(남)'!D56</f>
        <v>220</v>
      </c>
      <c r="E56" s="357">
        <f>'상담(남)'!E56</f>
        <v>160</v>
      </c>
      <c r="F56" s="282">
        <f t="shared" si="0"/>
        <v>80</v>
      </c>
      <c r="G56" s="266">
        <f>'상담(남)'!G56</f>
        <v>700</v>
      </c>
      <c r="H56" s="279">
        <f>'상담(남)'!H56</f>
        <v>1000</v>
      </c>
      <c r="I56" s="280">
        <f>'상담(남)'!I56</f>
        <v>848</v>
      </c>
      <c r="J56" s="281">
        <f>'상담(남)'!J56</f>
        <v>808</v>
      </c>
      <c r="K56" s="414">
        <f>'상담(남)'!K56</f>
        <v>12</v>
      </c>
      <c r="L56" s="136">
        <f>'상담(남)'!L56</f>
        <v>10</v>
      </c>
      <c r="M56" s="484">
        <f>'상담(남)'!M56</f>
        <v>21</v>
      </c>
      <c r="N56" s="484">
        <f>'상담(남)'!N56</f>
        <v>25</v>
      </c>
      <c r="O56" s="413">
        <f>'상담(남)'!O56</f>
        <v>35</v>
      </c>
      <c r="P56" s="136">
        <f>'상담(남)'!P56</f>
        <v>67</v>
      </c>
      <c r="Q56" s="484">
        <f>'상담(남)'!Q56</f>
        <v>71</v>
      </c>
      <c r="R56" s="484">
        <f>'상담(남)'!R56</f>
        <v>78</v>
      </c>
      <c r="S56" s="505" t="str">
        <f>'상담(남)'!S56</f>
        <v>5.20</v>
      </c>
      <c r="T56" s="506" t="str">
        <f>'상담(남)'!T56</f>
        <v>4.86</v>
      </c>
      <c r="U56" s="221" t="str">
        <f>'상담(남)'!U56</f>
        <v>경쟁률과 컷라인 민감</v>
      </c>
    </row>
    <row r="57" spans="1:22" ht="29.25" customHeight="1" thickBot="1">
      <c r="A57" s="261" t="str">
        <f>'상담(남)'!A57</f>
        <v>충남</v>
      </c>
      <c r="B57" s="175" t="str">
        <f>'상담(남)'!B57</f>
        <v>중부대 특수체육교육</v>
      </c>
      <c r="C57" s="278">
        <f>'상담(남)'!C57</f>
        <v>600</v>
      </c>
      <c r="D57" s="266">
        <f>'상담(남)'!D57</f>
        <v>280</v>
      </c>
      <c r="E57" s="357">
        <f>'상담(남)'!E57</f>
        <v>225</v>
      </c>
      <c r="F57" s="282">
        <f t="shared" si="0"/>
        <v>320</v>
      </c>
      <c r="G57" s="266">
        <f>'상담(남)'!G57</f>
        <v>700</v>
      </c>
      <c r="H57" s="279">
        <f>'상담(남)'!H57</f>
        <v>1300</v>
      </c>
      <c r="I57" s="280">
        <f>'상담(남)'!I57</f>
        <v>955</v>
      </c>
      <c r="J57" s="281">
        <f>'상담(남)'!J57</f>
        <v>925</v>
      </c>
      <c r="K57" s="414">
        <f>'상담(남)'!K57</f>
        <v>18</v>
      </c>
      <c r="L57" s="136">
        <f>'상담(남)'!L57</f>
        <v>18</v>
      </c>
      <c r="M57" s="484">
        <f>'상담(남)'!M57</f>
        <v>18</v>
      </c>
      <c r="N57" s="484">
        <f>'상담(남)'!N57</f>
        <v>18</v>
      </c>
      <c r="O57" s="413">
        <f>'상담(남)'!O57</f>
        <v>31</v>
      </c>
      <c r="P57" s="136">
        <f>'상담(남)'!P57</f>
        <v>35</v>
      </c>
      <c r="Q57" s="484">
        <f>'상담(남)'!Q57</f>
        <v>44</v>
      </c>
      <c r="R57" s="484">
        <f>'상담(남)'!R57</f>
        <v>29</v>
      </c>
      <c r="S57" s="505" t="str">
        <f>'상담(남)'!S57</f>
        <v>7.44</v>
      </c>
      <c r="T57" s="506" t="str">
        <f>'상담(남)'!T57</f>
        <v>8.67</v>
      </c>
      <c r="U57" s="221" t="str">
        <f>'상담(남)'!U57</f>
        <v>.</v>
      </c>
    </row>
    <row r="58" spans="1:22" ht="29.25" hidden="1" customHeight="1">
      <c r="A58" s="261" t="str">
        <f>'상담(남)'!A58</f>
        <v>충북</v>
      </c>
      <c r="B58" s="175" t="str">
        <f>'상담(남)'!B58</f>
        <v>중원대 스포츠경영학부</v>
      </c>
      <c r="C58" s="278">
        <f>'상담(남)'!C58</f>
        <v>200</v>
      </c>
      <c r="D58" s="266">
        <f>'상담(남)'!D58</f>
        <v>134</v>
      </c>
      <c r="E58" s="357">
        <f>'상담(남)'!E58</f>
        <v>104</v>
      </c>
      <c r="F58" s="282">
        <f t="shared" si="0"/>
        <v>66</v>
      </c>
      <c r="G58" s="266">
        <f>'상담(남)'!G58</f>
        <v>800</v>
      </c>
      <c r="H58" s="279">
        <f>'상담(남)'!H58</f>
        <v>1000</v>
      </c>
      <c r="I58" s="280">
        <f>'상담(남)'!I58</f>
        <v>0</v>
      </c>
      <c r="J58" s="281">
        <f>'상담(남)'!J58</f>
        <v>0</v>
      </c>
      <c r="K58" s="414" t="str">
        <f>'상담(남)'!K58</f>
        <v>-</v>
      </c>
      <c r="L58" s="136">
        <f>'상담(남)'!L58</f>
        <v>19</v>
      </c>
      <c r="M58" s="484">
        <f>'상담(남)'!M58</f>
        <v>15</v>
      </c>
      <c r="N58" s="484">
        <f>'상담(남)'!N58</f>
        <v>15</v>
      </c>
      <c r="O58" s="413">
        <f>'상담(남)'!O58</f>
        <v>0</v>
      </c>
      <c r="P58" s="136" t="str">
        <f>'상담(남)'!P58</f>
        <v>-</v>
      </c>
      <c r="Q58" s="484">
        <f>'상담(남)'!Q58</f>
        <v>19</v>
      </c>
      <c r="R58" s="484">
        <f>'상담(남)'!R58</f>
        <v>79</v>
      </c>
      <c r="S58" s="505" t="str">
        <f>'상담(남)'!S58</f>
        <v>1.79</v>
      </c>
      <c r="T58" s="506" t="str">
        <f>'상담(남)'!T58</f>
        <v>3.6</v>
      </c>
      <c r="U58" s="221" t="str">
        <f>'상담(남)'!U58</f>
        <v>미선발</v>
      </c>
    </row>
    <row r="59" spans="1:22" ht="29.25" customHeight="1" thickBot="1">
      <c r="A59" s="261" t="str">
        <f>'상담(남)'!A59</f>
        <v>충북</v>
      </c>
      <c r="B59" s="175" t="str">
        <f>'상담(남)'!B59</f>
        <v>한국교통대 스포츠의학</v>
      </c>
      <c r="C59" s="278">
        <f>'상담(남)'!C59</f>
        <v>600</v>
      </c>
      <c r="D59" s="266">
        <f>'상담(남)'!D59</f>
        <v>561</v>
      </c>
      <c r="E59" s="357">
        <f>'상담(남)'!E59</f>
        <v>500</v>
      </c>
      <c r="F59" s="282">
        <f t="shared" si="0"/>
        <v>39</v>
      </c>
      <c r="G59" s="266">
        <f>'상담(남)'!G59</f>
        <v>400</v>
      </c>
      <c r="H59" s="279">
        <f>'상담(남)'!H59</f>
        <v>1000</v>
      </c>
      <c r="I59" s="280">
        <f>'상담(남)'!I59</f>
        <v>931</v>
      </c>
      <c r="J59" s="281">
        <f>'상담(남)'!J59</f>
        <v>900</v>
      </c>
      <c r="K59" s="414">
        <f>'상담(남)'!K59</f>
        <v>13</v>
      </c>
      <c r="L59" s="136">
        <f>'상담(남)'!L59</f>
        <v>13</v>
      </c>
      <c r="M59" s="484">
        <f>'상담(남)'!M59</f>
        <v>13</v>
      </c>
      <c r="N59" s="484">
        <f>'상담(남)'!N59</f>
        <v>27</v>
      </c>
      <c r="O59" s="413">
        <f>'상담(남)'!O59</f>
        <v>10</v>
      </c>
      <c r="P59" s="136">
        <f>'상담(남)'!P59</f>
        <v>10</v>
      </c>
      <c r="Q59" s="484">
        <f>'상담(남)'!Q59</f>
        <v>34</v>
      </c>
      <c r="R59" s="484">
        <f>'상담(남)'!R59</f>
        <v>28</v>
      </c>
      <c r="S59" s="505" t="str">
        <f>'상담(남)'!S59</f>
        <v>5.54</v>
      </c>
      <c r="T59" s="506" t="str">
        <f>'상담(남)'!T59</f>
        <v>7.69</v>
      </c>
      <c r="U59" s="221" t="str">
        <f>'상담(남)'!U59</f>
        <v>.</v>
      </c>
    </row>
    <row r="60" spans="1:22" s="5" customFormat="1" ht="29.25" customHeight="1" thickBot="1">
      <c r="A60" s="261" t="str">
        <f>'상담(남)'!A60</f>
        <v>충북</v>
      </c>
      <c r="B60" s="175" t="str">
        <f>'상담(남)'!B60</f>
        <v>한국교통대 스포츠산업</v>
      </c>
      <c r="C60" s="278">
        <f>'상담(남)'!C60</f>
        <v>270</v>
      </c>
      <c r="D60" s="266">
        <f>'상담(남)'!D60</f>
        <v>232</v>
      </c>
      <c r="E60" s="357">
        <f>'상담(남)'!E60</f>
        <v>195</v>
      </c>
      <c r="F60" s="282">
        <f t="shared" si="0"/>
        <v>38</v>
      </c>
      <c r="G60" s="266">
        <f>'상담(남)'!G60</f>
        <v>700</v>
      </c>
      <c r="H60" s="279">
        <f>'상담(남)'!H60</f>
        <v>970</v>
      </c>
      <c r="I60" s="280">
        <f>'상담(남)'!I60</f>
        <v>897</v>
      </c>
      <c r="J60" s="281">
        <f>'상담(남)'!J60</f>
        <v>875</v>
      </c>
      <c r="K60" s="414">
        <f>'상담(남)'!K60</f>
        <v>10</v>
      </c>
      <c r="L60" s="136">
        <f>'상담(남)'!L60</f>
        <v>10</v>
      </c>
      <c r="M60" s="484">
        <f>'상담(남)'!M60</f>
        <v>11</v>
      </c>
      <c r="N60" s="484" t="str">
        <f>'상담(남)'!N60</f>
        <v>_</v>
      </c>
      <c r="O60" s="413">
        <f>'상담(남)'!O60</f>
        <v>10</v>
      </c>
      <c r="P60" s="136">
        <f>'상담(남)'!P60</f>
        <v>10</v>
      </c>
      <c r="Q60" s="484" t="str">
        <f>'상담(남)'!Q60</f>
        <v>_</v>
      </c>
      <c r="R60" s="484" t="str">
        <f>'상담(남)'!R60</f>
        <v>_</v>
      </c>
      <c r="S60" s="505" t="str">
        <f>'상담(남)'!S60</f>
        <v>9.60</v>
      </c>
      <c r="T60" s="506" t="str">
        <f>'상담(남)'!T60</f>
        <v>4.91</v>
      </c>
      <c r="U60" s="221" t="str">
        <f>'상담(남)'!U60</f>
        <v>.</v>
      </c>
      <c r="V60" s="6"/>
    </row>
    <row r="61" spans="1:22" ht="29.25" customHeight="1" thickBot="1">
      <c r="A61" s="261" t="str">
        <f>'상담(남)'!A61</f>
        <v>대전</v>
      </c>
      <c r="B61" s="175" t="str">
        <f>'상담(남)'!B61</f>
        <v>한남대 스포츠과학</v>
      </c>
      <c r="C61" s="278">
        <f>'상담(남)'!C61</f>
        <v>400</v>
      </c>
      <c r="D61" s="266">
        <f>'상담(남)'!D61</f>
        <v>352</v>
      </c>
      <c r="E61" s="357">
        <f>'상담(남)'!E61</f>
        <v>312</v>
      </c>
      <c r="F61" s="282">
        <f t="shared" si="0"/>
        <v>48</v>
      </c>
      <c r="G61" s="266">
        <f>'상담(남)'!G61</f>
        <v>600</v>
      </c>
      <c r="H61" s="279">
        <f>'상담(남)'!H61</f>
        <v>1000</v>
      </c>
      <c r="I61" s="280">
        <f>'상담(남)'!I61</f>
        <v>940</v>
      </c>
      <c r="J61" s="281">
        <f>'상담(남)'!J61</f>
        <v>912</v>
      </c>
      <c r="K61" s="414">
        <f>'상담(남)'!K61</f>
        <v>30</v>
      </c>
      <c r="L61" s="136">
        <f>'상담(남)'!L61</f>
        <v>30</v>
      </c>
      <c r="M61" s="484">
        <f>'상담(남)'!M61</f>
        <v>30</v>
      </c>
      <c r="N61" s="484">
        <f>'상담(남)'!N61</f>
        <v>30</v>
      </c>
      <c r="O61" s="413">
        <f>'상담(남)'!O61</f>
        <v>31</v>
      </c>
      <c r="P61" s="136">
        <f>'상담(남)'!P61</f>
        <v>55</v>
      </c>
      <c r="Q61" s="484">
        <f>'상담(남)'!Q61</f>
        <v>15</v>
      </c>
      <c r="R61" s="484">
        <f>'상담(남)'!R61</f>
        <v>18</v>
      </c>
      <c r="S61" s="505" t="str">
        <f>'상담(남)'!S61</f>
        <v>7.53</v>
      </c>
      <c r="T61" s="506" t="str">
        <f>'상담(남)'!T61</f>
        <v>7.23</v>
      </c>
      <c r="U61" s="221" t="str">
        <f>'상담(남)'!U61</f>
        <v>.</v>
      </c>
    </row>
    <row r="62" spans="1:22" ht="29.25" customHeight="1" thickBot="1">
      <c r="A62" s="261" t="str">
        <f>'상담(남)'!A62</f>
        <v>충남</v>
      </c>
      <c r="B62" s="175" t="str">
        <f>'상담(남)'!B62</f>
        <v>한서대 경호비서</v>
      </c>
      <c r="C62" s="278">
        <f>'상담(남)'!C62</f>
        <v>200</v>
      </c>
      <c r="D62" s="266">
        <f>'상담(남)'!D62</f>
        <v>165</v>
      </c>
      <c r="E62" s="357">
        <f>'상담(남)'!E62</f>
        <v>100</v>
      </c>
      <c r="F62" s="282">
        <f t="shared" si="0"/>
        <v>35</v>
      </c>
      <c r="G62" s="266">
        <f>'상담(남)'!G62</f>
        <v>500</v>
      </c>
      <c r="H62" s="279">
        <f>'상담(남)'!H62</f>
        <v>700</v>
      </c>
      <c r="I62" s="280">
        <f>'상담(남)'!I62</f>
        <v>580</v>
      </c>
      <c r="J62" s="281">
        <f>'상담(남)'!J62</f>
        <v>490</v>
      </c>
      <c r="K62" s="414">
        <f>'상담(남)'!K62</f>
        <v>25</v>
      </c>
      <c r="L62" s="136">
        <f>'상담(남)'!L62</f>
        <v>25</v>
      </c>
      <c r="M62" s="484">
        <f>'상담(남)'!M62</f>
        <v>20</v>
      </c>
      <c r="N62" s="484">
        <f>'상담(남)'!N62</f>
        <v>20</v>
      </c>
      <c r="O62" s="413">
        <f>'상담(남)'!O62</f>
        <v>15</v>
      </c>
      <c r="P62" s="136">
        <f>'상담(남)'!P62</f>
        <v>26</v>
      </c>
      <c r="Q62" s="484">
        <f>'상담(남)'!Q62</f>
        <v>21</v>
      </c>
      <c r="R62" s="484">
        <f>'상담(남)'!R62</f>
        <v>30</v>
      </c>
      <c r="S62" s="505" t="str">
        <f>'상담(남)'!S62</f>
        <v>2.04</v>
      </c>
      <c r="T62" s="506" t="str">
        <f>'상담(남)'!T62</f>
        <v>2.75</v>
      </c>
      <c r="U62" s="221" t="str">
        <f>'상담(남)'!U62</f>
        <v>면접 제외 점수 면접 중요</v>
      </c>
    </row>
    <row r="63" spans="1:22" ht="29.25" customHeight="1" thickBot="1">
      <c r="A63" s="261" t="str">
        <f>'상담(남)'!A63</f>
        <v>충남</v>
      </c>
      <c r="B63" s="175" t="str">
        <f>'상담(남)'!B63</f>
        <v>한서대 레저해양스포츠</v>
      </c>
      <c r="C63" s="278">
        <f>'상담(남)'!C63</f>
        <v>200</v>
      </c>
      <c r="D63" s="266">
        <f>'상담(남)'!D63</f>
        <v>170</v>
      </c>
      <c r="E63" s="357">
        <f>'상담(남)'!E63</f>
        <v>100</v>
      </c>
      <c r="F63" s="282">
        <f t="shared" si="0"/>
        <v>30</v>
      </c>
      <c r="G63" s="266">
        <f>'상담(남)'!G63</f>
        <v>800</v>
      </c>
      <c r="H63" s="279">
        <f>'상담(남)'!H63</f>
        <v>1000</v>
      </c>
      <c r="I63" s="280">
        <f>'상담(남)'!I63</f>
        <v>880</v>
      </c>
      <c r="J63" s="281">
        <f>'상담(남)'!J63</f>
        <v>745</v>
      </c>
      <c r="K63" s="414">
        <f>'상담(남)'!K63</f>
        <v>45</v>
      </c>
      <c r="L63" s="136">
        <f>'상담(남)'!L63</f>
        <v>45</v>
      </c>
      <c r="M63" s="484">
        <f>'상담(남)'!M63</f>
        <v>40</v>
      </c>
      <c r="N63" s="484">
        <f>'상담(남)'!N63</f>
        <v>45</v>
      </c>
      <c r="O63" s="413">
        <f>'상담(남)'!O63</f>
        <v>72</v>
      </c>
      <c r="P63" s="136">
        <f>'상담(남)'!P63</f>
        <v>76</v>
      </c>
      <c r="Q63" s="484">
        <f>'상담(남)'!Q63</f>
        <v>53</v>
      </c>
      <c r="R63" s="484">
        <f>'상담(남)'!R63</f>
        <v>72</v>
      </c>
      <c r="S63" s="505" t="str">
        <f>'상담(남)'!S63</f>
        <v>2.78</v>
      </c>
      <c r="T63" s="506" t="str">
        <f>'상담(남)'!T63</f>
        <v>2.98</v>
      </c>
      <c r="U63" s="221" t="str">
        <f>'상담(남)'!U63</f>
        <v>경쟁률과 컷라인 민감</v>
      </c>
    </row>
    <row r="64" spans="1:22" ht="29.25" customHeight="1" thickBot="1">
      <c r="A64" s="261" t="str">
        <f>'상담(남)'!A64</f>
        <v>경기</v>
      </c>
      <c r="B64" s="175" t="str">
        <f>'상담(남)'!B64</f>
        <v>한신대 특수체육</v>
      </c>
      <c r="C64" s="278">
        <f>'상담(남)'!C64</f>
        <v>600</v>
      </c>
      <c r="D64" s="266">
        <f>'상담(남)'!D64</f>
        <v>583</v>
      </c>
      <c r="E64" s="357">
        <f>'상담(남)'!E64</f>
        <v>573</v>
      </c>
      <c r="F64" s="282">
        <f t="shared" si="0"/>
        <v>17</v>
      </c>
      <c r="G64" s="266">
        <f>'상담(남)'!G64</f>
        <v>400</v>
      </c>
      <c r="H64" s="279">
        <f>'상담(남)'!H64</f>
        <v>1000</v>
      </c>
      <c r="I64" s="280">
        <f>'상담(남)'!I64</f>
        <v>980</v>
      </c>
      <c r="J64" s="281">
        <f>'상담(남)'!J64</f>
        <v>973</v>
      </c>
      <c r="K64" s="414">
        <f>'상담(남)'!K64</f>
        <v>22</v>
      </c>
      <c r="L64" s="136">
        <f>'상담(남)'!L64</f>
        <v>22</v>
      </c>
      <c r="M64" s="484">
        <f>'상담(남)'!M64</f>
        <v>22</v>
      </c>
      <c r="N64" s="484">
        <f>'상담(남)'!N64</f>
        <v>22</v>
      </c>
      <c r="O64" s="413">
        <f>'상담(남)'!O64</f>
        <v>27</v>
      </c>
      <c r="P64" s="136">
        <f>'상담(남)'!P64</f>
        <v>17</v>
      </c>
      <c r="Q64" s="484">
        <f>'상담(남)'!Q64</f>
        <v>30</v>
      </c>
      <c r="R64" s="484">
        <f>'상담(남)'!R64</f>
        <v>17</v>
      </c>
      <c r="S64" s="505" t="str">
        <f>'상담(남)'!S64</f>
        <v>19.95</v>
      </c>
      <c r="T64" s="506" t="str">
        <f>'상담(남)'!T64</f>
        <v>15.09</v>
      </c>
      <c r="U64" s="221" t="str">
        <f>'상담(남)'!U64</f>
        <v>남자 만점 기준 강화 여자 만점 기준 완화</v>
      </c>
    </row>
    <row r="65" spans="1:21" ht="29.25" hidden="1" customHeight="1">
      <c r="A65" s="261" t="str">
        <f>'상담(남)'!A65</f>
        <v>경기</v>
      </c>
      <c r="B65" s="175" t="str">
        <f>'상담(남)'!B65</f>
        <v>한양대(에) 스포츠과학</v>
      </c>
      <c r="C65" s="278">
        <f>'상담(남)'!C65</f>
        <v>0</v>
      </c>
      <c r="D65" s="266">
        <f>'상담(남)'!D65</f>
        <v>0</v>
      </c>
      <c r="E65" s="357">
        <f>'상담(남)'!E65</f>
        <v>0</v>
      </c>
      <c r="F65" s="282">
        <f t="shared" si="0"/>
        <v>0</v>
      </c>
      <c r="G65" s="266">
        <f>'상담(남)'!G65</f>
        <v>400</v>
      </c>
      <c r="H65" s="279">
        <f>'상담(남)'!H65</f>
        <v>400</v>
      </c>
      <c r="I65" s="280">
        <f>'상담(남)'!I65</f>
        <v>0</v>
      </c>
      <c r="J65" s="281">
        <f>'상담(남)'!J65</f>
        <v>0</v>
      </c>
      <c r="K65" s="414" t="str">
        <f>'상담(남)'!K65</f>
        <v>미선발</v>
      </c>
      <c r="L65" s="136">
        <f>'상담(남)'!L65</f>
        <v>32</v>
      </c>
      <c r="M65" s="484">
        <f>'상담(남)'!M65</f>
        <v>15</v>
      </c>
      <c r="N65" s="484">
        <f>'상담(남)'!N65</f>
        <v>15</v>
      </c>
      <c r="O65" s="413">
        <f>'상담(남)'!O65</f>
        <v>0</v>
      </c>
      <c r="P65" s="136">
        <f>'상담(남)'!P65</f>
        <v>2</v>
      </c>
      <c r="Q65" s="484">
        <f>'상담(남)'!Q65</f>
        <v>1</v>
      </c>
      <c r="R65" s="484">
        <f>'상담(남)'!R65</f>
        <v>0</v>
      </c>
      <c r="S65" s="505" t="str">
        <f>'상담(남)'!S65</f>
        <v>146.07</v>
      </c>
      <c r="T65" s="506" t="str">
        <f>'상담(남)'!T65</f>
        <v>115.73</v>
      </c>
      <c r="U65" s="221" t="str">
        <f>'상담(남)'!U65</f>
        <v>전형 폐지</v>
      </c>
    </row>
    <row r="66" spans="1:21" ht="29.25" customHeight="1" thickBot="1">
      <c r="A66" s="261" t="str">
        <f>'상담(남)'!A66</f>
        <v>충남</v>
      </c>
      <c r="B66" s="175" t="str">
        <f>'상담(남)'!B66</f>
        <v>호서대 사회체육</v>
      </c>
      <c r="C66" s="278">
        <f>'상담(남)'!C66</f>
        <v>200</v>
      </c>
      <c r="D66" s="266">
        <f>'상담(남)'!D66</f>
        <v>156</v>
      </c>
      <c r="E66" s="357">
        <f>'상담(남)'!E66</f>
        <v>124</v>
      </c>
      <c r="F66" s="282">
        <f t="shared" si="0"/>
        <v>44</v>
      </c>
      <c r="G66" s="266">
        <f>'상담(남)'!G66</f>
        <v>800</v>
      </c>
      <c r="H66" s="279">
        <f>'상담(남)'!H66</f>
        <v>1000</v>
      </c>
      <c r="I66" s="280">
        <f>'상담(남)'!I66</f>
        <v>940</v>
      </c>
      <c r="J66" s="281">
        <f>'상담(남)'!J66</f>
        <v>924</v>
      </c>
      <c r="K66" s="414">
        <f>'상담(남)'!K66</f>
        <v>19</v>
      </c>
      <c r="L66" s="136">
        <f>'상담(남)'!L66</f>
        <v>19</v>
      </c>
      <c r="M66" s="484">
        <f>'상담(남)'!M66</f>
        <v>19</v>
      </c>
      <c r="N66" s="484">
        <f>'상담(남)'!N66</f>
        <v>19</v>
      </c>
      <c r="O66" s="413">
        <f>'상담(남)'!O66</f>
        <v>37</v>
      </c>
      <c r="P66" s="136">
        <f>'상담(남)'!P66</f>
        <v>64</v>
      </c>
      <c r="Q66" s="484">
        <f>'상담(남)'!Q66</f>
        <v>27</v>
      </c>
      <c r="R66" s="484">
        <f>'상담(남)'!R66</f>
        <v>30</v>
      </c>
      <c r="S66" s="505" t="str">
        <f>'상담(남)'!S66</f>
        <v>24.53</v>
      </c>
      <c r="T66" s="506" t="str">
        <f>'상담(남)'!T66</f>
        <v>15.09</v>
      </c>
      <c r="U66" s="221" t="str">
        <f>'상담(남)'!U66</f>
        <v>경쟁률과 컷라인 민감</v>
      </c>
    </row>
    <row r="67" spans="1:21" ht="29.25" customHeight="1" thickBot="1">
      <c r="A67" s="261" t="str">
        <f>'상담(남)'!A68</f>
        <v>서울</v>
      </c>
      <c r="B67" s="175" t="str">
        <f>'상담(남)'!B68</f>
        <v>한국체대 노인체육복지</v>
      </c>
      <c r="C67" s="278">
        <f>'상담(남)'!C68</f>
        <v>800</v>
      </c>
      <c r="D67" s="266">
        <f>'상담(남)'!D68</f>
        <v>991.03</v>
      </c>
      <c r="E67" s="357">
        <f>'상담(남)'!E68</f>
        <v>989.5</v>
      </c>
      <c r="F67" s="282">
        <f t="shared" si="0"/>
        <v>-191.02999999999997</v>
      </c>
      <c r="G67" s="266">
        <f>'상담(남)'!G68</f>
        <v>200</v>
      </c>
      <c r="H67" s="279"/>
      <c r="I67" s="280">
        <f>'상담(남)'!I68</f>
        <v>173.68</v>
      </c>
      <c r="J67" s="281">
        <f>'상담(남)'!J68</f>
        <v>157.88999999999999</v>
      </c>
      <c r="K67" s="414">
        <f>'상담(남)'!K68</f>
        <v>7</v>
      </c>
      <c r="L67" s="136">
        <f>'상담(남)'!L68</f>
        <v>7</v>
      </c>
      <c r="M67" s="484">
        <f>'상담(남)'!M68</f>
        <v>7</v>
      </c>
      <c r="N67" s="484">
        <f>'상담(남)'!N68</f>
        <v>7</v>
      </c>
      <c r="O67" s="413">
        <f>'상담(남)'!O68</f>
        <v>0</v>
      </c>
      <c r="P67" s="136">
        <f>'상담(남)'!P68</f>
        <v>0</v>
      </c>
      <c r="Q67" s="115" t="str">
        <f>'상담(남)'!Q68</f>
        <v>_</v>
      </c>
      <c r="R67" s="359" t="str">
        <f>'상담(남)'!R68</f>
        <v>_</v>
      </c>
      <c r="S67" s="405" t="str">
        <f>'상담(남)'!S68</f>
        <v>9.57</v>
      </c>
      <c r="T67" s="506" t="str">
        <f>'상담(남)'!T68</f>
        <v>13.14</v>
      </c>
      <c r="U67" s="221" t="str">
        <f>'상담(남)'!U68</f>
        <v>.</v>
      </c>
    </row>
    <row r="68" spans="1:21" ht="29.25" customHeight="1" thickBot="1">
      <c r="A68" s="261" t="str">
        <f>'상담(남)'!A69</f>
        <v>서울</v>
      </c>
      <c r="B68" s="175" t="str">
        <f>'상담(남)'!B69</f>
        <v>한국체대 스포츠산업</v>
      </c>
      <c r="C68" s="278">
        <f>'상담(남)'!C69</f>
        <v>1000</v>
      </c>
      <c r="D68" s="266">
        <f>'상담(남)'!D69</f>
        <v>991.2</v>
      </c>
      <c r="E68" s="357">
        <f>'상담(남)'!E69</f>
        <v>989.4</v>
      </c>
      <c r="F68" s="282">
        <f t="shared" si="0"/>
        <v>8.7999999999999545</v>
      </c>
      <c r="G68" s="266">
        <f>'상담(남)'!G69</f>
        <v>300</v>
      </c>
      <c r="H68" s="279"/>
      <c r="I68" s="280">
        <f>'상담(남)'!I69</f>
        <v>175.96</v>
      </c>
      <c r="J68" s="281">
        <f>'상담(남)'!J69</f>
        <v>157.02000000000001</v>
      </c>
      <c r="K68" s="414">
        <f>'상담(남)'!K69</f>
        <v>5</v>
      </c>
      <c r="L68" s="136">
        <f>'상담(남)'!L69</f>
        <v>10</v>
      </c>
      <c r="M68" s="484">
        <f>'상담(남)'!M69</f>
        <v>10</v>
      </c>
      <c r="N68" s="484">
        <f>'상담(남)'!N69</f>
        <v>10</v>
      </c>
      <c r="O68" s="413">
        <f>'상담(남)'!O69</f>
        <v>3</v>
      </c>
      <c r="P68" s="136">
        <f>'상담(남)'!P69</f>
        <v>1</v>
      </c>
      <c r="Q68" s="137" t="str">
        <f>'상담(남)'!Q69</f>
        <v>_</v>
      </c>
      <c r="R68" s="359" t="str">
        <f>'상담(남)'!R69</f>
        <v>_</v>
      </c>
      <c r="S68" s="405" t="str">
        <f>'상담(남)'!S69</f>
        <v>19.60</v>
      </c>
      <c r="T68" s="506" t="str">
        <f>'상담(남)'!T69</f>
        <v>21.0</v>
      </c>
      <c r="U68" s="221" t="str">
        <f>'상담(남)'!U69</f>
        <v>.</v>
      </c>
    </row>
    <row r="69" spans="1:21" ht="29.25" customHeight="1" thickBot="1">
      <c r="A69" s="261" t="str">
        <f>'상담(남)'!A70</f>
        <v>서울</v>
      </c>
      <c r="B69" s="175" t="str">
        <f>'상담(남)'!B70</f>
        <v>한국체대 사회체육</v>
      </c>
      <c r="C69" s="278">
        <f>'상담(남)'!C70</f>
        <v>1000</v>
      </c>
      <c r="D69" s="266">
        <f>'상담(남)'!D70</f>
        <v>990.32</v>
      </c>
      <c r="E69" s="357">
        <f>'상담(남)'!E70</f>
        <v>988.85</v>
      </c>
      <c r="F69" s="282">
        <f t="shared" si="0"/>
        <v>9.67999999999995</v>
      </c>
      <c r="G69" s="266">
        <f>'상담(남)'!G70</f>
        <v>400</v>
      </c>
      <c r="H69" s="279"/>
      <c r="I69" s="280">
        <f>'상담(남)'!I70</f>
        <v>355.95</v>
      </c>
      <c r="J69" s="281">
        <f>'상담(남)'!J70</f>
        <v>311.18</v>
      </c>
      <c r="K69" s="414">
        <f>'상담(남)'!K70</f>
        <v>10</v>
      </c>
      <c r="L69" s="136">
        <f>'상담(남)'!L70</f>
        <v>5</v>
      </c>
      <c r="M69" s="484">
        <f>'상담(남)'!M70</f>
        <v>5</v>
      </c>
      <c r="N69" s="484">
        <f>'상담(남)'!N70</f>
        <v>5</v>
      </c>
      <c r="O69" s="413">
        <f>'상담(남)'!O70</f>
        <v>0</v>
      </c>
      <c r="P69" s="136">
        <f>'상담(남)'!P70</f>
        <v>2</v>
      </c>
      <c r="Q69" s="137" t="str">
        <f>'상담(남)'!Q70</f>
        <v>_</v>
      </c>
      <c r="R69" s="359" t="str">
        <f>'상담(남)'!R70</f>
        <v>_</v>
      </c>
      <c r="S69" s="405" t="str">
        <f>'상담(남)'!S70</f>
        <v>13.20</v>
      </c>
      <c r="T69" s="506" t="str">
        <f>'상담(남)'!T70</f>
        <v>11.6</v>
      </c>
      <c r="U69" s="221" t="str">
        <f>'상담(남)'!U70</f>
        <v>.</v>
      </c>
    </row>
    <row r="70" spans="1:21" ht="29.25" customHeight="1" thickBot="1">
      <c r="A70" s="261" t="str">
        <f>'상담(남)'!A71</f>
        <v>서울</v>
      </c>
      <c r="B70" s="175" t="str">
        <f>'상담(남)'!B71</f>
        <v>한국체대 스포츠청소년지도</v>
      </c>
      <c r="C70" s="278">
        <f>'상담(남)'!C71</f>
        <v>999</v>
      </c>
      <c r="D70" s="266">
        <f>'상담(남)'!D71</f>
        <v>991.45</v>
      </c>
      <c r="E70" s="357">
        <f>'상담(남)'!E71</f>
        <v>990.15</v>
      </c>
      <c r="F70" s="282">
        <f t="shared" si="0"/>
        <v>7.5499999999999545</v>
      </c>
      <c r="G70" s="266">
        <f>'상담(남)'!G71</f>
        <v>200</v>
      </c>
      <c r="H70" s="279"/>
      <c r="I70" s="280">
        <f>'상담(남)'!I71</f>
        <v>169.86</v>
      </c>
      <c r="J70" s="281">
        <f>'상담(남)'!J71</f>
        <v>145.62</v>
      </c>
      <c r="K70" s="414">
        <f>'상담(남)'!K71</f>
        <v>11</v>
      </c>
      <c r="L70" s="136">
        <f>'상담(남)'!L71</f>
        <v>11</v>
      </c>
      <c r="M70" s="484">
        <f>'상담(남)'!M71</f>
        <v>11</v>
      </c>
      <c r="N70" s="484">
        <f>'상담(남)'!N71</f>
        <v>11</v>
      </c>
      <c r="O70" s="413">
        <f>'상담(남)'!O71</f>
        <v>5</v>
      </c>
      <c r="P70" s="136">
        <f>'상담(남)'!P71</f>
        <v>0</v>
      </c>
      <c r="Q70" s="137" t="str">
        <f>'상담(남)'!Q71</f>
        <v>_</v>
      </c>
      <c r="R70" s="359" t="str">
        <f>'상담(남)'!R71</f>
        <v>_</v>
      </c>
      <c r="S70" s="405" t="str">
        <f>'상담(남)'!S71</f>
        <v>10.45</v>
      </c>
      <c r="T70" s="506" t="str">
        <f>'상담(남)'!T71</f>
        <v>13.0</v>
      </c>
      <c r="U70" s="221" t="str">
        <f>'상담(남)'!U71</f>
        <v>.</v>
      </c>
    </row>
    <row r="71" spans="1:21" ht="29.25" customHeight="1" thickBot="1">
      <c r="A71" s="261" t="str">
        <f>'상담(남)'!A72</f>
        <v>서울</v>
      </c>
      <c r="B71" s="175" t="str">
        <f>'상담(남)'!B72</f>
        <v>한국체대 운동건강</v>
      </c>
      <c r="C71" s="278">
        <f>'상담(남)'!C72</f>
        <v>990</v>
      </c>
      <c r="D71" s="266">
        <f>'상담(남)'!D72</f>
        <v>995.31</v>
      </c>
      <c r="E71" s="357">
        <f>'상담(남)'!E72</f>
        <v>992.85</v>
      </c>
      <c r="F71" s="282">
        <f t="shared" si="0"/>
        <v>-5.3099999999999454</v>
      </c>
      <c r="G71" s="266">
        <f>'상담(남)'!G72</f>
        <v>300</v>
      </c>
      <c r="H71" s="279"/>
      <c r="I71" s="280">
        <f>'상담(남)'!I72</f>
        <v>261.95</v>
      </c>
      <c r="J71" s="281">
        <f>'상담(남)'!J72</f>
        <v>242.11</v>
      </c>
      <c r="K71" s="414">
        <f>'상담(남)'!K72</f>
        <v>5</v>
      </c>
      <c r="L71" s="136">
        <f>'상담(남)'!L72</f>
        <v>10</v>
      </c>
      <c r="M71" s="484">
        <f>'상담(남)'!M72</f>
        <v>10</v>
      </c>
      <c r="N71" s="484">
        <f>'상담(남)'!N72</f>
        <v>10</v>
      </c>
      <c r="O71" s="413">
        <f>'상담(남)'!O72</f>
        <v>1</v>
      </c>
      <c r="P71" s="136">
        <f>'상담(남)'!P72</f>
        <v>0</v>
      </c>
      <c r="Q71" s="137" t="str">
        <f>'상담(남)'!Q72</f>
        <v>_</v>
      </c>
      <c r="R71" s="359" t="str">
        <f>'상담(남)'!R72</f>
        <v>_</v>
      </c>
      <c r="S71" s="405" t="str">
        <f>'상담(남)'!S72</f>
        <v>7.70</v>
      </c>
      <c r="T71" s="506" t="str">
        <f>'상담(남)'!T72</f>
        <v>10.5</v>
      </c>
      <c r="U71" s="221" t="str">
        <f>'상담(남)'!U72</f>
        <v>.</v>
      </c>
    </row>
    <row r="72" spans="1:21" ht="29.25" customHeight="1" thickBot="1">
      <c r="A72" s="261" t="str">
        <f>'상담(남)'!A73</f>
        <v>서울</v>
      </c>
      <c r="B72" s="175" t="str">
        <f>'상담(남)'!B73</f>
        <v>한국체대 특수체육교육</v>
      </c>
      <c r="C72" s="278">
        <f>'상담(남)'!C73</f>
        <v>989</v>
      </c>
      <c r="D72" s="266">
        <f>'상담(남)'!D73</f>
        <v>994.61</v>
      </c>
      <c r="E72" s="357">
        <f>'상담(남)'!E73</f>
        <v>992.4</v>
      </c>
      <c r="F72" s="282">
        <f t="shared" si="0"/>
        <v>-5.6100000000000136</v>
      </c>
      <c r="G72" s="266">
        <f>'상담(남)'!G73</f>
        <v>300</v>
      </c>
      <c r="H72" s="279"/>
      <c r="I72" s="280">
        <f>'상담(남)'!I73</f>
        <v>253.05</v>
      </c>
      <c r="J72" s="281">
        <f>'상담(남)'!J73</f>
        <v>226.32</v>
      </c>
      <c r="K72" s="414">
        <f>'상담(남)'!K73</f>
        <v>19</v>
      </c>
      <c r="L72" s="136">
        <f>'상담(남)'!L73</f>
        <v>19</v>
      </c>
      <c r="M72" s="484">
        <f>'상담(남)'!M73</f>
        <v>19</v>
      </c>
      <c r="N72" s="484">
        <f>'상담(남)'!N73</f>
        <v>19</v>
      </c>
      <c r="O72" s="413">
        <f>'상담(남)'!O73</f>
        <v>6</v>
      </c>
      <c r="P72" s="136">
        <f>'상담(남)'!P73</f>
        <v>4</v>
      </c>
      <c r="Q72" s="137" t="str">
        <f>'상담(남)'!Q73</f>
        <v>_</v>
      </c>
      <c r="R72" s="359" t="str">
        <f>'상담(남)'!R73</f>
        <v>_</v>
      </c>
      <c r="S72" s="405" t="str">
        <f>'상담(남)'!S73</f>
        <v>5.21</v>
      </c>
      <c r="T72" s="506" t="str">
        <f>'상담(남)'!T73</f>
        <v>5.63</v>
      </c>
      <c r="U72" s="221" t="str">
        <f>'상담(남)'!U73</f>
        <v>면접 중요</v>
      </c>
    </row>
    <row r="73" spans="1:21" ht="25.5" customHeight="1">
      <c r="B73" s="95"/>
      <c r="C73" s="34"/>
      <c r="D73" s="34"/>
      <c r="E73" s="34"/>
      <c r="F73" s="34"/>
      <c r="G73" s="34"/>
      <c r="H73" s="34"/>
      <c r="I73" s="34"/>
      <c r="J73" s="34"/>
      <c r="K73" s="34"/>
      <c r="S73" s="305"/>
      <c r="T73" s="507"/>
    </row>
    <row r="74" spans="1:21" ht="25.5" customHeight="1">
      <c r="B74" s="95"/>
      <c r="C74" s="34"/>
      <c r="D74" s="34"/>
      <c r="E74" s="34"/>
      <c r="F74" s="34"/>
      <c r="G74" s="34"/>
      <c r="H74" s="34"/>
      <c r="I74" s="34"/>
      <c r="J74" s="34"/>
      <c r="K74" s="34"/>
      <c r="S74" s="305"/>
      <c r="T74" s="507"/>
    </row>
    <row r="75" spans="1:21" ht="25.5" customHeight="1">
      <c r="B75" s="95"/>
      <c r="C75" s="34"/>
      <c r="D75" s="34"/>
      <c r="E75" s="34"/>
      <c r="F75" s="34"/>
      <c r="G75" s="34"/>
      <c r="H75" s="34"/>
      <c r="I75" s="34"/>
      <c r="J75" s="34"/>
      <c r="K75" s="34"/>
      <c r="S75" s="305"/>
      <c r="T75" s="507"/>
    </row>
    <row r="76" spans="1:21" ht="25.5" customHeight="1">
      <c r="B76" s="95"/>
      <c r="C76" s="34"/>
      <c r="D76" s="34"/>
      <c r="E76" s="34"/>
      <c r="F76" s="34"/>
      <c r="G76" s="34"/>
      <c r="H76" s="34"/>
      <c r="I76" s="34"/>
      <c r="J76" s="34"/>
      <c r="K76" s="34"/>
    </row>
    <row r="77" spans="1:21" ht="25.5" customHeight="1">
      <c r="B77" s="95"/>
      <c r="C77" s="34"/>
      <c r="D77" s="34"/>
      <c r="E77" s="34"/>
      <c r="F77" s="34"/>
      <c r="G77" s="34"/>
      <c r="H77" s="34"/>
      <c r="I77" s="34"/>
      <c r="J77" s="34"/>
      <c r="K77" s="34"/>
    </row>
    <row r="78" spans="1:21" ht="25.5" customHeight="1">
      <c r="B78" s="95"/>
      <c r="C78" s="34"/>
      <c r="D78" s="34"/>
      <c r="E78" s="34"/>
      <c r="F78" s="34"/>
      <c r="G78" s="34"/>
      <c r="H78" s="34"/>
      <c r="I78" s="34"/>
      <c r="J78" s="34"/>
      <c r="K78" s="34"/>
    </row>
    <row r="79" spans="1:21" ht="25.5" customHeight="1">
      <c r="B79" s="95"/>
      <c r="C79" s="34"/>
      <c r="D79" s="34"/>
      <c r="E79" s="34"/>
      <c r="F79" s="34"/>
      <c r="G79" s="34"/>
      <c r="H79" s="34"/>
      <c r="I79" s="34"/>
      <c r="J79" s="34"/>
      <c r="K79" s="34"/>
    </row>
    <row r="80" spans="1:21" ht="25.5" customHeight="1">
      <c r="B80" s="95"/>
      <c r="C80" s="34"/>
      <c r="D80" s="34"/>
      <c r="E80" s="34"/>
      <c r="F80" s="34"/>
      <c r="G80" s="34"/>
      <c r="H80" s="34"/>
      <c r="I80" s="34"/>
      <c r="J80" s="34"/>
      <c r="K80" s="34"/>
    </row>
    <row r="81" spans="2:11" ht="25.5" customHeight="1">
      <c r="B81" s="95"/>
      <c r="C81" s="34"/>
      <c r="D81" s="34"/>
      <c r="E81" s="34"/>
      <c r="F81" s="34"/>
      <c r="G81" s="34"/>
      <c r="H81" s="34"/>
      <c r="I81" s="34"/>
      <c r="J81" s="34"/>
      <c r="K81" s="34"/>
    </row>
    <row r="82" spans="2:11" ht="25.5" customHeight="1">
      <c r="B82" s="95"/>
    </row>
    <row r="83" spans="2:11" ht="25.5" customHeight="1">
      <c r="B83" s="95"/>
    </row>
    <row r="84" spans="2:11" ht="25.5" customHeight="1">
      <c r="B84" s="95"/>
    </row>
    <row r="85" spans="2:11" ht="25.5" customHeight="1">
      <c r="B85" s="95"/>
    </row>
    <row r="86" spans="2:11" ht="25.5" customHeight="1">
      <c r="B86" s="95"/>
    </row>
    <row r="87" spans="2:11" ht="25.5" customHeight="1">
      <c r="B87" s="95"/>
    </row>
    <row r="88" spans="2:11" ht="25.5" customHeight="1">
      <c r="B88" s="95"/>
    </row>
    <row r="89" spans="2:11" ht="24" customHeight="1">
      <c r="B89" s="95"/>
    </row>
    <row r="90" spans="2:11" ht="24" customHeight="1">
      <c r="B90" s="95"/>
    </row>
    <row r="91" spans="2:11" ht="21.75" customHeight="1">
      <c r="B91" s="95"/>
    </row>
    <row r="92" spans="2:11" ht="24.75" customHeight="1"/>
  </sheetData>
  <sheetProtection algorithmName="SHA-512" hashValue="LGVPjk/3GhgcjU/UDkeDtl7C8cK+PMv/Rn89GWTM8ss+cwxT3YOovd59yagiGbNk5zmNw0JDrAYkUYWJYcNAVQ==" saltValue="Uo31wDR5l79aQhMwIyIFTw==" spinCount="100000" sheet="1" objects="1" scenarios="1" autoFilter="0"/>
  <autoFilter ref="A4:U66" xr:uid="{00000000-0009-0000-0000-000001000000}"/>
  <mergeCells count="2">
    <mergeCell ref="C2:D2"/>
    <mergeCell ref="E2:G2"/>
  </mergeCells>
  <phoneticPr fontId="81" type="noConversion"/>
  <pageMargins left="0.69972223043441772" right="0.69972223043441772" top="0.75" bottom="0.75" header="0.30000001192092896" footer="0.30000001192092896"/>
  <pageSetup paperSize="9" scale="29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operator="equal" allowBlank="1" showInputMessage="1" showErrorMessage="1" xr:uid="{00000000-0002-0000-0100-000000000000}">
          <x14:formula1>
            <xm:f>'내신(남)'!$E$3:$AAW$3</xm:f>
          </x14:formula1>
          <xm:sqref>E2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6">
    <tabColor rgb="FFF6DFAA"/>
    <pageSetUpPr fitToPage="1"/>
  </sheetPr>
  <dimension ref="A1:W76"/>
  <sheetViews>
    <sheetView view="pageBreakPreview" zoomScale="85" zoomScaleNormal="100" zoomScaleSheetLayoutView="85" workbookViewId="0">
      <pane ySplit="4" topLeftCell="A5" activePane="bottomLeft" state="frozen"/>
      <selection activeCell="B1" sqref="B1:B1048576"/>
      <selection pane="bottomLeft" activeCell="J2" sqref="J2:R2"/>
    </sheetView>
  </sheetViews>
  <sheetFormatPr defaultColWidth="8.75" defaultRowHeight="16.5"/>
  <cols>
    <col min="1" max="1" width="7.25" style="95" customWidth="1"/>
    <col min="2" max="2" width="30.125" style="25" customWidth="1"/>
    <col min="3" max="10" width="13" style="25" customWidth="1"/>
    <col min="11" max="11" width="13" style="292" customWidth="1"/>
    <col min="12" max="13" width="10.25" style="14" customWidth="1"/>
    <col min="14" max="14" width="10.25" style="14" hidden="1" customWidth="1"/>
    <col min="15" max="15" width="10.25" style="292" customWidth="1"/>
    <col min="16" max="16" width="10.25" style="97" customWidth="1"/>
    <col min="17" max="17" width="10.25" style="18" hidden="1" customWidth="1"/>
    <col min="18" max="18" width="10.25" style="25" hidden="1" customWidth="1"/>
    <col min="19" max="20" width="10.25" style="292" customWidth="1"/>
    <col min="21" max="21" width="55.5" style="25" customWidth="1"/>
    <col min="22" max="23" width="8.875" style="25" bestFit="1" customWidth="1"/>
  </cols>
  <sheetData>
    <row r="1" spans="1:22">
      <c r="B1" s="10"/>
      <c r="C1" s="10"/>
      <c r="D1" s="10"/>
      <c r="E1" s="10"/>
      <c r="F1" s="10"/>
      <c r="G1" s="10"/>
      <c r="H1" s="10"/>
      <c r="I1" s="10"/>
      <c r="J1" s="10"/>
      <c r="L1" s="10"/>
      <c r="M1" s="10"/>
      <c r="N1" s="10"/>
      <c r="Q1" s="10"/>
      <c r="R1" s="10"/>
      <c r="U1" s="10"/>
      <c r="V1" s="10"/>
    </row>
    <row r="2" spans="1:22" ht="43.15" customHeight="1">
      <c r="A2" s="223"/>
      <c r="B2" s="233"/>
      <c r="C2" s="517" t="s">
        <v>252</v>
      </c>
      <c r="D2" s="517"/>
      <c r="E2" s="515" t="s">
        <v>626</v>
      </c>
      <c r="F2" s="515"/>
      <c r="G2" s="516"/>
      <c r="H2" s="234"/>
      <c r="I2" s="224"/>
      <c r="J2" s="518"/>
      <c r="K2" s="518"/>
      <c r="L2" s="519"/>
      <c r="M2" s="519"/>
      <c r="N2" s="519"/>
      <c r="O2" s="519"/>
      <c r="P2" s="519"/>
      <c r="Q2" s="519"/>
      <c r="R2" s="519"/>
      <c r="S2" s="402"/>
      <c r="T2" s="402"/>
      <c r="U2" s="227"/>
      <c r="V2" s="10"/>
    </row>
    <row r="3" spans="1:22" ht="15" customHeight="1">
      <c r="A3" s="228"/>
      <c r="B3" s="229"/>
      <c r="C3" s="235"/>
      <c r="D3" s="235"/>
      <c r="E3" s="235"/>
      <c r="F3" s="235"/>
      <c r="G3" s="235"/>
      <c r="H3" s="230"/>
      <c r="I3" s="230"/>
      <c r="J3" s="230"/>
      <c r="K3" s="230"/>
      <c r="L3" s="230"/>
      <c r="M3" s="230"/>
      <c r="N3" s="230"/>
      <c r="O3" s="230"/>
      <c r="P3" s="231"/>
      <c r="Q3" s="230"/>
      <c r="R3" s="232"/>
      <c r="S3" s="232"/>
      <c r="T3" s="232"/>
      <c r="U3" s="232"/>
      <c r="V3" s="10"/>
    </row>
    <row r="4" spans="1:22" ht="45" customHeight="1">
      <c r="A4" s="259" t="s">
        <v>419</v>
      </c>
      <c r="B4" s="259" t="s">
        <v>477</v>
      </c>
      <c r="C4" s="259" t="s">
        <v>440</v>
      </c>
      <c r="D4" s="260" t="s">
        <v>378</v>
      </c>
      <c r="E4" s="260" t="s">
        <v>195</v>
      </c>
      <c r="F4" s="290" t="s">
        <v>360</v>
      </c>
      <c r="G4" s="259" t="s">
        <v>234</v>
      </c>
      <c r="H4" s="259" t="s">
        <v>437</v>
      </c>
      <c r="I4" s="260" t="s">
        <v>322</v>
      </c>
      <c r="J4" s="260" t="s">
        <v>279</v>
      </c>
      <c r="K4" s="290" t="s">
        <v>614</v>
      </c>
      <c r="L4" s="290" t="s">
        <v>47</v>
      </c>
      <c r="M4" s="290" t="s">
        <v>348</v>
      </c>
      <c r="N4" s="290" t="s">
        <v>64</v>
      </c>
      <c r="O4" s="290" t="s">
        <v>615</v>
      </c>
      <c r="P4" s="290" t="s">
        <v>50</v>
      </c>
      <c r="Q4" s="290" t="s">
        <v>104</v>
      </c>
      <c r="R4" s="290" t="s">
        <v>362</v>
      </c>
      <c r="S4" s="290" t="s">
        <v>691</v>
      </c>
      <c r="T4" s="290" t="s">
        <v>692</v>
      </c>
      <c r="U4" s="259" t="s">
        <v>309</v>
      </c>
      <c r="V4" s="10"/>
    </row>
    <row r="5" spans="1:22" ht="29.25" customHeight="1" thickBot="1">
      <c r="A5" s="262" t="str">
        <f>'상담(여)'!A5</f>
        <v>경기</v>
      </c>
      <c r="B5" s="159" t="str">
        <f>'상담(여)'!B5</f>
        <v>가천대 체육</v>
      </c>
      <c r="C5" s="265">
        <f>'상담(여)'!C5</f>
        <v>300</v>
      </c>
      <c r="D5" s="266">
        <f>'상담(여)'!D5</f>
        <v>294</v>
      </c>
      <c r="E5" s="357">
        <f>'상담(여)'!E5</f>
        <v>273</v>
      </c>
      <c r="F5" s="283">
        <f>C5-D5</f>
        <v>6</v>
      </c>
      <c r="G5" s="268">
        <f>'상담(여)'!G5</f>
        <v>700</v>
      </c>
      <c r="H5" s="407">
        <f>'상담(여)'!H5</f>
        <v>1000</v>
      </c>
      <c r="I5" s="408">
        <f>'상담(여)'!I5</f>
        <v>984</v>
      </c>
      <c r="J5" s="409">
        <f>'상담(여)'!J5</f>
        <v>973</v>
      </c>
      <c r="K5" s="414">
        <f>'상담(여)'!K5</f>
        <v>40</v>
      </c>
      <c r="L5" s="136">
        <f>'상담(여)'!L5</f>
        <v>40</v>
      </c>
      <c r="M5" s="484">
        <f>'상담(여)'!M5</f>
        <v>30</v>
      </c>
      <c r="N5" s="484">
        <f>'상담(여)'!N5</f>
        <v>20</v>
      </c>
      <c r="O5" s="413">
        <f>'상담(여)'!O5</f>
        <v>20</v>
      </c>
      <c r="P5" s="136">
        <f>'상담(여)'!P5</f>
        <v>37</v>
      </c>
      <c r="Q5" s="484">
        <f>'상담(여)'!Q5</f>
        <v>3</v>
      </c>
      <c r="R5" s="484">
        <f>'상담(여)'!R5</f>
        <v>3</v>
      </c>
      <c r="S5" s="413" t="str">
        <f>'상담(여)'!S5</f>
        <v>49.18</v>
      </c>
      <c r="T5" s="414" t="str">
        <f>'상담(여)'!T5</f>
        <v>66.7</v>
      </c>
      <c r="U5" s="222" t="str">
        <f>'상담(여)'!U5</f>
        <v>.</v>
      </c>
      <c r="V5" s="10"/>
    </row>
    <row r="6" spans="1:22" ht="29.25" customHeight="1" thickBot="1">
      <c r="A6" s="262" t="str">
        <f>'상담(여)'!A6</f>
        <v>강원</v>
      </c>
      <c r="B6" s="159" t="str">
        <f>'상담(여)'!B6</f>
        <v>가톨릭관동대 체육교육</v>
      </c>
      <c r="C6" s="265">
        <f>'상담(여)'!C6</f>
        <v>700</v>
      </c>
      <c r="D6" s="266">
        <f>'상담(여)'!D6</f>
        <v>661</v>
      </c>
      <c r="E6" s="357">
        <f>'상담(여)'!E6</f>
        <v>621</v>
      </c>
      <c r="F6" s="284">
        <f t="shared" ref="F6:F75" si="0">C6-D6</f>
        <v>39</v>
      </c>
      <c r="G6" s="268">
        <f>'상담(여)'!G6</f>
        <v>300</v>
      </c>
      <c r="H6" s="407">
        <f>'상담(여)'!H6</f>
        <v>1000</v>
      </c>
      <c r="I6" s="408">
        <f>'상담(여)'!I6</f>
        <v>945</v>
      </c>
      <c r="J6" s="409">
        <f>'상담(여)'!J6</f>
        <v>921</v>
      </c>
      <c r="K6" s="414">
        <f>'상담(여)'!K6</f>
        <v>20</v>
      </c>
      <c r="L6" s="136">
        <f>'상담(여)'!L6</f>
        <v>20</v>
      </c>
      <c r="M6" s="484">
        <f>'상담(여)'!M6</f>
        <v>20</v>
      </c>
      <c r="N6" s="484">
        <f>'상담(여)'!N6</f>
        <v>20</v>
      </c>
      <c r="O6" s="413">
        <f>'상담(여)'!O6</f>
        <v>20</v>
      </c>
      <c r="P6" s="136">
        <f>'상담(여)'!P6</f>
        <v>27</v>
      </c>
      <c r="Q6" s="484">
        <f>'상담(여)'!Q6</f>
        <v>32</v>
      </c>
      <c r="R6" s="484">
        <f>'상담(여)'!R6</f>
        <v>34</v>
      </c>
      <c r="S6" s="413" t="str">
        <f>'상담(여)'!S6</f>
        <v>8.05</v>
      </c>
      <c r="T6" s="414" t="str">
        <f>'상담(여)'!T6</f>
        <v>6.45</v>
      </c>
      <c r="U6" s="222" t="str">
        <f>'상담(여)'!U6</f>
        <v>내신8과목에서 12과목 반영</v>
      </c>
    </row>
    <row r="7" spans="1:22" ht="29.25" customHeight="1" thickBot="1">
      <c r="A7" s="262" t="str">
        <f>'상담(여)'!A7</f>
        <v>강원</v>
      </c>
      <c r="B7" s="159" t="str">
        <f>'상담(여)'!B7</f>
        <v>가톨릭관동대 스포츠레저</v>
      </c>
      <c r="C7" s="265">
        <f>'상담(여)'!C7</f>
        <v>600</v>
      </c>
      <c r="D7" s="266">
        <f>'상담(여)'!D7</f>
        <v>485</v>
      </c>
      <c r="E7" s="357">
        <f>'상담(여)'!E7</f>
        <v>414</v>
      </c>
      <c r="F7" s="284">
        <f t="shared" si="0"/>
        <v>115</v>
      </c>
      <c r="G7" s="268">
        <f>'상담(여)'!G7</f>
        <v>400</v>
      </c>
      <c r="H7" s="407">
        <f>'상담(여)'!H7</f>
        <v>1000</v>
      </c>
      <c r="I7" s="408">
        <f>'상담(여)'!I7</f>
        <v>835</v>
      </c>
      <c r="J7" s="409">
        <f>'상담(여)'!J7</f>
        <v>814</v>
      </c>
      <c r="K7" s="414">
        <f>'상담(여)'!K7</f>
        <v>41</v>
      </c>
      <c r="L7" s="136">
        <f>'상담(여)'!L7</f>
        <v>40</v>
      </c>
      <c r="M7" s="484">
        <f>'상담(여)'!M7</f>
        <v>40</v>
      </c>
      <c r="N7" s="484">
        <f>'상담(여)'!N7</f>
        <v>96</v>
      </c>
      <c r="O7" s="413">
        <f>'상담(여)'!O7</f>
        <v>59</v>
      </c>
      <c r="P7" s="136">
        <f>'상담(여)'!P7</f>
        <v>7</v>
      </c>
      <c r="Q7" s="484" t="str">
        <f>'상담(여)'!Q7</f>
        <v>_</v>
      </c>
      <c r="R7" s="484">
        <f>'상담(여)'!R7</f>
        <v>64</v>
      </c>
      <c r="S7" s="413" t="str">
        <f>'상담(여)'!S7</f>
        <v>2.68</v>
      </c>
      <c r="T7" s="414" t="str">
        <f>'상담(여)'!T7</f>
        <v>1.3</v>
      </c>
      <c r="U7" s="222" t="str">
        <f>'상담(여)'!U7</f>
        <v>내신8과목에서 12과목 반영</v>
      </c>
    </row>
    <row r="8" spans="1:22" ht="29.25" customHeight="1" thickBot="1">
      <c r="A8" s="262" t="str">
        <f>'상담(여)'!A8</f>
        <v>강원</v>
      </c>
      <c r="B8" s="159" t="str">
        <f>'상담(여)'!B8</f>
        <v>가톨릭관동대  스포츠재활의학</v>
      </c>
      <c r="C8" s="265">
        <f>'상담(여)'!C8</f>
        <v>600</v>
      </c>
      <c r="D8" s="266">
        <f>'상담(여)'!D8</f>
        <v>500</v>
      </c>
      <c r="E8" s="357">
        <f>'상담(여)'!E8</f>
        <v>455</v>
      </c>
      <c r="F8" s="284">
        <f t="shared" si="0"/>
        <v>100</v>
      </c>
      <c r="G8" s="268">
        <f>'상담(여)'!G8</f>
        <v>400</v>
      </c>
      <c r="H8" s="407">
        <f>'상담(여)'!H8</f>
        <v>1000</v>
      </c>
      <c r="I8" s="408">
        <f>'상담(여)'!I8</f>
        <v>878</v>
      </c>
      <c r="J8" s="409">
        <f>'상담(여)'!J8</f>
        <v>855</v>
      </c>
      <c r="K8" s="414">
        <f>'상담(여)'!K8</f>
        <v>40</v>
      </c>
      <c r="L8" s="136">
        <f>'상담(여)'!L8</f>
        <v>40</v>
      </c>
      <c r="M8" s="484">
        <f>'상담(여)'!M8</f>
        <v>31</v>
      </c>
      <c r="N8" s="484">
        <f>'상담(여)'!N8</f>
        <v>0</v>
      </c>
      <c r="O8" s="413">
        <f>'상담(여)'!O8</f>
        <v>46</v>
      </c>
      <c r="P8" s="136">
        <f>'상담(여)'!P8</f>
        <v>49</v>
      </c>
      <c r="Q8" s="484" t="str">
        <f>'상담(여)'!Q8</f>
        <v>_</v>
      </c>
      <c r="R8" s="484">
        <f>'상담(여)'!R8</f>
        <v>57</v>
      </c>
      <c r="S8" s="413" t="str">
        <f>'상담(여)'!S8</f>
        <v>5.28</v>
      </c>
      <c r="T8" s="414" t="str">
        <f>'상담(여)'!T8</f>
        <v>3.6</v>
      </c>
      <c r="U8" s="222" t="str">
        <f>'상담(여)'!U8</f>
        <v>실기만점기준 상향 조정</v>
      </c>
    </row>
    <row r="9" spans="1:22" ht="29.25" customHeight="1" thickBot="1">
      <c r="A9" s="262" t="str">
        <f>'상담(여)'!A9</f>
        <v>경기</v>
      </c>
      <c r="B9" s="159" t="str">
        <f>'상담(여)'!B9</f>
        <v>강남대 체육</v>
      </c>
      <c r="C9" s="265">
        <f>'상담(여)'!C9</f>
        <v>300</v>
      </c>
      <c r="D9" s="266">
        <f>'상담(여)'!D9</f>
        <v>291</v>
      </c>
      <c r="E9" s="357">
        <f>'상담(여)'!E9</f>
        <v>271</v>
      </c>
      <c r="F9" s="284">
        <f t="shared" si="0"/>
        <v>9</v>
      </c>
      <c r="G9" s="268">
        <f>'상담(여)'!G9</f>
        <v>688</v>
      </c>
      <c r="H9" s="407">
        <f>'상담(여)'!H9</f>
        <v>988</v>
      </c>
      <c r="I9" s="408">
        <f>'상담(여)'!I9</f>
        <v>979</v>
      </c>
      <c r="J9" s="409">
        <f>'상담(여)'!J9</f>
        <v>971</v>
      </c>
      <c r="K9" s="414">
        <f>'상담(여)'!K9</f>
        <v>29</v>
      </c>
      <c r="L9" s="136">
        <f>'상담(여)'!L9</f>
        <v>29</v>
      </c>
      <c r="M9" s="484">
        <f>'상담(여)'!M9</f>
        <v>29</v>
      </c>
      <c r="N9" s="484">
        <f>'상담(여)'!N9</f>
        <v>29</v>
      </c>
      <c r="O9" s="413">
        <f>'상담(여)'!O9</f>
        <v>36</v>
      </c>
      <c r="P9" s="136">
        <f>'상담(여)'!P9</f>
        <v>38</v>
      </c>
      <c r="Q9" s="484">
        <f>'상담(여)'!Q9</f>
        <v>38</v>
      </c>
      <c r="R9" s="484">
        <f>'상담(여)'!R9</f>
        <v>19</v>
      </c>
      <c r="S9" s="413" t="str">
        <f>'상담(여)'!S9</f>
        <v>23.62</v>
      </c>
      <c r="T9" s="414" t="str">
        <f>'상담(여)'!T9</f>
        <v>16.79</v>
      </c>
      <c r="U9" s="222" t="str">
        <f>'상담(여)'!U9</f>
        <v>내신반영변경,실기급간점수 변경</v>
      </c>
    </row>
    <row r="10" spans="1:22" ht="29.25" customHeight="1" thickBot="1">
      <c r="A10" s="262" t="str">
        <f>'상담(여)'!A10</f>
        <v>충북</v>
      </c>
      <c r="B10" s="159" t="str">
        <f>'상담(여)'!B10</f>
        <v>건국대(글) 스포츠건강</v>
      </c>
      <c r="C10" s="265">
        <f>'상담(여)'!C10</f>
        <v>200</v>
      </c>
      <c r="D10" s="266">
        <f>'상담(여)'!D10</f>
        <v>165</v>
      </c>
      <c r="E10" s="357">
        <f>'상담(여)'!E10</f>
        <v>121</v>
      </c>
      <c r="F10" s="284">
        <f t="shared" si="0"/>
        <v>35</v>
      </c>
      <c r="G10" s="268">
        <f>'상담(여)'!G10</f>
        <v>720</v>
      </c>
      <c r="H10" s="407">
        <f>'상담(여)'!H10</f>
        <v>920</v>
      </c>
      <c r="I10" s="408">
        <f>'상담(여)'!I10</f>
        <v>951</v>
      </c>
      <c r="J10" s="409">
        <f>'상담(여)'!J10</f>
        <v>921</v>
      </c>
      <c r="K10" s="414">
        <f>'상담(여)'!K10</f>
        <v>20</v>
      </c>
      <c r="L10" s="136">
        <f>'상담(여)'!L10</f>
        <v>20</v>
      </c>
      <c r="M10" s="484">
        <f>'상담(여)'!M10</f>
        <v>22</v>
      </c>
      <c r="N10" s="484">
        <f>'상담(여)'!N10</f>
        <v>18</v>
      </c>
      <c r="O10" s="413">
        <f>'상담(여)'!O10</f>
        <v>15</v>
      </c>
      <c r="P10" s="136">
        <f>'상담(여)'!P10</f>
        <v>15</v>
      </c>
      <c r="Q10" s="484">
        <f>'상담(여)'!Q10</f>
        <v>9</v>
      </c>
      <c r="R10" s="484">
        <f>'상담(여)'!R10</f>
        <v>8</v>
      </c>
      <c r="S10" s="413" t="str">
        <f>'상담(여)'!S10</f>
        <v>28.35</v>
      </c>
      <c r="T10" s="414" t="str">
        <f>'상담(여)'!T10</f>
        <v>17.09</v>
      </c>
      <c r="U10" s="222" t="str">
        <f>'상담(여)'!U10</f>
        <v>여자제멀, 남녀 농구 만점상향 조정</v>
      </c>
    </row>
    <row r="11" spans="1:22" s="6" customFormat="1" ht="29.25" customHeight="1" thickBot="1">
      <c r="A11" s="262" t="str">
        <f>'상담(여)'!A11</f>
        <v>경기</v>
      </c>
      <c r="B11" s="159" t="str">
        <f>'상담(여)'!B11</f>
        <v>경기대 스포츠과학</v>
      </c>
      <c r="C11" s="265">
        <f>'상담(여)'!C11</f>
        <v>39.799999999999997</v>
      </c>
      <c r="D11" s="266">
        <f>'상담(여)'!D11</f>
        <v>29.49</v>
      </c>
      <c r="E11" s="357">
        <f>'상담(여)'!E11</f>
        <v>29.17</v>
      </c>
      <c r="F11" s="284">
        <f t="shared" si="0"/>
        <v>10.309999999999999</v>
      </c>
      <c r="G11" s="268">
        <f>'상담(여)'!G11</f>
        <v>70</v>
      </c>
      <c r="H11" s="407">
        <f>'상담(여)'!H11</f>
        <v>109.8</v>
      </c>
      <c r="I11" s="408">
        <f>'상담(여)'!I11</f>
        <v>99.3</v>
      </c>
      <c r="J11" s="409">
        <f>'상담(여)'!J11</f>
        <v>99.17</v>
      </c>
      <c r="K11" s="414">
        <f>'상담(여)'!K11</f>
        <v>19</v>
      </c>
      <c r="L11" s="136">
        <f>'상담(여)'!L11</f>
        <v>10</v>
      </c>
      <c r="M11" s="484">
        <f>'상담(여)'!M11</f>
        <v>10</v>
      </c>
      <c r="N11" s="484">
        <f>'상담(여)'!N11</f>
        <v>10</v>
      </c>
      <c r="O11" s="413">
        <f>'상담(여)'!O11</f>
        <v>13</v>
      </c>
      <c r="P11" s="136">
        <f>'상담(여)'!P11</f>
        <v>4</v>
      </c>
      <c r="Q11" s="484">
        <f>'상담(여)'!Q11</f>
        <v>15</v>
      </c>
      <c r="R11" s="484" t="str">
        <f>'상담(여)'!R11</f>
        <v>23신설</v>
      </c>
      <c r="S11" s="413" t="str">
        <f>'상담(여)'!S11</f>
        <v>62.00</v>
      </c>
      <c r="T11" s="414" t="str">
        <f>'상담(여)'!T11</f>
        <v>20.1</v>
      </c>
      <c r="U11" s="222" t="str">
        <f>'상담(여)'!U11</f>
        <v>만점기준 강화 실기반영(10%) 증가</v>
      </c>
    </row>
    <row r="12" spans="1:22" s="95" customFormat="1" ht="29.25" hidden="1" customHeight="1">
      <c r="A12" s="395" t="str">
        <f>'상담(여)'!A12</f>
        <v>경기</v>
      </c>
      <c r="B12" s="355" t="str">
        <f>'상담(여)'!B12</f>
        <v>경기대 체육</v>
      </c>
      <c r="C12" s="333">
        <f>'상담(여)'!C12</f>
        <v>36.549999999999997</v>
      </c>
      <c r="D12" s="334">
        <f>'상담(여)'!D12</f>
        <v>0</v>
      </c>
      <c r="E12" s="358">
        <f>'상담(여)'!E12</f>
        <v>0</v>
      </c>
      <c r="F12" s="341">
        <f t="shared" si="0"/>
        <v>36.549999999999997</v>
      </c>
      <c r="G12" s="342">
        <f>'상담(여)'!G12</f>
        <v>60</v>
      </c>
      <c r="H12" s="410">
        <f>'상담(여)'!H12</f>
        <v>96.55</v>
      </c>
      <c r="I12" s="411">
        <f>'상담(여)'!I12</f>
        <v>0</v>
      </c>
      <c r="J12" s="412">
        <f>'상담(여)'!J12</f>
        <v>0</v>
      </c>
      <c r="K12" s="414" t="str">
        <f>'상담(여)'!K12</f>
        <v>미선발</v>
      </c>
      <c r="L12" s="394">
        <f>'상담(여)'!L12</f>
        <v>0</v>
      </c>
      <c r="M12" s="485">
        <f>'상담(여)'!M12</f>
        <v>5</v>
      </c>
      <c r="N12" s="485">
        <f>'상담(여)'!N12</f>
        <v>5</v>
      </c>
      <c r="O12" s="413" t="str">
        <f>'상담(여)'!O12</f>
        <v>미선발</v>
      </c>
      <c r="P12" s="394">
        <f>'상담(여)'!P12</f>
        <v>3</v>
      </c>
      <c r="Q12" s="485">
        <f>'상담(여)'!Q12</f>
        <v>3</v>
      </c>
      <c r="R12" s="485" t="str">
        <f>'상담(여)'!R12</f>
        <v>23신설</v>
      </c>
      <c r="S12" s="413">
        <f>'상담(여)'!S12</f>
        <v>0</v>
      </c>
      <c r="T12" s="414" t="str">
        <f>'상담(여)'!T12</f>
        <v>9.0</v>
      </c>
      <c r="U12" s="396" t="str">
        <f>'상담(여)'!U12</f>
        <v>수시 폐지 2027 모집정원 전원 수시선발</v>
      </c>
    </row>
    <row r="13" spans="1:22" ht="29.25" customHeight="1" thickBot="1">
      <c r="A13" s="262" t="str">
        <f>'상담(여)'!A13</f>
        <v>충북</v>
      </c>
      <c r="B13" s="159" t="str">
        <f>'상담(여)'!B13</f>
        <v>극동대 스포츠재활</v>
      </c>
      <c r="C13" s="265">
        <f>'상담(여)'!C13</f>
        <v>200</v>
      </c>
      <c r="D13" s="266">
        <f>'상담(여)'!D13</f>
        <v>160</v>
      </c>
      <c r="E13" s="357">
        <f>'상담(여)'!E13</f>
        <v>116</v>
      </c>
      <c r="F13" s="284">
        <f t="shared" si="0"/>
        <v>40</v>
      </c>
      <c r="G13" s="268">
        <f>'상담(여)'!G13</f>
        <v>800</v>
      </c>
      <c r="H13" s="407">
        <f>'상담(여)'!H13</f>
        <v>1000</v>
      </c>
      <c r="I13" s="408">
        <f>'상담(여)'!I13</f>
        <v>920</v>
      </c>
      <c r="J13" s="409">
        <f>'상담(여)'!J13</f>
        <v>889.33</v>
      </c>
      <c r="K13" s="414">
        <f>'상담(여)'!K13</f>
        <v>29</v>
      </c>
      <c r="L13" s="136">
        <f>'상담(여)'!L13</f>
        <v>16</v>
      </c>
      <c r="M13" s="484">
        <f>'상담(여)'!M13</f>
        <v>26</v>
      </c>
      <c r="N13" s="484">
        <f>'상담(여)'!N13</f>
        <v>30</v>
      </c>
      <c r="O13" s="413">
        <f>'상담(여)'!O13</f>
        <v>1</v>
      </c>
      <c r="P13" s="136" t="str">
        <f>'상담(여)'!P13</f>
        <v>미달</v>
      </c>
      <c r="Q13" s="484" t="str">
        <f>'상담(여)'!Q13</f>
        <v>_</v>
      </c>
      <c r="R13" s="484">
        <f>'상담(여)'!R13</f>
        <v>12</v>
      </c>
      <c r="S13" s="413" t="str">
        <f>'상담(여)'!S13</f>
        <v>2.44</v>
      </c>
      <c r="T13" s="414" t="str">
        <f>'상담(여)'!T13</f>
        <v>0.92</v>
      </c>
      <c r="U13" s="390" t="str">
        <f>'상담(여)'!U13</f>
        <v>실기 4종목 중 3종목 반영/ 경쟁률에 따른 컷라인 예측 불가</v>
      </c>
    </row>
    <row r="14" spans="1:22" ht="29.25" customHeight="1" thickBot="1">
      <c r="A14" s="262" t="str">
        <f>'상담(여)'!A14</f>
        <v>충남</v>
      </c>
      <c r="B14" s="159" t="str">
        <f>'상담(여)'!B14</f>
        <v>나사렛대 재활스포츠</v>
      </c>
      <c r="C14" s="265">
        <f>'상담(여)'!C14</f>
        <v>100</v>
      </c>
      <c r="D14" s="266">
        <f>'상담(여)'!D14</f>
        <v>85</v>
      </c>
      <c r="E14" s="357">
        <f>'상담(여)'!E14</f>
        <v>72</v>
      </c>
      <c r="F14" s="284">
        <f t="shared" si="0"/>
        <v>15</v>
      </c>
      <c r="G14" s="268">
        <f>'상담(여)'!G14</f>
        <v>900</v>
      </c>
      <c r="H14" s="407">
        <f>'상담(여)'!H14</f>
        <v>1000</v>
      </c>
      <c r="I14" s="408">
        <f>'상담(여)'!I14</f>
        <v>965</v>
      </c>
      <c r="J14" s="409">
        <f>'상담(여)'!J14</f>
        <v>923</v>
      </c>
      <c r="K14" s="414">
        <f>'상담(여)'!K14</f>
        <v>55</v>
      </c>
      <c r="L14" s="136">
        <f>'상담(여)'!L14</f>
        <v>30</v>
      </c>
      <c r="M14" s="484">
        <f>'상담(여)'!M14</f>
        <v>30</v>
      </c>
      <c r="N14" s="484">
        <f>'상담(여)'!N14</f>
        <v>30</v>
      </c>
      <c r="O14" s="413">
        <f>'상담(여)'!O14</f>
        <v>39</v>
      </c>
      <c r="P14" s="136">
        <f>'상담(여)'!P14</f>
        <v>48</v>
      </c>
      <c r="Q14" s="484">
        <f>'상담(여)'!Q14</f>
        <v>26</v>
      </c>
      <c r="R14" s="484">
        <f>'상담(여)'!R14</f>
        <v>17</v>
      </c>
      <c r="S14" s="413" t="str">
        <f>'상담(여)'!S14</f>
        <v>13.20</v>
      </c>
      <c r="T14" s="414" t="str">
        <f>'상담(여)'!T14</f>
        <v>12.67</v>
      </c>
      <c r="U14" s="222" t="str">
        <f>'상담(여)'!U14</f>
        <v>모집정원 대폭증가 컷라인 내려가라~</v>
      </c>
    </row>
    <row r="15" spans="1:22" ht="29.25" customHeight="1" thickBot="1">
      <c r="A15" s="262" t="str">
        <f>'상담(여)'!A15</f>
        <v>충남</v>
      </c>
      <c r="B15" s="159" t="str">
        <f>'상담(여)'!B15</f>
        <v>남서울대 스포츠건강관리</v>
      </c>
      <c r="C15" s="265">
        <f>'상담(여)'!C15</f>
        <v>300</v>
      </c>
      <c r="D15" s="266">
        <f>'상담(여)'!D15</f>
        <v>210</v>
      </c>
      <c r="E15" s="357">
        <f>'상담(여)'!E15</f>
        <v>154</v>
      </c>
      <c r="F15" s="284">
        <f t="shared" si="0"/>
        <v>90</v>
      </c>
      <c r="G15" s="268">
        <f>'상담(여)'!G15</f>
        <v>700</v>
      </c>
      <c r="H15" s="407">
        <f>'상담(여)'!H15</f>
        <v>1000</v>
      </c>
      <c r="I15" s="408">
        <f>'상담(여)'!I15</f>
        <v>851</v>
      </c>
      <c r="J15" s="409">
        <f>'상담(여)'!J15</f>
        <v>805</v>
      </c>
      <c r="K15" s="414">
        <f>'상담(여)'!K15</f>
        <v>42</v>
      </c>
      <c r="L15" s="136">
        <f>'상담(여)'!L15</f>
        <v>41</v>
      </c>
      <c r="M15" s="484">
        <f>'상담(여)'!M15</f>
        <v>36</v>
      </c>
      <c r="N15" s="484">
        <f>'상담(여)'!N15</f>
        <v>38</v>
      </c>
      <c r="O15" s="413">
        <f>'상담(여)'!O15</f>
        <v>52</v>
      </c>
      <c r="P15" s="136">
        <f>'상담(여)'!P15</f>
        <v>86</v>
      </c>
      <c r="Q15" s="484">
        <f>'상담(여)'!Q15</f>
        <v>100</v>
      </c>
      <c r="R15" s="484">
        <f>'상담(여)'!R15</f>
        <v>48</v>
      </c>
      <c r="S15" s="413" t="str">
        <f>'상담(여)'!S15</f>
        <v>7.76</v>
      </c>
      <c r="T15" s="414" t="str">
        <f>'상담(여)'!T15</f>
        <v>6.22</v>
      </c>
      <c r="U15" s="222" t="str">
        <f>'상담(여)'!U15</f>
        <v>좌전굴 폐지 매던 신설</v>
      </c>
    </row>
    <row r="16" spans="1:22" ht="29.25" customHeight="1" thickBot="1">
      <c r="A16" s="262" t="str">
        <f>'상담(여)'!A16</f>
        <v>충남</v>
      </c>
      <c r="B16" s="159" t="str">
        <f>'상담(여)'!B16</f>
        <v>남서울대 스포츠비즈니스</v>
      </c>
      <c r="C16" s="265">
        <f>'상담(여)'!C16</f>
        <v>300</v>
      </c>
      <c r="D16" s="266">
        <f>'상담(여)'!D16</f>
        <v>210</v>
      </c>
      <c r="E16" s="357">
        <f>'상담(여)'!E16</f>
        <v>136</v>
      </c>
      <c r="F16" s="284">
        <f t="shared" si="0"/>
        <v>90</v>
      </c>
      <c r="G16" s="268">
        <f>'상담(여)'!G16</f>
        <v>700</v>
      </c>
      <c r="H16" s="407">
        <f>'상담(여)'!H16</f>
        <v>1000</v>
      </c>
      <c r="I16" s="408">
        <f>'상담(여)'!I16</f>
        <v>840</v>
      </c>
      <c r="J16" s="409">
        <f>'상담(여)'!J16</f>
        <v>784</v>
      </c>
      <c r="K16" s="414">
        <f>'상담(여)'!K16</f>
        <v>42</v>
      </c>
      <c r="L16" s="136">
        <f>'상담(여)'!L16</f>
        <v>40</v>
      </c>
      <c r="M16" s="484">
        <f>'상담(여)'!M16</f>
        <v>35</v>
      </c>
      <c r="N16" s="484">
        <f>'상담(여)'!N16</f>
        <v>38</v>
      </c>
      <c r="O16" s="413">
        <f>'상담(여)'!O16</f>
        <v>37</v>
      </c>
      <c r="P16" s="136">
        <f>'상담(여)'!P16</f>
        <v>50</v>
      </c>
      <c r="Q16" s="484">
        <f>'상담(여)'!Q16</f>
        <v>74</v>
      </c>
      <c r="R16" s="484">
        <f>'상담(여)'!R16</f>
        <v>43</v>
      </c>
      <c r="S16" s="413" t="str">
        <f>'상담(여)'!S16</f>
        <v>4.93</v>
      </c>
      <c r="T16" s="414" t="str">
        <f>'상담(여)'!T16</f>
        <v>4.74</v>
      </c>
      <c r="U16" s="222" t="str">
        <f>'상담(여)'!U16</f>
        <v>3종목 모두 반영으로 총점 하향???</v>
      </c>
    </row>
    <row r="17" spans="1:23" s="5" customFormat="1" ht="29.25" customHeight="1" thickBot="1">
      <c r="A17" s="262" t="str">
        <f>'상담(여)'!A17</f>
        <v>경기</v>
      </c>
      <c r="B17" s="159" t="str">
        <f>'상담(여)'!B17</f>
        <v>단국대 체육교육</v>
      </c>
      <c r="C17" s="265">
        <f>'상담(여)'!C17</f>
        <v>0</v>
      </c>
      <c r="D17" s="266">
        <f>'상담(여)'!D17</f>
        <v>686</v>
      </c>
      <c r="E17" s="357">
        <f>'상담(여)'!E17</f>
        <v>668</v>
      </c>
      <c r="F17" s="284">
        <f>C17-D17</f>
        <v>-686</v>
      </c>
      <c r="G17" s="268">
        <f>'상담(여)'!G17</f>
        <v>352</v>
      </c>
      <c r="H17" s="407">
        <f>'상담(여)'!H17</f>
        <v>352</v>
      </c>
      <c r="I17" s="408">
        <f>'상담(여)'!I17</f>
        <v>982</v>
      </c>
      <c r="J17" s="409">
        <f>'상담(여)'!J17</f>
        <v>968</v>
      </c>
      <c r="K17" s="414">
        <f>'상담(여)'!K17</f>
        <v>10</v>
      </c>
      <c r="L17" s="136">
        <f>'상담(여)'!L17</f>
        <v>10</v>
      </c>
      <c r="M17" s="484">
        <f>'상담(여)'!M17</f>
        <v>0</v>
      </c>
      <c r="N17" s="484">
        <f>'상담(여)'!N17</f>
        <v>0</v>
      </c>
      <c r="O17" s="413">
        <f>'상담(여)'!O17</f>
        <v>2</v>
      </c>
      <c r="P17" s="136">
        <f>'상담(여)'!P17</f>
        <v>0</v>
      </c>
      <c r="Q17" s="484">
        <f>'상담(여)'!Q17</f>
        <v>0</v>
      </c>
      <c r="R17" s="484">
        <f>'상담(여)'!R17</f>
        <v>0</v>
      </c>
      <c r="S17" s="413" t="str">
        <f>'상담(여)'!S17</f>
        <v>42.50</v>
      </c>
      <c r="T17" s="414">
        <f>'상담(여)'!T17</f>
        <v>0</v>
      </c>
      <c r="U17" s="222"/>
      <c r="V17" s="292"/>
      <c r="W17" s="292"/>
    </row>
    <row r="18" spans="1:23" s="6" customFormat="1" ht="29.25" customHeight="1" thickBot="1">
      <c r="A18" s="262" t="str">
        <f>'상담(여)'!A18</f>
        <v>충남</v>
      </c>
      <c r="B18" s="159" t="str">
        <f>'상담(여)'!B18</f>
        <v>단국대 생활체육</v>
      </c>
      <c r="C18" s="265">
        <f>'상담(여)'!C18</f>
        <v>197.5</v>
      </c>
      <c r="D18" s="266">
        <f>'상담(여)'!D18</f>
        <v>190</v>
      </c>
      <c r="E18" s="357">
        <f>'상담(여)'!E18</f>
        <v>180</v>
      </c>
      <c r="F18" s="284">
        <f t="shared" si="0"/>
        <v>7.5</v>
      </c>
      <c r="G18" s="268">
        <f>'상담(여)'!G18</f>
        <v>800</v>
      </c>
      <c r="H18" s="407">
        <f>'상담(여)'!H18</f>
        <v>997.5</v>
      </c>
      <c r="I18" s="408">
        <f>'상담(여)'!I18</f>
        <v>990</v>
      </c>
      <c r="J18" s="409">
        <f>'상담(여)'!J18</f>
        <v>980</v>
      </c>
      <c r="K18" s="414">
        <f>'상담(여)'!K18</f>
        <v>14</v>
      </c>
      <c r="L18" s="136">
        <f>'상담(여)'!L18</f>
        <v>14</v>
      </c>
      <c r="M18" s="484">
        <f>'상담(여)'!M18</f>
        <v>15</v>
      </c>
      <c r="N18" s="484">
        <f>'상담(여)'!N18</f>
        <v>15</v>
      </c>
      <c r="O18" s="413">
        <f>'상담(여)'!O18</f>
        <v>12</v>
      </c>
      <c r="P18" s="136">
        <f>'상담(여)'!P18</f>
        <v>8</v>
      </c>
      <c r="Q18" s="484">
        <f>'상담(여)'!Q18</f>
        <v>3</v>
      </c>
      <c r="R18" s="484" t="str">
        <f>'상담(여)'!R18</f>
        <v>23신설</v>
      </c>
      <c r="S18" s="413" t="str">
        <f>'상담(여)'!S18</f>
        <v>42.36</v>
      </c>
      <c r="T18" s="414" t="str">
        <f>'상담(여)'!T18</f>
        <v>34.6</v>
      </c>
      <c r="U18" s="222" t="str">
        <f>'상담(여)'!U18</f>
        <v>.</v>
      </c>
    </row>
    <row r="19" spans="1:23" s="6" customFormat="1" ht="29.25" hidden="1" customHeight="1">
      <c r="A19" s="262" t="str">
        <f>'상담(여)'!A19</f>
        <v>충남</v>
      </c>
      <c r="B19" s="159" t="str">
        <f>'상담(여)'!B19</f>
        <v>단국대 운동처방재활</v>
      </c>
      <c r="C19" s="265">
        <f>'상담(여)'!C19</f>
        <v>197.5</v>
      </c>
      <c r="D19" s="266">
        <f>'상담(여)'!D19</f>
        <v>194.8</v>
      </c>
      <c r="E19" s="357">
        <f>'상담(여)'!E19</f>
        <v>192.2</v>
      </c>
      <c r="F19" s="284">
        <f t="shared" si="0"/>
        <v>2.6999999999999886</v>
      </c>
      <c r="G19" s="268">
        <f>'상담(여)'!G19</f>
        <v>800</v>
      </c>
      <c r="H19" s="407">
        <f>'상담(여)'!H19</f>
        <v>997.5</v>
      </c>
      <c r="I19" s="408">
        <f>'상담(여)'!I19</f>
        <v>0</v>
      </c>
      <c r="J19" s="409">
        <f>'상담(여)'!J19</f>
        <v>0</v>
      </c>
      <c r="K19" s="414" t="str">
        <f>'상담(여)'!K19</f>
        <v>미선발</v>
      </c>
      <c r="L19" s="136">
        <f>'상담(여)'!L19</f>
        <v>5</v>
      </c>
      <c r="M19" s="484">
        <f>'상담(여)'!M19</f>
        <v>5</v>
      </c>
      <c r="N19" s="484">
        <f>'상담(여)'!N19</f>
        <v>6</v>
      </c>
      <c r="O19" s="413">
        <f>'상담(여)'!O19</f>
        <v>5</v>
      </c>
      <c r="P19" s="136">
        <f>'상담(여)'!P19</f>
        <v>4</v>
      </c>
      <c r="Q19" s="484">
        <f>'상담(여)'!Q19</f>
        <v>1</v>
      </c>
      <c r="R19" s="484" t="str">
        <f>'상담(여)'!R19</f>
        <v>23신설</v>
      </c>
      <c r="S19" s="413" t="str">
        <f>'상담(여)'!S19</f>
        <v>36.20</v>
      </c>
      <c r="T19" s="414" t="str">
        <f>'상담(여)'!T19</f>
        <v>27.4</v>
      </c>
      <c r="U19" s="222" t="str">
        <f>'상담(여)'!U19</f>
        <v>실기전형 미선발/교과전형 선발</v>
      </c>
    </row>
    <row r="20" spans="1:23" ht="29.25" customHeight="1" thickBot="1">
      <c r="A20" s="262" t="str">
        <f>'상담(여)'!A20</f>
        <v>대전</v>
      </c>
      <c r="B20" s="159" t="str">
        <f>'상담(여)'!B20</f>
        <v>대전대 스포츠건강재활</v>
      </c>
      <c r="C20" s="265">
        <f>'상담(여)'!C20</f>
        <v>400</v>
      </c>
      <c r="D20" s="266">
        <f>'상담(여)'!D20</f>
        <v>352</v>
      </c>
      <c r="E20" s="357">
        <f>'상담(여)'!E20</f>
        <v>330</v>
      </c>
      <c r="F20" s="284">
        <f t="shared" si="0"/>
        <v>48</v>
      </c>
      <c r="G20" s="268">
        <f>'상담(여)'!G20</f>
        <v>600</v>
      </c>
      <c r="H20" s="407">
        <f>'상담(여)'!H20</f>
        <v>1000</v>
      </c>
      <c r="I20" s="408">
        <f>'상담(여)'!I20</f>
        <v>942</v>
      </c>
      <c r="J20" s="409">
        <f>'상담(여)'!J20</f>
        <v>930</v>
      </c>
      <c r="K20" s="414">
        <f>'상담(여)'!K20</f>
        <v>27</v>
      </c>
      <c r="L20" s="136">
        <f>'상담(여)'!L20</f>
        <v>25</v>
      </c>
      <c r="M20" s="484">
        <f>'상담(여)'!M20</f>
        <v>25</v>
      </c>
      <c r="N20" s="484">
        <f>'상담(여)'!N20</f>
        <v>25</v>
      </c>
      <c r="O20" s="413">
        <f>'상담(여)'!O20</f>
        <v>28</v>
      </c>
      <c r="P20" s="136">
        <f>'상담(여)'!P20</f>
        <v>37</v>
      </c>
      <c r="Q20" s="484">
        <f>'상담(여)'!Q20</f>
        <v>54</v>
      </c>
      <c r="R20" s="484">
        <f>'상담(여)'!R20</f>
        <v>42</v>
      </c>
      <c r="S20" s="413" t="str">
        <f>'상담(여)'!S20</f>
        <v>8.88</v>
      </c>
      <c r="T20" s="414" t="str">
        <f>'상담(여)'!T20</f>
        <v>7.96</v>
      </c>
      <c r="U20" s="222" t="str">
        <f>'상담(여)'!U20</f>
        <v>.</v>
      </c>
    </row>
    <row r="21" spans="1:23" s="19" customFormat="1" ht="29.25" customHeight="1" thickBot="1">
      <c r="A21" s="262" t="str">
        <f>'상담(여)'!A21</f>
        <v>대전</v>
      </c>
      <c r="B21" s="159" t="str">
        <f>'상담(여)'!B21</f>
        <v>대전대 스포츠운동과학</v>
      </c>
      <c r="C21" s="265">
        <f>'상담(여)'!C21</f>
        <v>400</v>
      </c>
      <c r="D21" s="266">
        <f>'상담(여)'!D21</f>
        <v>348</v>
      </c>
      <c r="E21" s="357">
        <f>'상담(여)'!E21</f>
        <v>320</v>
      </c>
      <c r="F21" s="284">
        <f t="shared" si="0"/>
        <v>52</v>
      </c>
      <c r="G21" s="268">
        <f>'상담(여)'!G21</f>
        <v>600</v>
      </c>
      <c r="H21" s="407">
        <f>'상담(여)'!H21</f>
        <v>1000</v>
      </c>
      <c r="I21" s="408">
        <f>'상담(여)'!I21</f>
        <v>938</v>
      </c>
      <c r="J21" s="409">
        <f>'상담(여)'!J21</f>
        <v>920</v>
      </c>
      <c r="K21" s="414">
        <f>'상담(여)'!K21</f>
        <v>32</v>
      </c>
      <c r="L21" s="136">
        <f>'상담(여)'!L21</f>
        <v>32</v>
      </c>
      <c r="M21" s="484">
        <f>'상담(여)'!M21</f>
        <v>23</v>
      </c>
      <c r="N21" s="484">
        <f>'상담(여)'!N21</f>
        <v>20</v>
      </c>
      <c r="O21" s="413">
        <f>'상담(여)'!O21</f>
        <v>22</v>
      </c>
      <c r="P21" s="136">
        <f>'상담(여)'!P21</f>
        <v>35</v>
      </c>
      <c r="Q21" s="484">
        <f>'상담(여)'!Q21</f>
        <v>30</v>
      </c>
      <c r="R21" s="484">
        <f>'상담(여)'!R21</f>
        <v>37</v>
      </c>
      <c r="S21" s="413" t="str">
        <f>'상담(여)'!S21</f>
        <v>3.81</v>
      </c>
      <c r="T21" s="414" t="str">
        <f>'상담(여)'!T21</f>
        <v>4.52</v>
      </c>
      <c r="U21" s="222" t="str">
        <f>'상담(여)'!U21</f>
        <v>.</v>
      </c>
      <c r="V21" s="20"/>
      <c r="W21" s="20"/>
    </row>
    <row r="22" spans="1:23" ht="29.25" customHeight="1" thickBot="1">
      <c r="A22" s="262" t="str">
        <f>'상담(여)'!A22</f>
        <v>경기</v>
      </c>
      <c r="B22" s="159" t="str">
        <f>'상담(여)'!B22</f>
        <v>대진대 스포츠겅강과학</v>
      </c>
      <c r="C22" s="265">
        <f>'상담(여)'!C22</f>
        <v>200</v>
      </c>
      <c r="D22" s="266">
        <f>'상담(여)'!D22</f>
        <v>184</v>
      </c>
      <c r="E22" s="357">
        <f>'상담(여)'!E22</f>
        <v>179.3</v>
      </c>
      <c r="F22" s="284">
        <f t="shared" si="0"/>
        <v>16</v>
      </c>
      <c r="G22" s="268">
        <f>'상담(여)'!G22</f>
        <v>800</v>
      </c>
      <c r="H22" s="407">
        <f>'상담(여)'!H22</f>
        <v>1000</v>
      </c>
      <c r="I22" s="408">
        <f>'상담(여)'!I22</f>
        <v>984</v>
      </c>
      <c r="J22" s="409">
        <f>'상담(여)'!J22</f>
        <v>979.3</v>
      </c>
      <c r="K22" s="414">
        <f>'상담(여)'!K22</f>
        <v>25</v>
      </c>
      <c r="L22" s="136">
        <f>'상담(여)'!L22</f>
        <v>25</v>
      </c>
      <c r="M22" s="484">
        <f>'상담(여)'!M22</f>
        <v>25</v>
      </c>
      <c r="N22" s="484">
        <f>'상담(여)'!N22</f>
        <v>22</v>
      </c>
      <c r="O22" s="413">
        <f>'상담(여)'!O22</f>
        <v>22</v>
      </c>
      <c r="P22" s="136">
        <f>'상담(여)'!P22</f>
        <v>32</v>
      </c>
      <c r="Q22" s="484">
        <f>'상담(여)'!Q22</f>
        <v>33</v>
      </c>
      <c r="R22" s="484">
        <f>'상담(여)'!R22</f>
        <v>21</v>
      </c>
      <c r="S22" s="413" t="str">
        <f>'상담(여)'!S22</f>
        <v>10.48</v>
      </c>
      <c r="T22" s="414" t="str">
        <f>'상담(여)'!T22</f>
        <v>6.88</v>
      </c>
      <c r="U22" s="222" t="str">
        <f>'상담(여)'!U22</f>
        <v>진로선택3과목 반영에서 5과목 반영</v>
      </c>
    </row>
    <row r="23" spans="1:23" ht="29.25" customHeight="1" thickBot="1">
      <c r="A23" s="262" t="str">
        <f>'상담(여)'!A23</f>
        <v>서울</v>
      </c>
      <c r="B23" s="159" t="str">
        <f>'상담(여)'!B23</f>
        <v>동국대 체육교육</v>
      </c>
      <c r="C23" s="265">
        <f>'상담(여)'!C23</f>
        <v>300</v>
      </c>
      <c r="D23" s="266">
        <f>'상담(여)'!D23</f>
        <v>298.39999999999998</v>
      </c>
      <c r="E23" s="357">
        <f>'상담(여)'!E23</f>
        <v>294.3</v>
      </c>
      <c r="F23" s="284">
        <f t="shared" si="0"/>
        <v>1.6000000000000227</v>
      </c>
      <c r="G23" s="268">
        <f>'상담(여)'!G23</f>
        <v>700</v>
      </c>
      <c r="H23" s="407">
        <f>'상담(여)'!H23</f>
        <v>1000</v>
      </c>
      <c r="I23" s="408">
        <f>'상담(여)'!I23</f>
        <v>996.5</v>
      </c>
      <c r="J23" s="409">
        <f>'상담(여)'!J23</f>
        <v>994.3</v>
      </c>
      <c r="K23" s="414">
        <f>'상담(여)'!K23</f>
        <v>22</v>
      </c>
      <c r="L23" s="136">
        <f>'상담(여)'!L23</f>
        <v>23</v>
      </c>
      <c r="M23" s="484">
        <f>'상담(여)'!M23</f>
        <v>23</v>
      </c>
      <c r="N23" s="484">
        <f>'상담(여)'!N23</f>
        <v>23</v>
      </c>
      <c r="O23" s="413">
        <f>'상담(여)'!O23</f>
        <v>0</v>
      </c>
      <c r="P23" s="136">
        <f>'상담(여)'!P23</f>
        <v>0</v>
      </c>
      <c r="Q23" s="484">
        <f>'상담(여)'!Q23</f>
        <v>0</v>
      </c>
      <c r="R23" s="484" t="str">
        <f>'상담(여)'!R23</f>
        <v>_</v>
      </c>
      <c r="S23" s="413" t="str">
        <f>'상담(여)'!S23</f>
        <v>30.17</v>
      </c>
      <c r="T23" s="414" t="str">
        <f>'상담(여)'!T23</f>
        <v>27.22</v>
      </c>
      <c r="U23" s="222" t="str">
        <f>'상담(여)'!U23</f>
        <v>실기기본점수 50점</v>
      </c>
    </row>
    <row r="24" spans="1:23" ht="29.25" hidden="1" customHeight="1">
      <c r="A24" s="262" t="str">
        <f>'상담(여)'!A24</f>
        <v>서울</v>
      </c>
      <c r="B24" s="159" t="str">
        <f>'상담(여)'!B24</f>
        <v>동덕여대 체육</v>
      </c>
      <c r="C24" s="333">
        <f>'상담(여)'!C24</f>
        <v>199.99</v>
      </c>
      <c r="D24" s="334">
        <f>'상담(여)'!D24</f>
        <v>396.8</v>
      </c>
      <c r="E24" s="358">
        <f>'상담(여)'!E24</f>
        <v>392.8</v>
      </c>
      <c r="F24" s="341">
        <f t="shared" si="0"/>
        <v>-196.81</v>
      </c>
      <c r="G24" s="342">
        <f>'상담(여)'!G24</f>
        <v>528</v>
      </c>
      <c r="H24" s="410">
        <f>'상담(여)'!H24</f>
        <v>727.99</v>
      </c>
      <c r="I24" s="411">
        <f>'상담(여)'!I24</f>
        <v>0</v>
      </c>
      <c r="J24" s="412">
        <f>'상담(여)'!J24</f>
        <v>0</v>
      </c>
      <c r="K24" s="414" t="str">
        <f>'상담(여)'!K24</f>
        <v>일반학생미선발</v>
      </c>
      <c r="L24" s="136">
        <f>'상담(여)'!L24</f>
        <v>0</v>
      </c>
      <c r="M24" s="484">
        <f>'상담(여)'!M24</f>
        <v>0</v>
      </c>
      <c r="N24" s="484">
        <f>'상담(여)'!N24</f>
        <v>0</v>
      </c>
      <c r="O24" s="413">
        <f>'상담(여)'!O24</f>
        <v>0</v>
      </c>
      <c r="P24" s="136">
        <f>'상담(여)'!P24</f>
        <v>0</v>
      </c>
      <c r="Q24" s="484" t="str">
        <f>'상담(여)'!Q24</f>
        <v>_</v>
      </c>
      <c r="R24" s="484" t="str">
        <f>'상담(여)'!R24</f>
        <v>_</v>
      </c>
      <c r="S24" s="413">
        <f>'상담(여)'!S24</f>
        <v>0</v>
      </c>
      <c r="T24" s="414">
        <f>'상담(여)'!T24</f>
        <v>0</v>
      </c>
      <c r="U24" s="222" t="str">
        <f>'상담(여)'!U24</f>
        <v>일반학생 미선발</v>
      </c>
    </row>
    <row r="25" spans="1:23" ht="29.25" customHeight="1" thickBot="1">
      <c r="A25" s="262" t="str">
        <f>'상담(여)'!A25</f>
        <v>대전</v>
      </c>
      <c r="B25" s="159" t="str">
        <f>'상담(여)'!B25</f>
        <v>목원대 스포츠건강관리</v>
      </c>
      <c r="C25" s="265">
        <f>'상담(여)'!C25</f>
        <v>99.85</v>
      </c>
      <c r="D25" s="266">
        <f>'상담(여)'!D25</f>
        <v>86</v>
      </c>
      <c r="E25" s="357">
        <f>'상담(여)'!E25</f>
        <v>50</v>
      </c>
      <c r="F25" s="284">
        <f t="shared" si="0"/>
        <v>13.849999999999994</v>
      </c>
      <c r="G25" s="268">
        <f>'상담(여)'!G25</f>
        <v>900</v>
      </c>
      <c r="H25" s="407">
        <f>'상담(여)'!H25</f>
        <v>999.85</v>
      </c>
      <c r="I25" s="408">
        <f>'상담(여)'!I25</f>
        <v>918</v>
      </c>
      <c r="J25" s="409">
        <f>'상담(여)'!J25</f>
        <v>888</v>
      </c>
      <c r="K25" s="414">
        <f>'상담(여)'!K25</f>
        <v>30</v>
      </c>
      <c r="L25" s="136">
        <f>'상담(여)'!L25</f>
        <v>33</v>
      </c>
      <c r="M25" s="484">
        <f>'상담(여)'!M25</f>
        <v>33</v>
      </c>
      <c r="N25" s="484">
        <f>'상담(여)'!N25</f>
        <v>54</v>
      </c>
      <c r="O25" s="413">
        <f>'상담(여)'!O25</f>
        <v>76</v>
      </c>
      <c r="P25" s="136">
        <f>'상담(여)'!P25</f>
        <v>126</v>
      </c>
      <c r="Q25" s="484">
        <f>'상담(여)'!Q25</f>
        <v>149</v>
      </c>
      <c r="R25" s="484">
        <f>'상담(여)'!R25</f>
        <v>129</v>
      </c>
      <c r="S25" s="413" t="str">
        <f>'상담(여)'!S25</f>
        <v>6.90</v>
      </c>
      <c r="T25" s="414" t="str">
        <f>'상담(여)'!T25</f>
        <v>5.73</v>
      </c>
      <c r="U25" s="222" t="str">
        <f>'상담(여)'!U25</f>
        <v>.</v>
      </c>
    </row>
    <row r="26" spans="1:23" ht="29.25" customHeight="1" thickBot="1">
      <c r="A26" s="262" t="str">
        <f>'상담(여)'!A26</f>
        <v>충남</v>
      </c>
      <c r="B26" s="159" t="str">
        <f>'상담(여)'!B26</f>
        <v>백석대 특수체육교육</v>
      </c>
      <c r="C26" s="265">
        <f>'상담(여)'!C26</f>
        <v>400</v>
      </c>
      <c r="D26" s="266">
        <f>'상담(여)'!D26</f>
        <v>552</v>
      </c>
      <c r="E26" s="357">
        <f>'상담(여)'!E26</f>
        <v>516</v>
      </c>
      <c r="F26" s="284">
        <f t="shared" si="0"/>
        <v>-152</v>
      </c>
      <c r="G26" s="268">
        <f>'상담(여)'!G26</f>
        <v>400</v>
      </c>
      <c r="H26" s="407">
        <f>'상담(여)'!H26</f>
        <v>800</v>
      </c>
      <c r="I26" s="408">
        <f>'상담(여)'!I26</f>
        <v>930.67000000000007</v>
      </c>
      <c r="J26" s="409">
        <f>'상담(여)'!J26</f>
        <v>916</v>
      </c>
      <c r="K26" s="414">
        <f>'상담(여)'!K26</f>
        <v>27</v>
      </c>
      <c r="L26" s="136">
        <f>'상담(여)'!L26</f>
        <v>27</v>
      </c>
      <c r="M26" s="484">
        <f>'상담(여)'!M26</f>
        <v>27</v>
      </c>
      <c r="N26" s="484">
        <f>'상담(여)'!N26</f>
        <v>26</v>
      </c>
      <c r="O26" s="413">
        <f>'상담(여)'!O26</f>
        <v>16</v>
      </c>
      <c r="P26" s="136">
        <f>'상담(여)'!P26</f>
        <v>28</v>
      </c>
      <c r="Q26" s="484">
        <f>'상담(여)'!Q26</f>
        <v>32</v>
      </c>
      <c r="R26" s="484">
        <f>'상담(여)'!R26</f>
        <v>16</v>
      </c>
      <c r="S26" s="413" t="str">
        <f>'상담(여)'!S26</f>
        <v>6.15</v>
      </c>
      <c r="T26" s="414" t="str">
        <f>'상담(여)'!T26</f>
        <v>5.15</v>
      </c>
      <c r="U26" s="222" t="str">
        <f>'상담(여)'!U26</f>
        <v>.</v>
      </c>
    </row>
    <row r="27" spans="1:23" ht="29.25" customHeight="1" thickBot="1">
      <c r="A27" s="262" t="str">
        <f>'상담(여)'!A27</f>
        <v>충남</v>
      </c>
      <c r="B27" s="159" t="str">
        <f>'상담(여)'!B27</f>
        <v>백석대 스포츠과학</v>
      </c>
      <c r="C27" s="265">
        <f>'상담(여)'!C27</f>
        <v>600</v>
      </c>
      <c r="D27" s="266">
        <f>'상담(여)'!D27</f>
        <v>349</v>
      </c>
      <c r="E27" s="357">
        <f>'상담(여)'!E27</f>
        <v>323</v>
      </c>
      <c r="F27" s="284">
        <f t="shared" si="0"/>
        <v>251</v>
      </c>
      <c r="G27" s="268">
        <f>'상담(여)'!G27</f>
        <v>600</v>
      </c>
      <c r="H27" s="407">
        <f>'상담(여)'!H27</f>
        <v>1200</v>
      </c>
      <c r="I27" s="408">
        <f>'상담(여)'!I27</f>
        <v>941</v>
      </c>
      <c r="J27" s="409">
        <f>'상담(여)'!J27</f>
        <v>923</v>
      </c>
      <c r="K27" s="414">
        <f>'상담(여)'!K27</f>
        <v>73</v>
      </c>
      <c r="L27" s="136">
        <f>'상담(여)'!L27</f>
        <v>73</v>
      </c>
      <c r="M27" s="484">
        <f>'상담(여)'!M27</f>
        <v>75</v>
      </c>
      <c r="N27" s="484">
        <f>'상담(여)'!N27</f>
        <v>46</v>
      </c>
      <c r="O27" s="413">
        <f>'상담(여)'!O27</f>
        <v>36</v>
      </c>
      <c r="P27" s="136">
        <f>'상담(여)'!P27</f>
        <v>42</v>
      </c>
      <c r="Q27" s="484">
        <f>'상담(여)'!Q27</f>
        <v>30</v>
      </c>
      <c r="R27" s="484">
        <f>'상담(여)'!R27</f>
        <v>19</v>
      </c>
      <c r="S27" s="413" t="str">
        <f>'상담(여)'!S27</f>
        <v>10.96</v>
      </c>
      <c r="T27" s="414" t="str">
        <f>'상담(여)'!T27</f>
        <v>9.29</v>
      </c>
      <c r="U27" s="222" t="str">
        <f>'상담(여)'!U27</f>
        <v>.</v>
      </c>
    </row>
    <row r="28" spans="1:23" ht="29.25" customHeight="1" thickBot="1">
      <c r="A28" s="262" t="str">
        <f>'상담(여)'!A28</f>
        <v>서울</v>
      </c>
      <c r="B28" s="159" t="str">
        <f>'상담(여)'!B28</f>
        <v>삼육대 체육</v>
      </c>
      <c r="C28" s="265">
        <f>'상담(여)'!C28</f>
        <v>395</v>
      </c>
      <c r="D28" s="266">
        <f>'상담(여)'!D28</f>
        <v>392</v>
      </c>
      <c r="E28" s="357">
        <f>'상담(여)'!E28</f>
        <v>386</v>
      </c>
      <c r="F28" s="284">
        <f t="shared" si="0"/>
        <v>3</v>
      </c>
      <c r="G28" s="268">
        <f>'상담(여)'!G28</f>
        <v>600</v>
      </c>
      <c r="H28" s="407">
        <f>'상담(여)'!H28</f>
        <v>995</v>
      </c>
      <c r="I28" s="408">
        <f>'상담(여)'!I28</f>
        <v>990</v>
      </c>
      <c r="J28" s="409">
        <f>'상담(여)'!J28</f>
        <v>986</v>
      </c>
      <c r="K28" s="414">
        <f>'상담(여)'!K28</f>
        <v>12</v>
      </c>
      <c r="L28" s="136">
        <f>'상담(여)'!L28</f>
        <v>10</v>
      </c>
      <c r="M28" s="484">
        <f>'상담(여)'!M28</f>
        <v>11</v>
      </c>
      <c r="N28" s="484">
        <f>'상담(여)'!N28</f>
        <v>9</v>
      </c>
      <c r="O28" s="413">
        <f>'상담(여)'!O28</f>
        <v>4</v>
      </c>
      <c r="P28" s="136">
        <f>'상담(여)'!P28</f>
        <v>4</v>
      </c>
      <c r="Q28" s="484">
        <f>'상담(여)'!Q28</f>
        <v>3</v>
      </c>
      <c r="R28" s="484">
        <f>'상담(여)'!R28</f>
        <v>14</v>
      </c>
      <c r="S28" s="413" t="str">
        <f>'상담(여)'!S28</f>
        <v>13.70</v>
      </c>
      <c r="T28" s="414" t="str">
        <f>'상담(여)'!T28</f>
        <v>29.91</v>
      </c>
      <c r="U28" s="222" t="str">
        <f>'상담(여)'!U28</f>
        <v>진로선택3과목 반영에서 이수전과목 반영</v>
      </c>
    </row>
    <row r="29" spans="1:23" s="5" customFormat="1" ht="29.25" customHeight="1" thickBot="1">
      <c r="A29" s="262" t="str">
        <f>'상담(여)'!A29</f>
        <v>서울</v>
      </c>
      <c r="B29" s="159" t="str">
        <f>'상담(여)'!B29</f>
        <v>상명대 스포츠건강</v>
      </c>
      <c r="C29" s="265">
        <f>'상담(여)'!C29</f>
        <v>300</v>
      </c>
      <c r="D29" s="266">
        <f>'상담(여)'!D29</f>
        <v>282</v>
      </c>
      <c r="E29" s="357">
        <f>'상담(여)'!E29</f>
        <v>235</v>
      </c>
      <c r="F29" s="284">
        <f>C29-D29</f>
        <v>18</v>
      </c>
      <c r="G29" s="268">
        <f>'상담(여)'!G29</f>
        <v>226.33333333333334</v>
      </c>
      <c r="H29" s="407">
        <f>'상담(여)'!H29</f>
        <v>526.33333333333337</v>
      </c>
      <c r="I29" s="408">
        <f>'상담(여)'!I29</f>
        <v>961</v>
      </c>
      <c r="J29" s="409">
        <f>'상담(여)'!J29</f>
        <v>935</v>
      </c>
      <c r="K29" s="414">
        <f>'상담(여)'!K29</f>
        <v>12</v>
      </c>
      <c r="L29" s="136">
        <f>'상담(여)'!L29</f>
        <v>12</v>
      </c>
      <c r="M29" s="484">
        <f>'상담(여)'!M29</f>
        <v>0</v>
      </c>
      <c r="N29" s="484">
        <f>'상담(여)'!N29</f>
        <v>0</v>
      </c>
      <c r="O29" s="413">
        <f>'상담(여)'!O29</f>
        <v>12</v>
      </c>
      <c r="P29" s="136">
        <f>'상담(여)'!P29</f>
        <v>0</v>
      </c>
      <c r="Q29" s="484">
        <f>'상담(여)'!Q29</f>
        <v>0</v>
      </c>
      <c r="R29" s="484">
        <f>'상담(여)'!R29</f>
        <v>0</v>
      </c>
      <c r="S29" s="413" t="str">
        <f>'상담(여)'!S29</f>
        <v>65.92</v>
      </c>
      <c r="T29" s="414">
        <f>'상담(여)'!T29</f>
        <v>0</v>
      </c>
      <c r="U29" s="222"/>
      <c r="V29" s="292"/>
      <c r="W29" s="292"/>
    </row>
    <row r="30" spans="1:23" ht="29.25" customHeight="1" thickBot="1">
      <c r="A30" s="262" t="str">
        <f>'상담(여)'!A30</f>
        <v>충남</v>
      </c>
      <c r="B30" s="159" t="str">
        <f>'상담(여)'!B30</f>
        <v>상명대(천안) 스포츠융합</v>
      </c>
      <c r="C30" s="265">
        <f>'상담(여)'!C30</f>
        <v>400</v>
      </c>
      <c r="D30" s="266">
        <f>'상담(여)'!D30</f>
        <v>357</v>
      </c>
      <c r="E30" s="357">
        <f>'상담(여)'!E30</f>
        <v>288</v>
      </c>
      <c r="F30" s="284">
        <f t="shared" si="0"/>
        <v>43</v>
      </c>
      <c r="G30" s="268">
        <f>'상담(여)'!G30</f>
        <v>600</v>
      </c>
      <c r="H30" s="407">
        <f>'상담(여)'!H30</f>
        <v>1000</v>
      </c>
      <c r="I30" s="408">
        <f>'상담(여)'!I30</f>
        <v>910</v>
      </c>
      <c r="J30" s="409">
        <f>'상담(여)'!J30</f>
        <v>888</v>
      </c>
      <c r="K30" s="414">
        <f>'상담(여)'!K30</f>
        <v>38</v>
      </c>
      <c r="L30" s="136">
        <f>'상담(여)'!L30</f>
        <v>38</v>
      </c>
      <c r="M30" s="484">
        <f>'상담(여)'!M30</f>
        <v>38</v>
      </c>
      <c r="N30" s="484">
        <f>'상담(여)'!N30</f>
        <v>43</v>
      </c>
      <c r="O30" s="413">
        <f>'상담(여)'!O30</f>
        <v>23</v>
      </c>
      <c r="P30" s="136">
        <f>'상담(여)'!P30</f>
        <v>37</v>
      </c>
      <c r="Q30" s="484">
        <f>'상담(여)'!Q30</f>
        <v>27</v>
      </c>
      <c r="R30" s="484">
        <f>'상담(여)'!R30</f>
        <v>33</v>
      </c>
      <c r="S30" s="413" t="str">
        <f>'상담(여)'!S30</f>
        <v>7.68</v>
      </c>
      <c r="T30" s="414" t="str">
        <f>'상담(여)'!T30</f>
        <v>7.9</v>
      </c>
      <c r="U30" s="222" t="str">
        <f>'상담(여)'!U30</f>
        <v>.</v>
      </c>
    </row>
    <row r="31" spans="1:23" ht="29.25" customHeight="1" thickBot="1">
      <c r="A31" s="262" t="str">
        <f>'상담(여)'!A31</f>
        <v>강원</v>
      </c>
      <c r="B31" s="159" t="str">
        <f>'상담(여)'!B31</f>
        <v>상지대 체육</v>
      </c>
      <c r="C31" s="265">
        <f>'상담(여)'!C31</f>
        <v>300</v>
      </c>
      <c r="D31" s="266">
        <f>'상담(여)'!D31</f>
        <v>233</v>
      </c>
      <c r="E31" s="357">
        <f>'상담(여)'!E31</f>
        <v>197</v>
      </c>
      <c r="F31" s="284">
        <f t="shared" si="0"/>
        <v>67</v>
      </c>
      <c r="G31" s="268">
        <f>'상담(여)'!G31</f>
        <v>700</v>
      </c>
      <c r="H31" s="407">
        <f>'상담(여)'!H31</f>
        <v>1000</v>
      </c>
      <c r="I31" s="408">
        <f>'상담(여)'!I31</f>
        <v>920</v>
      </c>
      <c r="J31" s="409">
        <f>'상담(여)'!J31</f>
        <v>897</v>
      </c>
      <c r="K31" s="414">
        <f>'상담(여)'!K31</f>
        <v>40</v>
      </c>
      <c r="L31" s="136">
        <f>'상담(여)'!L31</f>
        <v>40</v>
      </c>
      <c r="M31" s="484">
        <f>'상담(여)'!M31</f>
        <v>55</v>
      </c>
      <c r="N31" s="484">
        <f>'상담(여)'!N31</f>
        <v>60</v>
      </c>
      <c r="O31" s="413">
        <f>'상담(여)'!O31</f>
        <v>56</v>
      </c>
      <c r="P31" s="136">
        <f>'상담(여)'!P31</f>
        <v>40</v>
      </c>
      <c r="Q31" s="484">
        <f>'상담(여)'!Q31</f>
        <v>24</v>
      </c>
      <c r="R31" s="484">
        <f>'상담(여)'!R31</f>
        <v>47</v>
      </c>
      <c r="S31" s="413" t="str">
        <f>'상담(여)'!S31</f>
        <v>4.28</v>
      </c>
      <c r="T31" s="414" t="str">
        <f>'상담(여)'!T31</f>
        <v>1.93</v>
      </c>
      <c r="U31" s="222" t="str">
        <f>'상담(여)'!U31</f>
        <v>.</v>
      </c>
    </row>
    <row r="32" spans="1:23" s="5" customFormat="1" ht="29.25" customHeight="1" thickBot="1">
      <c r="A32" s="262" t="str">
        <f>'상담(여)'!A32</f>
        <v>서울</v>
      </c>
      <c r="B32" s="159" t="str">
        <f>'상담(여)'!B32</f>
        <v>서경대 스포츠&amp;테크놀러지</v>
      </c>
      <c r="C32" s="265">
        <f>'상담(여)'!C32</f>
        <v>0</v>
      </c>
      <c r="D32" s="266">
        <f>'상담(여)'!D32</f>
        <v>294</v>
      </c>
      <c r="E32" s="357">
        <f>'상담(여)'!E32</f>
        <v>281</v>
      </c>
      <c r="F32" s="284">
        <f>C32-D32</f>
        <v>-294</v>
      </c>
      <c r="G32" s="268">
        <f>'상담(여)'!G32</f>
        <v>400</v>
      </c>
      <c r="H32" s="407">
        <f>'상담(여)'!H32</f>
        <v>400</v>
      </c>
      <c r="I32" s="408">
        <f>'상담(여)'!I32</f>
        <v>687.33</v>
      </c>
      <c r="J32" s="409">
        <f>'상담(여)'!J32</f>
        <v>680.67</v>
      </c>
      <c r="K32" s="414">
        <f>'상담(여)'!K32</f>
        <v>30</v>
      </c>
      <c r="L32" s="136">
        <f>'상담(여)'!L32</f>
        <v>30</v>
      </c>
      <c r="M32" s="484">
        <f>'상담(여)'!M32</f>
        <v>0</v>
      </c>
      <c r="N32" s="484">
        <f>'상담(여)'!N32</f>
        <v>0</v>
      </c>
      <c r="O32" s="413">
        <f>'상담(여)'!O32</f>
        <v>2</v>
      </c>
      <c r="P32" s="136">
        <f>'상담(여)'!P32</f>
        <v>7</v>
      </c>
      <c r="Q32" s="484">
        <f>'상담(여)'!Q32</f>
        <v>0</v>
      </c>
      <c r="R32" s="484">
        <f>'상담(여)'!R32</f>
        <v>0</v>
      </c>
      <c r="S32" s="413" t="str">
        <f>'상담(여)'!S32</f>
        <v>24.70</v>
      </c>
      <c r="T32" s="414" t="str">
        <f>'상담(여)'!T32</f>
        <v>19.90</v>
      </c>
      <c r="U32" s="222"/>
      <c r="V32" s="292"/>
      <c r="W32" s="292"/>
    </row>
    <row r="33" spans="1:23" ht="29.25" customHeight="1" thickBot="1">
      <c r="A33" s="262" t="str">
        <f>'상담(여)'!A33</f>
        <v>서울</v>
      </c>
      <c r="B33" s="159" t="str">
        <f>'상담(여)'!B33</f>
        <v>서울여대 스포츠운동과학</v>
      </c>
      <c r="C33" s="265">
        <f>'상담(여)'!C33</f>
        <v>600</v>
      </c>
      <c r="D33" s="266">
        <f>'상담(여)'!D33</f>
        <v>58</v>
      </c>
      <c r="E33" s="357">
        <f>'상담(여)'!E33</f>
        <v>55.49</v>
      </c>
      <c r="F33" s="284">
        <f t="shared" si="0"/>
        <v>542</v>
      </c>
      <c r="G33" s="268">
        <f>'상담(여)'!G33</f>
        <v>40</v>
      </c>
      <c r="H33" s="407">
        <f>'상담(여)'!H33</f>
        <v>640</v>
      </c>
      <c r="I33" s="408">
        <f>'상담(여)'!I33</f>
        <v>97.7</v>
      </c>
      <c r="J33" s="409">
        <f>'상담(여)'!J33</f>
        <v>95.490000000000009</v>
      </c>
      <c r="K33" s="414">
        <f>'상담(여)'!K33</f>
        <v>10</v>
      </c>
      <c r="L33" s="136">
        <f>'상담(여)'!L33</f>
        <v>10</v>
      </c>
      <c r="M33" s="484">
        <f>'상담(여)'!M33</f>
        <v>10</v>
      </c>
      <c r="N33" s="484">
        <f>'상담(여)'!N33</f>
        <v>10</v>
      </c>
      <c r="O33" s="413">
        <f>'상담(여)'!O33</f>
        <v>10</v>
      </c>
      <c r="P33" s="136">
        <f>'상담(여)'!P33</f>
        <v>10</v>
      </c>
      <c r="Q33" s="484">
        <f>'상담(여)'!Q33</f>
        <v>6</v>
      </c>
      <c r="R33" s="484">
        <f>'상담(여)'!R33</f>
        <v>3</v>
      </c>
      <c r="S33" s="413" t="str">
        <f>'상담(여)'!S33</f>
        <v>17.30</v>
      </c>
      <c r="T33" s="414" t="str">
        <f>'상담(여)'!T33</f>
        <v>15.2</v>
      </c>
      <c r="U33" s="213" t="str">
        <f>'상담(여)'!U33</f>
        <v>.</v>
      </c>
    </row>
    <row r="34" spans="1:23" ht="29.25" customHeight="1" thickBot="1">
      <c r="A34" s="262" t="str">
        <f>'상담(여)'!A34</f>
        <v>충남</v>
      </c>
      <c r="B34" s="159" t="str">
        <f>'상담(여)'!B34</f>
        <v>서원대 체육교육</v>
      </c>
      <c r="C34" s="265">
        <f>'상담(여)'!C34</f>
        <v>600</v>
      </c>
      <c r="D34" s="266">
        <f>'상담(여)'!D34</f>
        <v>588</v>
      </c>
      <c r="E34" s="357">
        <f>'상담(여)'!E34</f>
        <v>576</v>
      </c>
      <c r="F34" s="284">
        <f t="shared" si="0"/>
        <v>12</v>
      </c>
      <c r="G34" s="268">
        <f>'상담(여)'!G34</f>
        <v>400</v>
      </c>
      <c r="H34" s="407">
        <f>'상담(여)'!H34</f>
        <v>1000</v>
      </c>
      <c r="I34" s="408">
        <f>'상담(여)'!I34</f>
        <v>981.6</v>
      </c>
      <c r="J34" s="409">
        <f>'상담(여)'!J34</f>
        <v>976</v>
      </c>
      <c r="K34" s="414">
        <f>'상담(여)'!K34</f>
        <v>28</v>
      </c>
      <c r="L34" s="136">
        <f>'상담(여)'!L34</f>
        <v>23</v>
      </c>
      <c r="M34" s="484">
        <f>'상담(여)'!M34</f>
        <v>23</v>
      </c>
      <c r="N34" s="484">
        <f>'상담(여)'!N34</f>
        <v>23</v>
      </c>
      <c r="O34" s="413">
        <f>'상담(여)'!O34</f>
        <v>36</v>
      </c>
      <c r="P34" s="136">
        <f>'상담(여)'!P34</f>
        <v>23</v>
      </c>
      <c r="Q34" s="484" t="str">
        <f>'상담(여)'!Q34</f>
        <v>_</v>
      </c>
      <c r="R34" s="484">
        <f>'상담(여)'!R34</f>
        <v>13</v>
      </c>
      <c r="S34" s="413" t="str">
        <f>'상담(여)'!S34</f>
        <v>6.74</v>
      </c>
      <c r="T34" s="414" t="str">
        <f>'상담(여)'!T34</f>
        <v>11.52</v>
      </c>
      <c r="U34" s="222" t="str">
        <f>'상담(여)'!U34</f>
        <v>실기기본점수 80점/실기변경/변별력 상승</v>
      </c>
    </row>
    <row r="35" spans="1:23" ht="29.25" customHeight="1" thickBot="1">
      <c r="A35" s="262" t="str">
        <f>'상담(여)'!A35</f>
        <v>충남</v>
      </c>
      <c r="B35" s="159" t="str">
        <f>'상담(여)'!B35</f>
        <v>서원대 레저스포츠</v>
      </c>
      <c r="C35" s="265">
        <f>'상담(여)'!C35</f>
        <v>185</v>
      </c>
      <c r="D35" s="266">
        <f>'상담(여)'!D35</f>
        <v>190.5</v>
      </c>
      <c r="E35" s="357">
        <f>'상담(여)'!E35</f>
        <v>170</v>
      </c>
      <c r="F35" s="284">
        <f t="shared" si="0"/>
        <v>-5.5</v>
      </c>
      <c r="G35" s="268">
        <f>'상담(여)'!G35</f>
        <v>800</v>
      </c>
      <c r="H35" s="407">
        <f>'상담(여)'!H35</f>
        <v>985</v>
      </c>
      <c r="I35" s="408">
        <f>'상담(여)'!I35</f>
        <v>978.3</v>
      </c>
      <c r="J35" s="409">
        <f>'상담(여)'!J35</f>
        <v>963.6</v>
      </c>
      <c r="K35" s="414">
        <f>'상담(여)'!K35</f>
        <v>31</v>
      </c>
      <c r="L35" s="136">
        <f>'상담(여)'!L35</f>
        <v>48</v>
      </c>
      <c r="M35" s="484">
        <f>'상담(여)'!M35</f>
        <v>45</v>
      </c>
      <c r="N35" s="484">
        <f>'상담(여)'!N35</f>
        <v>58</v>
      </c>
      <c r="O35" s="413">
        <f>'상담(여)'!O35</f>
        <v>157</v>
      </c>
      <c r="P35" s="136">
        <f>'상담(여)'!P35</f>
        <v>176</v>
      </c>
      <c r="Q35" s="484" t="str">
        <f>'상담(여)'!Q35</f>
        <v>_</v>
      </c>
      <c r="R35" s="484">
        <f>'상담(여)'!R35</f>
        <v>48</v>
      </c>
      <c r="S35" s="413" t="str">
        <f>'상담(여)'!S35</f>
        <v>6.44</v>
      </c>
      <c r="T35" s="414" t="str">
        <f>'상담(여)'!T35</f>
        <v>6.69</v>
      </c>
      <c r="U35" s="222" t="str">
        <f>'상담(여)'!U35</f>
        <v>실기기본점수 160점/변별력 상승</v>
      </c>
    </row>
    <row r="36" spans="1:23" s="6" customFormat="1" ht="29.25" customHeight="1" thickBot="1">
      <c r="A36" s="262" t="str">
        <f>'상담(여)'!A36</f>
        <v>충남</v>
      </c>
      <c r="B36" s="159" t="str">
        <f>'상담(여)'!B36</f>
        <v>서원대 헬스케어운동</v>
      </c>
      <c r="C36" s="265">
        <f>'상담(여)'!C36</f>
        <v>165</v>
      </c>
      <c r="D36" s="266">
        <f>'상담(여)'!D36</f>
        <v>193</v>
      </c>
      <c r="E36" s="357">
        <f>'상담(여)'!E36</f>
        <v>175</v>
      </c>
      <c r="F36" s="284">
        <f t="shared" si="0"/>
        <v>-28</v>
      </c>
      <c r="G36" s="268">
        <f>'상담(여)'!G36</f>
        <v>800</v>
      </c>
      <c r="H36" s="407">
        <f>'상담(여)'!H36</f>
        <v>965</v>
      </c>
      <c r="I36" s="408">
        <f>'상담(여)'!I36</f>
        <v>986.6</v>
      </c>
      <c r="J36" s="409">
        <f>'상담(여)'!J36</f>
        <v>971.4</v>
      </c>
      <c r="K36" s="414">
        <f>'상담(여)'!K36</f>
        <v>25</v>
      </c>
      <c r="L36" s="136">
        <f>'상담(여)'!L36</f>
        <v>25</v>
      </c>
      <c r="M36" s="484">
        <f>'상담(여)'!M36</f>
        <v>25</v>
      </c>
      <c r="N36" s="484">
        <f>'상담(여)'!N36</f>
        <v>30</v>
      </c>
      <c r="O36" s="413">
        <f>'상담(여)'!O36</f>
        <v>46</v>
      </c>
      <c r="P36" s="136">
        <f>'상담(여)'!P36</f>
        <v>60</v>
      </c>
      <c r="Q36" s="484" t="str">
        <f>'상담(여)'!Q36</f>
        <v>_</v>
      </c>
      <c r="R36" s="484" t="str">
        <f>'상담(여)'!R36</f>
        <v>23신설</v>
      </c>
      <c r="S36" s="413" t="str">
        <f>'상담(여)'!S36</f>
        <v>8.24</v>
      </c>
      <c r="T36" s="414" t="str">
        <f>'상담(여)'!T36</f>
        <v>7.24</v>
      </c>
      <c r="U36" s="222" t="str">
        <f>'상담(여)'!U36</f>
        <v>실기기본점수 160점/변별력 상승</v>
      </c>
    </row>
    <row r="37" spans="1:23" ht="29.25" customHeight="1" thickBot="1">
      <c r="A37" s="262" t="str">
        <f>'상담(여)'!A37</f>
        <v>충남</v>
      </c>
      <c r="B37" s="159" t="str">
        <f>'상담(여)'!B37</f>
        <v>선문대 스포츠과학</v>
      </c>
      <c r="C37" s="265">
        <f>'상담(여)'!C37</f>
        <v>180</v>
      </c>
      <c r="D37" s="266">
        <f>'상담(여)'!D37</f>
        <v>120</v>
      </c>
      <c r="E37" s="357">
        <f>'상담(여)'!E37</f>
        <v>40</v>
      </c>
      <c r="F37" s="284">
        <f t="shared" si="0"/>
        <v>60</v>
      </c>
      <c r="G37" s="268">
        <f>'상담(여)'!G37</f>
        <v>800</v>
      </c>
      <c r="H37" s="407">
        <f>'상담(여)'!H37</f>
        <v>980</v>
      </c>
      <c r="I37" s="408">
        <f>'상담(여)'!I37</f>
        <v>830</v>
      </c>
      <c r="J37" s="409">
        <f>'상담(여)'!J37</f>
        <v>795</v>
      </c>
      <c r="K37" s="414">
        <f>'상담(여)'!K37</f>
        <v>27</v>
      </c>
      <c r="L37" s="136">
        <f>'상담(여)'!L37</f>
        <v>26</v>
      </c>
      <c r="M37" s="484">
        <f>'상담(여)'!M37</f>
        <v>24</v>
      </c>
      <c r="N37" s="484">
        <f>'상담(여)'!N37</f>
        <v>25</v>
      </c>
      <c r="O37" s="413">
        <f>'상담(여)'!O37</f>
        <v>16</v>
      </c>
      <c r="P37" s="136">
        <f>'상담(여)'!P37</f>
        <v>33</v>
      </c>
      <c r="Q37" s="484">
        <f>'상담(여)'!Q37</f>
        <v>18</v>
      </c>
      <c r="R37" s="484">
        <f>'상담(여)'!R37</f>
        <v>63</v>
      </c>
      <c r="S37" s="413" t="str">
        <f>'상담(여)'!S37</f>
        <v>5.35</v>
      </c>
      <c r="T37" s="414" t="str">
        <f>'상담(여)'!T37</f>
        <v>5.22</v>
      </c>
      <c r="U37" s="222" t="str">
        <f>'상담(여)'!U37</f>
        <v>.</v>
      </c>
    </row>
    <row r="38" spans="1:23" s="6" customFormat="1" ht="29.25" customHeight="1" thickBot="1">
      <c r="A38" s="262" t="str">
        <f>'상담(여)'!A38</f>
        <v>충남</v>
      </c>
      <c r="B38" s="159" t="str">
        <f>'상담(여)'!B38</f>
        <v>선문대 피트니스재활</v>
      </c>
      <c r="C38" s="265">
        <f>'상담(여)'!C38</f>
        <v>170</v>
      </c>
      <c r="D38" s="266">
        <f>'상담(여)'!D38</f>
        <v>120</v>
      </c>
      <c r="E38" s="357">
        <f>'상담(여)'!E38</f>
        <v>40</v>
      </c>
      <c r="F38" s="284">
        <f t="shared" si="0"/>
        <v>50</v>
      </c>
      <c r="G38" s="268">
        <f>'상담(여)'!G38</f>
        <v>800</v>
      </c>
      <c r="H38" s="407">
        <f>'상담(여)'!H38</f>
        <v>970</v>
      </c>
      <c r="I38" s="408">
        <f>'상담(여)'!I38</f>
        <v>780</v>
      </c>
      <c r="J38" s="409">
        <f>'상담(여)'!J38</f>
        <v>734</v>
      </c>
      <c r="K38" s="414">
        <f>'상담(여)'!K38</f>
        <v>27</v>
      </c>
      <c r="L38" s="136">
        <f>'상담(여)'!L38</f>
        <v>25</v>
      </c>
      <c r="M38" s="484">
        <f>'상담(여)'!M38</f>
        <v>24</v>
      </c>
      <c r="N38" s="484">
        <f>'상담(여)'!N38</f>
        <v>25</v>
      </c>
      <c r="O38" s="413">
        <f>'상담(여)'!O38</f>
        <v>19</v>
      </c>
      <c r="P38" s="136">
        <f>'상담(여)'!P38</f>
        <v>46</v>
      </c>
      <c r="Q38" s="484">
        <f>'상담(여)'!Q38</f>
        <v>31</v>
      </c>
      <c r="R38" s="484" t="str">
        <f>'상담(여)'!R38</f>
        <v>_</v>
      </c>
      <c r="S38" s="413" t="str">
        <f>'상담(여)'!S38</f>
        <v>4.08</v>
      </c>
      <c r="T38" s="414" t="str">
        <f>'상담(여)'!T38</f>
        <v>5.25</v>
      </c>
      <c r="U38" s="222" t="str">
        <f>'상담(여)'!U38</f>
        <v>.</v>
      </c>
    </row>
    <row r="39" spans="1:23" ht="29.25" customHeight="1" thickBot="1">
      <c r="A39" s="262" t="str">
        <f>'상담(여)'!A39</f>
        <v>경기</v>
      </c>
      <c r="B39" s="159" t="str">
        <f>'상담(여)'!B39</f>
        <v>성결대 체육교육</v>
      </c>
      <c r="C39" s="265">
        <f>'상담(여)'!C39</f>
        <v>400</v>
      </c>
      <c r="D39" s="266">
        <f>'상담(여)'!D39</f>
        <v>395</v>
      </c>
      <c r="E39" s="357">
        <f>'상담(여)'!E39</f>
        <v>385</v>
      </c>
      <c r="F39" s="284">
        <f t="shared" si="0"/>
        <v>5</v>
      </c>
      <c r="G39" s="268">
        <f>'상담(여)'!G39</f>
        <v>600</v>
      </c>
      <c r="H39" s="407">
        <f>'상담(여)'!H39</f>
        <v>1000</v>
      </c>
      <c r="I39" s="408">
        <f>'상담(여)'!I39</f>
        <v>991</v>
      </c>
      <c r="J39" s="409">
        <f>'상담(여)'!J39</f>
        <v>985</v>
      </c>
      <c r="K39" s="414">
        <f>'상담(여)'!K39</f>
        <v>14</v>
      </c>
      <c r="L39" s="136">
        <f>'상담(여)'!L39</f>
        <v>14</v>
      </c>
      <c r="M39" s="484">
        <f>'상담(여)'!M39</f>
        <v>14</v>
      </c>
      <c r="N39" s="484">
        <f>'상담(여)'!N39</f>
        <v>8</v>
      </c>
      <c r="O39" s="413">
        <f>'상담(여)'!O39</f>
        <v>6</v>
      </c>
      <c r="P39" s="136">
        <f>'상담(여)'!P39</f>
        <v>8</v>
      </c>
      <c r="Q39" s="484">
        <f>'상담(여)'!Q39</f>
        <v>3</v>
      </c>
      <c r="R39" s="484">
        <f>'상담(여)'!R39</f>
        <v>6</v>
      </c>
      <c r="S39" s="413" t="str">
        <f>'상담(여)'!S39</f>
        <v>16.93</v>
      </c>
      <c r="T39" s="414" t="str">
        <f>'상담(여)'!T39</f>
        <v>23.36</v>
      </c>
      <c r="U39" s="222" t="str">
        <f>'상담(여)'!U39</f>
        <v>내신반영방법 변경/교과점수 상승</v>
      </c>
    </row>
    <row r="40" spans="1:23" ht="29.25" customHeight="1" thickBot="1">
      <c r="A40" s="262" t="str">
        <f>'상담(여)'!A40</f>
        <v>충북</v>
      </c>
      <c r="B40" s="159" t="str">
        <f>'상담(여)'!B40</f>
        <v>세명대 생활체육</v>
      </c>
      <c r="C40" s="265">
        <f>'상담(여)'!C40</f>
        <v>200</v>
      </c>
      <c r="D40" s="266">
        <f>'상담(여)'!D40</f>
        <v>120</v>
      </c>
      <c r="E40" s="357">
        <f>'상담(여)'!E40</f>
        <v>40</v>
      </c>
      <c r="F40" s="284">
        <f t="shared" si="0"/>
        <v>80</v>
      </c>
      <c r="G40" s="268">
        <f>'상담(여)'!G40</f>
        <v>800</v>
      </c>
      <c r="H40" s="407">
        <f>'상담(여)'!H40</f>
        <v>1000</v>
      </c>
      <c r="I40" s="408">
        <f>'상담(여)'!I40</f>
        <v>860</v>
      </c>
      <c r="J40" s="409">
        <f>'상담(여)'!J40</f>
        <v>740</v>
      </c>
      <c r="K40" s="414">
        <f>'상담(여)'!K40</f>
        <v>30</v>
      </c>
      <c r="L40" s="136">
        <f>'상담(여)'!L40</f>
        <v>25</v>
      </c>
      <c r="M40" s="484">
        <f>'상담(여)'!M40</f>
        <v>25</v>
      </c>
      <c r="N40" s="484">
        <f>'상담(여)'!N40</f>
        <v>25</v>
      </c>
      <c r="O40" s="413">
        <f>'상담(여)'!O40</f>
        <v>51</v>
      </c>
      <c r="P40" s="136">
        <f>'상담(여)'!P40</f>
        <v>43</v>
      </c>
      <c r="Q40" s="484">
        <f>'상담(여)'!Q40</f>
        <v>116</v>
      </c>
      <c r="R40" s="484">
        <f>'상담(여)'!R40</f>
        <v>53</v>
      </c>
      <c r="S40" s="413" t="str">
        <f>'상담(여)'!S40</f>
        <v>3.44</v>
      </c>
      <c r="T40" s="414" t="str">
        <f>'상담(여)'!T40</f>
        <v>3.2</v>
      </c>
      <c r="U40" s="222" t="str">
        <f>'상담(여)'!U40</f>
        <v>윗몸폐지 농구신설 실기반영비율 증가</v>
      </c>
    </row>
    <row r="41" spans="1:23" ht="29.25" customHeight="1" thickBot="1">
      <c r="A41" s="262" t="str">
        <f>'상담(여)'!A41</f>
        <v>경기</v>
      </c>
      <c r="B41" s="159" t="str">
        <f>'상담(여)'!B41</f>
        <v>수원대 스포츠과학부</v>
      </c>
      <c r="C41" s="265">
        <f>'상담(여)'!C41</f>
        <v>400</v>
      </c>
      <c r="D41" s="266">
        <f>'상담(여)'!D41</f>
        <v>380</v>
      </c>
      <c r="E41" s="357">
        <f>'상담(여)'!E41</f>
        <v>367</v>
      </c>
      <c r="F41" s="284">
        <f t="shared" si="0"/>
        <v>20</v>
      </c>
      <c r="G41" s="268">
        <f>'상담(여)'!G41</f>
        <v>600</v>
      </c>
      <c r="H41" s="407">
        <f>'상담(여)'!H41</f>
        <v>1000</v>
      </c>
      <c r="I41" s="408">
        <f>'상담(여)'!I41</f>
        <v>974</v>
      </c>
      <c r="J41" s="409">
        <f>'상담(여)'!J41</f>
        <v>967</v>
      </c>
      <c r="K41" s="414" t="str">
        <f>'상담(여)'!K41</f>
        <v>기초 20
축구 13
농구 7
체조 5</v>
      </c>
      <c r="L41" s="136" t="str">
        <f>'상담(여)'!L41</f>
        <v>기초 20
축구 13
농구 7
체조 5</v>
      </c>
      <c r="M41" s="484">
        <f>'상담(여)'!M41</f>
        <v>20</v>
      </c>
      <c r="N41" s="484">
        <f>'상담(여)'!N41</f>
        <v>20</v>
      </c>
      <c r="O41" s="413">
        <f>'상담(여)'!O41</f>
        <v>23</v>
      </c>
      <c r="P41" s="136" t="str">
        <f>'상담(여)'!P41</f>
        <v>-</v>
      </c>
      <c r="Q41" s="484">
        <f>'상담(여)'!Q41</f>
        <v>16</v>
      </c>
      <c r="R41" s="484">
        <f>'상담(여)'!R41</f>
        <v>9</v>
      </c>
      <c r="S41" s="413" t="str">
        <f>'상담(여)'!S41</f>
        <v xml:space="preserve">27.85
</v>
      </c>
      <c r="T41" s="414" t="str">
        <f>'상담(여)'!T41</f>
        <v xml:space="preserve">27.05
</v>
      </c>
      <c r="U41" s="222" t="str">
        <f>'상담(여)'!U41</f>
        <v>기초체력 기준</v>
      </c>
    </row>
    <row r="42" spans="1:23" ht="29.25" customHeight="1" thickBot="1">
      <c r="A42" s="262" t="str">
        <f>'상담(여)'!A42</f>
        <v>서울</v>
      </c>
      <c r="B42" s="159" t="str">
        <f>'상담(여)'!B42</f>
        <v>숙명여대 체육교육</v>
      </c>
      <c r="C42" s="265">
        <f>'상담(여)'!C42</f>
        <v>400</v>
      </c>
      <c r="D42" s="266">
        <f>'상담(여)'!D42</f>
        <v>380</v>
      </c>
      <c r="E42" s="357">
        <f>'상담(여)'!E42</f>
        <v>354</v>
      </c>
      <c r="F42" s="284">
        <f t="shared" si="0"/>
        <v>20</v>
      </c>
      <c r="G42" s="268">
        <f>'상담(여)'!G42</f>
        <v>90</v>
      </c>
      <c r="H42" s="407">
        <f>'상담(여)'!H42</f>
        <v>490</v>
      </c>
      <c r="I42" s="408">
        <f>'상담(여)'!I42</f>
        <v>0</v>
      </c>
      <c r="J42" s="409">
        <f>'상담(여)'!J42</f>
        <v>0</v>
      </c>
      <c r="K42" s="414">
        <f>'상담(여)'!K42</f>
        <v>6</v>
      </c>
      <c r="L42" s="136">
        <f>'상담(여)'!L42</f>
        <v>6</v>
      </c>
      <c r="M42" s="484">
        <f>'상담(여)'!M42</f>
        <v>6</v>
      </c>
      <c r="N42" s="484">
        <f>'상담(여)'!N42</f>
        <v>5</v>
      </c>
      <c r="O42" s="413">
        <f>'상담(여)'!O42</f>
        <v>0</v>
      </c>
      <c r="P42" s="136">
        <f>'상담(여)'!P42</f>
        <v>0</v>
      </c>
      <c r="Q42" s="484">
        <f>'상담(여)'!Q42</f>
        <v>0</v>
      </c>
      <c r="R42" s="484">
        <f>'상담(여)'!R42</f>
        <v>2</v>
      </c>
      <c r="S42" s="413" t="str">
        <f>'상담(여)'!S42</f>
        <v>25.00</v>
      </c>
      <c r="T42" s="414" t="str">
        <f>'상담(여)'!T42</f>
        <v>22.3</v>
      </c>
      <c r="U42" s="222" t="str">
        <f>'상담(여)'!U42</f>
        <v>2등급 극초반까지 지원 고려</v>
      </c>
    </row>
    <row r="43" spans="1:23" ht="29.25" customHeight="1" thickBot="1">
      <c r="A43" s="262" t="str">
        <f>'상담(여)'!A43</f>
        <v>충남</v>
      </c>
      <c r="B43" s="159" t="str">
        <f>'상담(여)'!B43</f>
        <v>순천향대 스포츠과학</v>
      </c>
      <c r="C43" s="265">
        <f>'상담(여)'!C43</f>
        <v>300</v>
      </c>
      <c r="D43" s="266">
        <f>'상담(여)'!D43</f>
        <v>276</v>
      </c>
      <c r="E43" s="357">
        <f>'상담(여)'!E43</f>
        <v>252</v>
      </c>
      <c r="F43" s="284">
        <f t="shared" si="0"/>
        <v>24</v>
      </c>
      <c r="G43" s="268">
        <f>'상담(여)'!G43</f>
        <v>688.33333333333337</v>
      </c>
      <c r="H43" s="407">
        <f>'상담(여)'!H43</f>
        <v>988.33333333333337</v>
      </c>
      <c r="I43" s="408">
        <f>'상담(여)'!I43</f>
        <v>962</v>
      </c>
      <c r="J43" s="409">
        <f>'상담(여)'!J43</f>
        <v>952</v>
      </c>
      <c r="K43" s="414">
        <f>'상담(여)'!K43</f>
        <v>16</v>
      </c>
      <c r="L43" s="136">
        <f>'상담(여)'!L43</f>
        <v>16</v>
      </c>
      <c r="M43" s="484">
        <f>'상담(여)'!M43</f>
        <v>17</v>
      </c>
      <c r="N43" s="484">
        <f>'상담(여)'!N43</f>
        <v>17</v>
      </c>
      <c r="O43" s="413">
        <f>'상담(여)'!O43</f>
        <v>7</v>
      </c>
      <c r="P43" s="136">
        <f>'상담(여)'!P43</f>
        <v>13</v>
      </c>
      <c r="Q43" s="484">
        <f>'상담(여)'!Q43</f>
        <v>7</v>
      </c>
      <c r="R43" s="484">
        <f>'상담(여)'!R43</f>
        <v>7</v>
      </c>
      <c r="S43" s="413" t="str">
        <f>'상담(여)'!S43</f>
        <v>27.94</v>
      </c>
      <c r="T43" s="414" t="str">
        <f>'상담(여)'!T43</f>
        <v>18.47</v>
      </c>
      <c r="U43" s="222" t="str">
        <f>'상담(여)'!U43</f>
        <v>윗몸폐지 농구신설(45초)</v>
      </c>
    </row>
    <row r="44" spans="1:23" ht="29.25" customHeight="1" thickBot="1">
      <c r="A44" s="262" t="str">
        <f>'상담(여)'!A44</f>
        <v>충남</v>
      </c>
      <c r="B44" s="159" t="str">
        <f>'상담(여)'!B44</f>
        <v>순천향대 스포츠의학</v>
      </c>
      <c r="C44" s="265">
        <f>'상담(여)'!C44</f>
        <v>400</v>
      </c>
      <c r="D44" s="266">
        <f>'상담(여)'!D44</f>
        <v>382</v>
      </c>
      <c r="E44" s="357">
        <f>'상담(여)'!E44</f>
        <v>369</v>
      </c>
      <c r="F44" s="284">
        <f t="shared" si="0"/>
        <v>18</v>
      </c>
      <c r="G44" s="268">
        <f>'상담(여)'!G44</f>
        <v>600</v>
      </c>
      <c r="H44" s="407">
        <f>'상담(여)'!H44</f>
        <v>1000</v>
      </c>
      <c r="I44" s="408">
        <f>'상담(여)'!I44</f>
        <v>976</v>
      </c>
      <c r="J44" s="409">
        <f>'상담(여)'!J44</f>
        <v>969</v>
      </c>
      <c r="K44" s="414">
        <f>'상담(여)'!K44</f>
        <v>13</v>
      </c>
      <c r="L44" s="136">
        <f>'상담(여)'!L44</f>
        <v>13</v>
      </c>
      <c r="M44" s="484">
        <f>'상담(여)'!M44</f>
        <v>12</v>
      </c>
      <c r="N44" s="484">
        <f>'상담(여)'!N44</f>
        <v>15</v>
      </c>
      <c r="O44" s="413">
        <f>'상담(여)'!O44</f>
        <v>27</v>
      </c>
      <c r="P44" s="136">
        <f>'상담(여)'!P44</f>
        <v>19</v>
      </c>
      <c r="Q44" s="484">
        <f>'상담(여)'!Q44</f>
        <v>18</v>
      </c>
      <c r="R44" s="484">
        <f>'상담(여)'!R44</f>
        <v>25</v>
      </c>
      <c r="S44" s="413" t="str">
        <f>'상담(여)'!S44</f>
        <v>11.23</v>
      </c>
      <c r="T44" s="414" t="str">
        <f>'상담(여)'!T44</f>
        <v>13.0</v>
      </c>
      <c r="U44" s="222" t="str">
        <f>'상담(여)'!U44</f>
        <v>.</v>
      </c>
    </row>
    <row r="45" spans="1:23" ht="29.25" customHeight="1" thickBot="1">
      <c r="A45" s="262" t="str">
        <f>'상담(여)'!A45</f>
        <v>충남</v>
      </c>
      <c r="B45" s="159" t="str">
        <f>'상담(여)'!B45</f>
        <v>순천향대 스포츠응용산업</v>
      </c>
      <c r="C45" s="265">
        <f>'상담(여)'!C45</f>
        <v>300</v>
      </c>
      <c r="D45" s="266">
        <f>'상담(여)'!D45</f>
        <v>276</v>
      </c>
      <c r="E45" s="357">
        <f>'상담(여)'!E45</f>
        <v>262</v>
      </c>
      <c r="F45" s="284">
        <f t="shared" si="0"/>
        <v>24</v>
      </c>
      <c r="G45" s="268">
        <f>'상담(여)'!G45</f>
        <v>700</v>
      </c>
      <c r="H45" s="407">
        <f>'상담(여)'!H45</f>
        <v>1000</v>
      </c>
      <c r="I45" s="408">
        <f>'상담(여)'!I45</f>
        <v>968</v>
      </c>
      <c r="J45" s="409">
        <f>'상담(여)'!J45</f>
        <v>962</v>
      </c>
      <c r="K45" s="414">
        <f>'상담(여)'!K45</f>
        <v>20</v>
      </c>
      <c r="L45" s="136">
        <f>'상담(여)'!L45</f>
        <v>20</v>
      </c>
      <c r="M45" s="484">
        <f>'상담(여)'!M45</f>
        <v>19</v>
      </c>
      <c r="N45" s="484">
        <f>'상담(여)'!N45</f>
        <v>19</v>
      </c>
      <c r="O45" s="413">
        <f>'상담(여)'!O45</f>
        <v>6</v>
      </c>
      <c r="P45" s="136">
        <f>'상담(여)'!P45</f>
        <v>26</v>
      </c>
      <c r="Q45" s="484">
        <f>'상담(여)'!Q45</f>
        <v>26</v>
      </c>
      <c r="R45" s="484">
        <f>'상담(여)'!R45</f>
        <v>20</v>
      </c>
      <c r="S45" s="413" t="str">
        <f>'상담(여)'!S45</f>
        <v>21.60</v>
      </c>
      <c r="T45" s="414" t="str">
        <f>'상담(여)'!T45</f>
        <v>22.63</v>
      </c>
      <c r="U45" s="222" t="str">
        <f>'상담(여)'!U45</f>
        <v>학과명 변경</v>
      </c>
    </row>
    <row r="46" spans="1:23" s="9" customFormat="1" ht="29.25" customHeight="1" thickBot="1">
      <c r="A46" s="262" t="str">
        <f>'상담(여)'!A46</f>
        <v>인천</v>
      </c>
      <c r="B46" s="159" t="str">
        <f>'상담(여)'!B46</f>
        <v>안양대 스포츠과학</v>
      </c>
      <c r="C46" s="265">
        <f>'상담(여)'!C46</f>
        <v>350</v>
      </c>
      <c r="D46" s="266">
        <f>'상담(여)'!D46</f>
        <v>282</v>
      </c>
      <c r="E46" s="357">
        <f>'상담(여)'!E46</f>
        <v>230</v>
      </c>
      <c r="F46" s="284">
        <f t="shared" si="0"/>
        <v>68</v>
      </c>
      <c r="G46" s="268">
        <f>'상담(여)'!G46</f>
        <v>600</v>
      </c>
      <c r="H46" s="407">
        <f>'상담(여)'!H46</f>
        <v>950</v>
      </c>
      <c r="I46" s="408">
        <f>'상담(여)'!I46</f>
        <v>852</v>
      </c>
      <c r="J46" s="409">
        <f>'상담(여)'!J46</f>
        <v>830</v>
      </c>
      <c r="K46" s="414">
        <f>'상담(여)'!K46</f>
        <v>10</v>
      </c>
      <c r="L46" s="136">
        <f>'상담(여)'!L46</f>
        <v>7</v>
      </c>
      <c r="M46" s="484">
        <f>'상담(여)'!M46</f>
        <v>14</v>
      </c>
      <c r="N46" s="484">
        <f>'상담(여)'!N46</f>
        <v>12</v>
      </c>
      <c r="O46" s="413">
        <f>'상담(여)'!O46</f>
        <v>27</v>
      </c>
      <c r="P46" s="136">
        <f>'상담(여)'!P46</f>
        <v>42</v>
      </c>
      <c r="Q46" s="484">
        <f>'상담(여)'!Q46</f>
        <v>20</v>
      </c>
      <c r="R46" s="484">
        <f>'상담(여)'!R46</f>
        <v>64</v>
      </c>
      <c r="S46" s="413" t="str">
        <f>'상담(여)'!S46</f>
        <v>7.57</v>
      </c>
      <c r="T46" s="414" t="str">
        <f>'상담(여)'!T46</f>
        <v>5.36</v>
      </c>
      <c r="U46" s="222" t="str">
        <f>'상담(여)'!U46</f>
        <v>.</v>
      </c>
      <c r="V46" s="10"/>
      <c r="W46" s="10"/>
    </row>
    <row r="47" spans="1:23" s="6" customFormat="1" ht="29.25" hidden="1" customHeight="1">
      <c r="A47" s="262" t="str">
        <f>'상담(여)'!A47</f>
        <v>인천</v>
      </c>
      <c r="B47" s="159" t="str">
        <f>'상담(여)'!B47</f>
        <v>안양대 스포츠응용산업</v>
      </c>
      <c r="C47" s="265">
        <f>'상담(여)'!C47</f>
        <v>368</v>
      </c>
      <c r="D47" s="266">
        <f>'상담(여)'!D47</f>
        <v>0</v>
      </c>
      <c r="E47" s="357">
        <f>'상담(여)'!E47</f>
        <v>0</v>
      </c>
      <c r="F47" s="284">
        <f t="shared" si="0"/>
        <v>368</v>
      </c>
      <c r="G47" s="268">
        <f>'상담(여)'!G47</f>
        <v>600</v>
      </c>
      <c r="H47" s="407">
        <f>'상담(여)'!H47</f>
        <v>968</v>
      </c>
      <c r="I47" s="408">
        <f>'상담(여)'!I47</f>
        <v>800</v>
      </c>
      <c r="J47" s="409">
        <f>'상담(여)'!J47</f>
        <v>730</v>
      </c>
      <c r="K47" s="414" t="str">
        <f>'상담(여)'!K47</f>
        <v>일반학생선발</v>
      </c>
      <c r="L47" s="136">
        <f>'상담(여)'!L47</f>
        <v>4</v>
      </c>
      <c r="M47" s="484">
        <f>'상담(여)'!M47</f>
        <v>16</v>
      </c>
      <c r="N47" s="484">
        <f>'상담(여)'!N47</f>
        <v>0</v>
      </c>
      <c r="O47" s="413">
        <f>'상담(여)'!O47</f>
        <v>3</v>
      </c>
      <c r="P47" s="136" t="str">
        <f>'상담(여)'!P47</f>
        <v>-</v>
      </c>
      <c r="Q47" s="484" t="str">
        <f>'상담(여)'!Q47</f>
        <v>24신설</v>
      </c>
      <c r="R47" s="484">
        <f>'상담(여)'!R47</f>
        <v>0</v>
      </c>
      <c r="S47" s="413" t="str">
        <f>'상담(여)'!S47</f>
        <v>7.00</v>
      </c>
      <c r="T47" s="414" t="str">
        <f>'상담(여)'!T47</f>
        <v>3.25</v>
      </c>
      <c r="U47" s="222" t="str">
        <f>'상담(여)'!U47</f>
        <v>학과명 변경</v>
      </c>
    </row>
    <row r="48" spans="1:23" s="292" customFormat="1" ht="29.25" customHeight="1" thickBot="1">
      <c r="A48" s="262" t="str">
        <f>'상담(여)'!A48</f>
        <v>인천</v>
      </c>
      <c r="B48" s="159" t="str">
        <f>'상담(여)'!B48</f>
        <v>안양대 스포츠자율전공</v>
      </c>
      <c r="C48" s="265">
        <f>'상담(여)'!C48</f>
        <v>0</v>
      </c>
      <c r="D48" s="266">
        <f>'상담(여)'!D48</f>
        <v>322</v>
      </c>
      <c r="E48" s="357">
        <f>'상담(여)'!E48</f>
        <v>250</v>
      </c>
      <c r="F48" s="284">
        <f>C48-D48</f>
        <v>-322</v>
      </c>
      <c r="G48" s="268">
        <f>'상담(여)'!G48</f>
        <v>600</v>
      </c>
      <c r="H48" s="407">
        <f>'상담(여)'!H48</f>
        <v>600</v>
      </c>
      <c r="I48" s="408">
        <f>'상담(여)'!I48</f>
        <v>904</v>
      </c>
      <c r="J48" s="409">
        <f>'상담(여)'!J48</f>
        <v>850</v>
      </c>
      <c r="K48" s="414">
        <f>'상담(여)'!K48</f>
        <v>15</v>
      </c>
      <c r="L48" s="136">
        <f>'상담(여)'!L48</f>
        <v>15</v>
      </c>
      <c r="M48" s="484">
        <f>'상담(여)'!M48</f>
        <v>0</v>
      </c>
      <c r="N48" s="484">
        <f>'상담(여)'!N48</f>
        <v>0</v>
      </c>
      <c r="O48" s="413">
        <f>'상담(여)'!O48</f>
        <v>24</v>
      </c>
      <c r="P48" s="136" t="str">
        <f>'상담(여)'!P48</f>
        <v>25신설</v>
      </c>
      <c r="Q48" s="484">
        <f>'상담(여)'!Q48</f>
        <v>0</v>
      </c>
      <c r="R48" s="484">
        <f>'상담(여)'!R48</f>
        <v>0</v>
      </c>
      <c r="S48" s="413" t="str">
        <f>'상담(여)'!S48</f>
        <v>6.60</v>
      </c>
      <c r="T48" s="414">
        <f>'상담(여)'!T48</f>
        <v>0</v>
      </c>
      <c r="U48" s="222"/>
    </row>
    <row r="49" spans="1:23" ht="29.25" customHeight="1" thickBot="1">
      <c r="A49" s="262" t="str">
        <f>'상담(여)'!A49</f>
        <v>경기</v>
      </c>
      <c r="B49" s="159" t="str">
        <f>'상담(여)'!B49</f>
        <v>용인대 스포츠레저</v>
      </c>
      <c r="C49" s="265">
        <f>'상담(여)'!C49</f>
        <v>198</v>
      </c>
      <c r="D49" s="266">
        <f>'상담(여)'!D49</f>
        <v>138.5</v>
      </c>
      <c r="E49" s="357">
        <f>'상담(여)'!E49</f>
        <v>131</v>
      </c>
      <c r="F49" s="284">
        <f t="shared" si="0"/>
        <v>59.5</v>
      </c>
      <c r="G49" s="268">
        <f>'상담(여)'!G49</f>
        <v>350</v>
      </c>
      <c r="H49" s="407">
        <f>'상담(여)'!H49</f>
        <v>548</v>
      </c>
      <c r="I49" s="408">
        <f>'상담(여)'!I49</f>
        <v>483.5</v>
      </c>
      <c r="J49" s="409">
        <f>'상담(여)'!J49</f>
        <v>476</v>
      </c>
      <c r="K49" s="414">
        <f>'상담(여)'!K49</f>
        <v>8</v>
      </c>
      <c r="L49" s="136">
        <f>'상담(여)'!L49</f>
        <v>9</v>
      </c>
      <c r="M49" s="484">
        <f>'상담(여)'!M49</f>
        <v>16</v>
      </c>
      <c r="N49" s="484">
        <f>'상담(여)'!N49</f>
        <v>15</v>
      </c>
      <c r="O49" s="413">
        <f>'상담(여)'!O49</f>
        <v>1</v>
      </c>
      <c r="P49" s="136">
        <f>'상담(여)'!P49</f>
        <v>16</v>
      </c>
      <c r="Q49" s="484">
        <f>'상담(여)'!Q49</f>
        <v>23</v>
      </c>
      <c r="R49" s="484">
        <f>'상담(여)'!R49</f>
        <v>9</v>
      </c>
      <c r="S49" s="413" t="str">
        <f>'상담(여)'!S49</f>
        <v>33.56</v>
      </c>
      <c r="T49" s="414" t="str">
        <f>'상담(여)'!T49</f>
        <v>13.0</v>
      </c>
      <c r="U49" s="222" t="str">
        <f>'상담(여)'!U49</f>
        <v>.</v>
      </c>
    </row>
    <row r="50" spans="1:23" ht="29.25" customHeight="1" thickBot="1">
      <c r="A50" s="262" t="str">
        <f>'상담(여)'!A50</f>
        <v>경기</v>
      </c>
      <c r="B50" s="159" t="str">
        <f>'상담(여)'!B50</f>
        <v>용인대 특수체육교육</v>
      </c>
      <c r="C50" s="265">
        <f>'상담(여)'!C50</f>
        <v>192</v>
      </c>
      <c r="D50" s="266">
        <f>'상담(여)'!D50</f>
        <v>142.5</v>
      </c>
      <c r="E50" s="357">
        <f>'상담(여)'!E50</f>
        <v>140.69999999999999</v>
      </c>
      <c r="F50" s="284">
        <f t="shared" si="0"/>
        <v>49.5</v>
      </c>
      <c r="G50" s="268">
        <f>'상담(여)'!G50</f>
        <v>350</v>
      </c>
      <c r="H50" s="407">
        <f>'상담(여)'!H50</f>
        <v>542</v>
      </c>
      <c r="I50" s="408">
        <f>'상담(여)'!I50</f>
        <v>492.5</v>
      </c>
      <c r="J50" s="409">
        <f>'상담(여)'!J50</f>
        <v>490.7</v>
      </c>
      <c r="K50" s="414">
        <f>'상담(여)'!K50</f>
        <v>12</v>
      </c>
      <c r="L50" s="136">
        <f>'상담(여)'!L50</f>
        <v>12</v>
      </c>
      <c r="M50" s="484">
        <f>'상담(여)'!M50</f>
        <v>12</v>
      </c>
      <c r="N50" s="484">
        <f>'상담(여)'!N50</f>
        <v>13</v>
      </c>
      <c r="O50" s="413">
        <f>'상담(여)'!O50</f>
        <v>15</v>
      </c>
      <c r="P50" s="136">
        <f>'상담(여)'!P50</f>
        <v>14</v>
      </c>
      <c r="Q50" s="484">
        <f>'상담(여)'!Q50</f>
        <v>19</v>
      </c>
      <c r="R50" s="484">
        <f>'상담(여)'!R50</f>
        <v>22</v>
      </c>
      <c r="S50" s="413" t="str">
        <f>'상담(여)'!S50</f>
        <v>19.17</v>
      </c>
      <c r="T50" s="414" t="str">
        <f>'상담(여)'!T50</f>
        <v>16.0</v>
      </c>
      <c r="U50" s="222" t="str">
        <f>'상담(여)'!U50</f>
        <v>.</v>
      </c>
    </row>
    <row r="51" spans="1:23" s="5" customFormat="1" ht="29.25" customHeight="1" thickBot="1">
      <c r="A51" s="262" t="str">
        <f>'상담(여)'!A51</f>
        <v>경기</v>
      </c>
      <c r="B51" s="159" t="str">
        <f>'상담(여)'!B51</f>
        <v>용인대 체육</v>
      </c>
      <c r="C51" s="265">
        <f>'상담(여)'!C51</f>
        <v>0</v>
      </c>
      <c r="D51" s="266">
        <f>'상담(여)'!D51</f>
        <v>139.5</v>
      </c>
      <c r="E51" s="357">
        <f>'상담(여)'!E51</f>
        <v>137</v>
      </c>
      <c r="F51" s="284">
        <f>C51-D51</f>
        <v>-139.5</v>
      </c>
      <c r="G51" s="268">
        <f>'상담(여)'!G51</f>
        <v>350</v>
      </c>
      <c r="H51" s="407">
        <f>'상담(여)'!H51</f>
        <v>350</v>
      </c>
      <c r="I51" s="408">
        <f>'상담(여)'!I51</f>
        <v>484.5</v>
      </c>
      <c r="J51" s="409">
        <f>'상담(여)'!J51</f>
        <v>482</v>
      </c>
      <c r="K51" s="414">
        <f>'상담(여)'!K51</f>
        <v>13</v>
      </c>
      <c r="L51" s="136">
        <f>'상담(여)'!L51</f>
        <v>12</v>
      </c>
      <c r="M51" s="484">
        <f>'상담(여)'!M51</f>
        <v>0</v>
      </c>
      <c r="N51" s="484">
        <f>'상담(여)'!N51</f>
        <v>0</v>
      </c>
      <c r="O51" s="413">
        <f>'상담(여)'!O51</f>
        <v>16</v>
      </c>
      <c r="P51" s="136" t="str">
        <f>'상담(여)'!P51</f>
        <v>25신설</v>
      </c>
      <c r="Q51" s="484">
        <f>'상담(여)'!Q51</f>
        <v>0</v>
      </c>
      <c r="R51" s="484">
        <f>'상담(여)'!R51</f>
        <v>0</v>
      </c>
      <c r="S51" s="413" t="str">
        <f>'상담(여)'!S51</f>
        <v>40.25</v>
      </c>
      <c r="T51" s="414">
        <f>'상담(여)'!T51</f>
        <v>0</v>
      </c>
      <c r="U51" s="222"/>
      <c r="V51" s="292"/>
      <c r="W51" s="292"/>
    </row>
    <row r="52" spans="1:23" ht="29.25" customHeight="1" thickBot="1">
      <c r="A52" s="262" t="str">
        <f>'상담(여)'!A52</f>
        <v>전북</v>
      </c>
      <c r="B52" s="159" t="str">
        <f>'상담(여)'!B52</f>
        <v>원광대 스포츠과학</v>
      </c>
      <c r="C52" s="265">
        <f>'상담(여)'!C52</f>
        <v>524</v>
      </c>
      <c r="D52" s="266">
        <f>'상담(여)'!D52</f>
        <v>540</v>
      </c>
      <c r="E52" s="357">
        <f>'상담(여)'!E52</f>
        <v>530</v>
      </c>
      <c r="F52" s="284">
        <f t="shared" si="0"/>
        <v>-16</v>
      </c>
      <c r="G52" s="268">
        <f>'상담(여)'!G52</f>
        <v>1000</v>
      </c>
      <c r="H52" s="407">
        <f>'상담(여)'!H52</f>
        <v>1524</v>
      </c>
      <c r="I52" s="408">
        <f>'상담(여)'!I52</f>
        <v>1455</v>
      </c>
      <c r="J52" s="409">
        <f>'상담(여)'!J52</f>
        <v>1354</v>
      </c>
      <c r="K52" s="414">
        <f>'상담(여)'!K52</f>
        <v>45</v>
      </c>
      <c r="L52" s="136">
        <f>'상담(여)'!L52</f>
        <v>45</v>
      </c>
      <c r="M52" s="484">
        <f>'상담(여)'!M52</f>
        <v>53</v>
      </c>
      <c r="N52" s="484">
        <f>'상담(여)'!N52</f>
        <v>53</v>
      </c>
      <c r="O52" s="413">
        <f>'상담(여)'!O52</f>
        <v>67</v>
      </c>
      <c r="P52" s="136">
        <f>'상담(여)'!P52</f>
        <v>115</v>
      </c>
      <c r="Q52" s="484">
        <f>'상담(여)'!Q52</f>
        <v>106</v>
      </c>
      <c r="R52" s="484">
        <f>'상담(여)'!R52</f>
        <v>61</v>
      </c>
      <c r="S52" s="413" t="str">
        <f>'상담(여)'!S52</f>
        <v>4.11</v>
      </c>
      <c r="T52" s="414" t="str">
        <f>'상담(여)'!T52</f>
        <v>4.02</v>
      </c>
      <c r="U52" s="222" t="str">
        <f>'상담(여)'!U52</f>
        <v>교과점수 반영 변경 자연 상승발생</v>
      </c>
    </row>
    <row r="53" spans="1:23" ht="29.25" customHeight="1" thickBot="1">
      <c r="A53" s="262" t="str">
        <f>'상담(여)'!A53</f>
        <v>전북</v>
      </c>
      <c r="B53" s="159" t="str">
        <f>'상담(여)'!B53</f>
        <v>원광대 체육교육</v>
      </c>
      <c r="C53" s="265">
        <f>'상담(여)'!C53</f>
        <v>582</v>
      </c>
      <c r="D53" s="266">
        <f>'상담(여)'!D53</f>
        <v>582.5</v>
      </c>
      <c r="E53" s="357">
        <f>'상담(여)'!E53</f>
        <v>530</v>
      </c>
      <c r="F53" s="284">
        <f t="shared" si="0"/>
        <v>-0.5</v>
      </c>
      <c r="G53" s="268">
        <f>'상담(여)'!G53</f>
        <v>1000</v>
      </c>
      <c r="H53" s="407">
        <f>'상담(여)'!H53</f>
        <v>1582</v>
      </c>
      <c r="I53" s="408">
        <f>'상담(여)'!I53</f>
        <v>1450</v>
      </c>
      <c r="J53" s="409">
        <f>'상담(여)'!J53</f>
        <v>1250</v>
      </c>
      <c r="K53" s="414">
        <f>'상담(여)'!K53</f>
        <v>18</v>
      </c>
      <c r="L53" s="136">
        <f>'상담(여)'!L53</f>
        <v>18</v>
      </c>
      <c r="M53" s="484">
        <f>'상담(여)'!M53</f>
        <v>18</v>
      </c>
      <c r="N53" s="484">
        <f>'상담(여)'!N53</f>
        <v>18</v>
      </c>
      <c r="O53" s="413">
        <f>'상담(여)'!O53</f>
        <v>9</v>
      </c>
      <c r="P53" s="136">
        <f>'상담(여)'!P53</f>
        <v>10</v>
      </c>
      <c r="Q53" s="484">
        <f>'상담(여)'!Q53</f>
        <v>4</v>
      </c>
      <c r="R53" s="484">
        <f>'상담(여)'!R53</f>
        <v>4</v>
      </c>
      <c r="S53" s="413" t="str">
        <f>'상담(여)'!S53</f>
        <v>16.44</v>
      </c>
      <c r="T53" s="414" t="str">
        <f>'상담(여)'!T53</f>
        <v>15.56</v>
      </c>
      <c r="U53" s="222" t="str">
        <f>'상담(여)'!U53</f>
        <v>교과점수 반영 변경 자연 상승발생</v>
      </c>
    </row>
    <row r="54" spans="1:23" ht="29.25" hidden="1" customHeight="1">
      <c r="A54" s="395" t="str">
        <f>'상담(여)'!A54</f>
        <v>경기</v>
      </c>
      <c r="B54" s="355" t="str">
        <f>'상담(여)'!B54</f>
        <v>을지대 스포츠아웃도어</v>
      </c>
      <c r="C54" s="333">
        <f>'상담(여)'!C54</f>
        <v>300</v>
      </c>
      <c r="D54" s="334">
        <f>'상담(여)'!D54</f>
        <v>255.7</v>
      </c>
      <c r="E54" s="358">
        <f>'상담(여)'!E54</f>
        <v>185.1</v>
      </c>
      <c r="F54" s="341">
        <f t="shared" si="0"/>
        <v>44.300000000000011</v>
      </c>
      <c r="G54" s="342">
        <f>'상담(여)'!G54</f>
        <v>700</v>
      </c>
      <c r="H54" s="410">
        <f>'상담(여)'!H54</f>
        <v>1000</v>
      </c>
      <c r="I54" s="411">
        <f>'상담(여)'!I54</f>
        <v>916</v>
      </c>
      <c r="J54" s="412">
        <f>'상담(여)'!J54</f>
        <v>892</v>
      </c>
      <c r="K54" s="414" t="str">
        <f>'상담(여)'!K54</f>
        <v>-</v>
      </c>
      <c r="L54" s="394">
        <f>'상담(여)'!L54</f>
        <v>0</v>
      </c>
      <c r="M54" s="485">
        <f>'상담(여)'!M54</f>
        <v>25</v>
      </c>
      <c r="N54" s="485">
        <f>'상담(여)'!N54</f>
        <v>27</v>
      </c>
      <c r="O54" s="413">
        <f>'상담(여)'!O54</f>
        <v>0</v>
      </c>
      <c r="P54" s="394">
        <f>'상담(여)'!P54</f>
        <v>0</v>
      </c>
      <c r="Q54" s="485">
        <f>'상담(여)'!Q54</f>
        <v>26</v>
      </c>
      <c r="R54" s="485">
        <f>'상담(여)'!R54</f>
        <v>27</v>
      </c>
      <c r="S54" s="413">
        <f>'상담(여)'!S54</f>
        <v>0</v>
      </c>
      <c r="T54" s="414">
        <f>'상담(여)'!T54</f>
        <v>0</v>
      </c>
      <c r="U54" s="222" t="str">
        <f>'상담(여)'!U54</f>
        <v>폐지</v>
      </c>
    </row>
    <row r="55" spans="1:23" ht="29.25" customHeight="1" thickBot="1">
      <c r="A55" s="262" t="str">
        <f>'상담(여)'!A55</f>
        <v>인천</v>
      </c>
      <c r="B55" s="159" t="str">
        <f>'상담(여)'!B55</f>
        <v>인천대 운동건강</v>
      </c>
      <c r="C55" s="265">
        <f>'상담(여)'!C55</f>
        <v>200</v>
      </c>
      <c r="D55" s="266">
        <f>'상담(여)'!D55</f>
        <v>194.6</v>
      </c>
      <c r="E55" s="357">
        <f>'상담(여)'!E55</f>
        <v>190.1</v>
      </c>
      <c r="F55" s="284">
        <f t="shared" si="0"/>
        <v>5.4000000000000057</v>
      </c>
      <c r="G55" s="268">
        <f>'상담(여)'!G55</f>
        <v>200</v>
      </c>
      <c r="H55" s="407">
        <f>'상담(여)'!H55</f>
        <v>400</v>
      </c>
      <c r="I55" s="408">
        <f>'상담(여)'!I55</f>
        <v>487.6</v>
      </c>
      <c r="J55" s="409">
        <f>'상담(여)'!J55</f>
        <v>483.1</v>
      </c>
      <c r="K55" s="414">
        <f>'상담(여)'!K55</f>
        <v>20</v>
      </c>
      <c r="L55" s="136">
        <f>'상담(여)'!L55</f>
        <v>20</v>
      </c>
      <c r="M55" s="484">
        <f>'상담(여)'!M55</f>
        <v>20</v>
      </c>
      <c r="N55" s="484">
        <f>'상담(여)'!N55</f>
        <v>24</v>
      </c>
      <c r="O55" s="413">
        <f>'상담(여)'!O55</f>
        <v>1</v>
      </c>
      <c r="P55" s="136">
        <f>'상담(여)'!P55</f>
        <v>4</v>
      </c>
      <c r="Q55" s="484">
        <f>'상담(여)'!Q55</f>
        <v>7</v>
      </c>
      <c r="R55" s="484">
        <f>'상담(여)'!R55</f>
        <v>5</v>
      </c>
      <c r="S55" s="413" t="str">
        <f>'상담(여)'!S55</f>
        <v>16.05</v>
      </c>
      <c r="T55" s="414" t="str">
        <f>'상담(여)'!T55</f>
        <v>18.35</v>
      </c>
      <c r="U55" s="222" t="str">
        <f>'상담(여)'!U55</f>
        <v>.</v>
      </c>
    </row>
    <row r="56" spans="1:23" ht="29.25" customHeight="1" thickBot="1">
      <c r="A56" s="262" t="str">
        <f>'상담(여)'!A56</f>
        <v>인천</v>
      </c>
      <c r="B56" s="159" t="str">
        <f>'상담(여)'!B56</f>
        <v>인천대 스포츠과학</v>
      </c>
      <c r="C56" s="265">
        <f>'상담(여)'!C56</f>
        <v>200</v>
      </c>
      <c r="D56" s="266">
        <f>'상담(여)'!D56</f>
        <v>195.4</v>
      </c>
      <c r="E56" s="357">
        <f>'상담(여)'!E56</f>
        <v>192.1</v>
      </c>
      <c r="F56" s="284">
        <f t="shared" si="0"/>
        <v>4.5999999999999943</v>
      </c>
      <c r="G56" s="268">
        <f>'상담(여)'!G56</f>
        <v>300</v>
      </c>
      <c r="H56" s="407">
        <f>'상담(여)'!H56</f>
        <v>500</v>
      </c>
      <c r="I56" s="408">
        <f>'상담(여)'!I56</f>
        <v>488.4</v>
      </c>
      <c r="J56" s="409">
        <f>'상담(여)'!J56</f>
        <v>485.1</v>
      </c>
      <c r="K56" s="414">
        <f>'상담(여)'!K56</f>
        <v>27</v>
      </c>
      <c r="L56" s="136">
        <f>'상담(여)'!L56</f>
        <v>27</v>
      </c>
      <c r="M56" s="484">
        <f>'상담(여)'!M56</f>
        <v>27</v>
      </c>
      <c r="N56" s="484">
        <f>'상담(여)'!N56</f>
        <v>27</v>
      </c>
      <c r="O56" s="413">
        <f>'상담(여)'!O56</f>
        <v>4</v>
      </c>
      <c r="P56" s="136">
        <f>'상담(여)'!P56</f>
        <v>3</v>
      </c>
      <c r="Q56" s="484">
        <f>'상담(여)'!Q56</f>
        <v>3</v>
      </c>
      <c r="R56" s="484">
        <f>'상담(여)'!R56</f>
        <v>6</v>
      </c>
      <c r="S56" s="413" t="str">
        <f>'상담(여)'!S56</f>
        <v>7.74</v>
      </c>
      <c r="T56" s="414" t="str">
        <f>'상담(여)'!T56</f>
        <v>8.37</v>
      </c>
      <c r="U56" s="222" t="str">
        <f>'상담(여)'!U56</f>
        <v>.</v>
      </c>
    </row>
    <row r="57" spans="1:23" ht="29.25" customHeight="1" thickBot="1">
      <c r="A57" s="262" t="str">
        <f>'상담(여)'!A57</f>
        <v>인천</v>
      </c>
      <c r="B57" s="159" t="str">
        <f>'상담(여)'!B57</f>
        <v>인천대 체육교육</v>
      </c>
      <c r="C57" s="265">
        <f>'상담(여)'!C57</f>
        <v>200</v>
      </c>
      <c r="D57" s="266">
        <f>'상담(여)'!D57</f>
        <v>198.4</v>
      </c>
      <c r="E57" s="357">
        <f>'상담(여)'!E57</f>
        <v>197.1</v>
      </c>
      <c r="F57" s="284">
        <f t="shared" si="0"/>
        <v>1.5999999999999943</v>
      </c>
      <c r="G57" s="268">
        <f>'상담(여)'!G57</f>
        <v>300</v>
      </c>
      <c r="H57" s="407">
        <f>'상담(여)'!H57</f>
        <v>500</v>
      </c>
      <c r="I57" s="408">
        <f>'상담(여)'!I57</f>
        <v>395.4</v>
      </c>
      <c r="J57" s="409">
        <f>'상담(여)'!J57</f>
        <v>392.4</v>
      </c>
      <c r="K57" s="414">
        <f>'상담(여)'!K57</f>
        <v>8</v>
      </c>
      <c r="L57" s="136">
        <f>'상담(여)'!L57</f>
        <v>7</v>
      </c>
      <c r="M57" s="484">
        <f>'상담(여)'!M57</f>
        <v>7</v>
      </c>
      <c r="N57" s="484">
        <f>'상담(여)'!N57</f>
        <v>6</v>
      </c>
      <c r="O57" s="413">
        <f>'상담(여)'!O57</f>
        <v>3</v>
      </c>
      <c r="P57" s="136">
        <f>'상담(여)'!P57</f>
        <v>0</v>
      </c>
      <c r="Q57" s="484">
        <f>'상담(여)'!Q57</f>
        <v>1</v>
      </c>
      <c r="R57" s="484">
        <f>'상담(여)'!R57</f>
        <v>6</v>
      </c>
      <c r="S57" s="413" t="str">
        <f>'상담(여)'!S57</f>
        <v>15.29</v>
      </c>
      <c r="T57" s="414" t="str">
        <f>'상담(여)'!T57</f>
        <v>11.14</v>
      </c>
      <c r="U57" s="222" t="str">
        <f>'상담(여)'!U57</f>
        <v>턱걸이,매달리기 폐지 매던 신설</v>
      </c>
    </row>
    <row r="58" spans="1:23" ht="29.25" customHeight="1" thickBot="1">
      <c r="A58" s="262" t="str">
        <f>'상담(여)'!A58</f>
        <v>충남</v>
      </c>
      <c r="B58" s="159" t="str">
        <f>'상담(여)'!B58</f>
        <v>중부대 스포츠재활복지</v>
      </c>
      <c r="C58" s="265">
        <f>'상담(여)'!C58</f>
        <v>260</v>
      </c>
      <c r="D58" s="266">
        <f>'상담(여)'!D58</f>
        <v>235</v>
      </c>
      <c r="E58" s="357">
        <f>'상담(여)'!E58</f>
        <v>160</v>
      </c>
      <c r="F58" s="284">
        <f t="shared" si="0"/>
        <v>25</v>
      </c>
      <c r="G58" s="268">
        <f>'상담(여)'!G58</f>
        <v>700</v>
      </c>
      <c r="H58" s="407">
        <f>'상담(여)'!H58</f>
        <v>960</v>
      </c>
      <c r="I58" s="408">
        <f>'상담(여)'!I58</f>
        <v>882</v>
      </c>
      <c r="J58" s="409">
        <f>'상담(여)'!J58</f>
        <v>836</v>
      </c>
      <c r="K58" s="414">
        <f>'상담(여)'!K58</f>
        <v>10</v>
      </c>
      <c r="L58" s="136">
        <f>'상담(여)'!L58</f>
        <v>10</v>
      </c>
      <c r="M58" s="484">
        <f>'상담(여)'!M58</f>
        <v>26</v>
      </c>
      <c r="N58" s="484">
        <f>'상담(여)'!N58</f>
        <v>22</v>
      </c>
      <c r="O58" s="413">
        <f>'상담(여)'!O58</f>
        <v>25</v>
      </c>
      <c r="P58" s="136">
        <f>'상담(여)'!P58</f>
        <v>22</v>
      </c>
      <c r="Q58" s="484">
        <f>'상담(여)'!Q58</f>
        <v>60</v>
      </c>
      <c r="R58" s="484">
        <f>'상담(여)'!R58</f>
        <v>101</v>
      </c>
      <c r="S58" s="413" t="str">
        <f>'상담(여)'!S58</f>
        <v>5.90</v>
      </c>
      <c r="T58" s="414" t="str">
        <f>'상담(여)'!T58</f>
        <v>2.19</v>
      </c>
      <c r="U58" s="222" t="str">
        <f>'상담(여)'!U58</f>
        <v>경쟁률과 컷라인 민감</v>
      </c>
    </row>
    <row r="59" spans="1:23" ht="29.25" customHeight="1" thickBot="1">
      <c r="A59" s="262" t="str">
        <f>'상담(여)'!A59</f>
        <v>충남</v>
      </c>
      <c r="B59" s="159" t="str">
        <f>'상담(여)'!B59</f>
        <v>중부대 스포츠건강관리</v>
      </c>
      <c r="C59" s="265">
        <f>'상담(여)'!C59</f>
        <v>270</v>
      </c>
      <c r="D59" s="266">
        <f>'상담(여)'!D59</f>
        <v>220</v>
      </c>
      <c r="E59" s="357">
        <f>'상담(여)'!E59</f>
        <v>160</v>
      </c>
      <c r="F59" s="284">
        <f t="shared" si="0"/>
        <v>50</v>
      </c>
      <c r="G59" s="268">
        <f>'상담(여)'!G59</f>
        <v>700</v>
      </c>
      <c r="H59" s="407">
        <f>'상담(여)'!H59</f>
        <v>970</v>
      </c>
      <c r="I59" s="408">
        <f>'상담(여)'!I59</f>
        <v>848</v>
      </c>
      <c r="J59" s="409">
        <f>'상담(여)'!J59</f>
        <v>808</v>
      </c>
      <c r="K59" s="414">
        <f>'상담(여)'!K59</f>
        <v>12</v>
      </c>
      <c r="L59" s="136">
        <f>'상담(여)'!L59</f>
        <v>10</v>
      </c>
      <c r="M59" s="484">
        <f>'상담(여)'!M59</f>
        <v>21</v>
      </c>
      <c r="N59" s="484">
        <f>'상담(여)'!N59</f>
        <v>25</v>
      </c>
      <c r="O59" s="413">
        <f>'상담(여)'!O59</f>
        <v>35</v>
      </c>
      <c r="P59" s="136">
        <f>'상담(여)'!P59</f>
        <v>67</v>
      </c>
      <c r="Q59" s="484">
        <f>'상담(여)'!Q59</f>
        <v>71</v>
      </c>
      <c r="R59" s="484">
        <f>'상담(여)'!R59</f>
        <v>78</v>
      </c>
      <c r="S59" s="413" t="str">
        <f>'상담(여)'!S59</f>
        <v>5.20</v>
      </c>
      <c r="T59" s="414" t="str">
        <f>'상담(여)'!T59</f>
        <v>4.86</v>
      </c>
      <c r="U59" s="222" t="str">
        <f>'상담(여)'!U59</f>
        <v>경쟁률과 컷라인 민감</v>
      </c>
    </row>
    <row r="60" spans="1:23" ht="29.25" customHeight="1" thickBot="1">
      <c r="A60" s="262" t="str">
        <f>'상담(여)'!A60</f>
        <v>경기</v>
      </c>
      <c r="B60" s="159" t="str">
        <f>'상담(여)'!B60</f>
        <v>중부대 특수체육교육</v>
      </c>
      <c r="C60" s="265">
        <f>'상담(여)'!C60</f>
        <v>288</v>
      </c>
      <c r="D60" s="266">
        <f>'상담(여)'!D60</f>
        <v>280</v>
      </c>
      <c r="E60" s="357">
        <f>'상담(여)'!E60</f>
        <v>225</v>
      </c>
      <c r="F60" s="284">
        <f t="shared" si="0"/>
        <v>8</v>
      </c>
      <c r="G60" s="268">
        <f>'상담(여)'!G60</f>
        <v>700</v>
      </c>
      <c r="H60" s="407">
        <f>'상담(여)'!H60</f>
        <v>988</v>
      </c>
      <c r="I60" s="408">
        <f>'상담(여)'!I60</f>
        <v>955</v>
      </c>
      <c r="J60" s="409">
        <f>'상담(여)'!J60</f>
        <v>925</v>
      </c>
      <c r="K60" s="414">
        <f>'상담(여)'!K60</f>
        <v>18</v>
      </c>
      <c r="L60" s="136">
        <f>'상담(여)'!L60</f>
        <v>18</v>
      </c>
      <c r="M60" s="484">
        <f>'상담(여)'!M60</f>
        <v>18</v>
      </c>
      <c r="N60" s="484">
        <f>'상담(여)'!N60</f>
        <v>18</v>
      </c>
      <c r="O60" s="413">
        <f>'상담(여)'!O60</f>
        <v>31</v>
      </c>
      <c r="P60" s="136">
        <f>'상담(여)'!P60</f>
        <v>35</v>
      </c>
      <c r="Q60" s="484">
        <f>'상담(여)'!Q60</f>
        <v>44</v>
      </c>
      <c r="R60" s="484">
        <f>'상담(여)'!R60</f>
        <v>29</v>
      </c>
      <c r="S60" s="413" t="str">
        <f>'상담(여)'!S60</f>
        <v>7.44</v>
      </c>
      <c r="T60" s="414" t="str">
        <f>'상담(여)'!T60</f>
        <v>8.67</v>
      </c>
      <c r="U60" s="222" t="str">
        <f>'상담(여)'!U60</f>
        <v>.</v>
      </c>
    </row>
    <row r="61" spans="1:23" ht="29.25" hidden="1" customHeight="1">
      <c r="A61" s="262" t="str">
        <f>'상담(여)'!A61</f>
        <v>충북</v>
      </c>
      <c r="B61" s="159" t="str">
        <f>'상담(여)'!B61</f>
        <v>중원대 스포츠경영학부</v>
      </c>
      <c r="C61" s="265">
        <f>'상담(여)'!C61</f>
        <v>180</v>
      </c>
      <c r="D61" s="266">
        <f>'상담(여)'!D61</f>
        <v>134</v>
      </c>
      <c r="E61" s="357">
        <f>'상담(여)'!E61</f>
        <v>104</v>
      </c>
      <c r="F61" s="284">
        <f t="shared" si="0"/>
        <v>46</v>
      </c>
      <c r="G61" s="268">
        <f>'상담(여)'!G61</f>
        <v>800</v>
      </c>
      <c r="H61" s="407">
        <f>'상담(여)'!H61</f>
        <v>980</v>
      </c>
      <c r="I61" s="408">
        <f>'상담(여)'!I61</f>
        <v>0</v>
      </c>
      <c r="J61" s="409">
        <f>'상담(여)'!J61</f>
        <v>0</v>
      </c>
      <c r="K61" s="414" t="str">
        <f>'상담(여)'!K61</f>
        <v>-</v>
      </c>
      <c r="L61" s="136">
        <f>'상담(여)'!L61</f>
        <v>19</v>
      </c>
      <c r="M61" s="484">
        <f>'상담(여)'!M61</f>
        <v>15</v>
      </c>
      <c r="N61" s="484">
        <f>'상담(여)'!N61</f>
        <v>15</v>
      </c>
      <c r="O61" s="413">
        <f>'상담(여)'!O61</f>
        <v>0</v>
      </c>
      <c r="P61" s="136" t="str">
        <f>'상담(여)'!P61</f>
        <v>-</v>
      </c>
      <c r="Q61" s="484">
        <f>'상담(여)'!Q61</f>
        <v>19</v>
      </c>
      <c r="R61" s="484">
        <f>'상담(여)'!R61</f>
        <v>79</v>
      </c>
      <c r="S61" s="413" t="str">
        <f>'상담(여)'!S61</f>
        <v>1.79</v>
      </c>
      <c r="T61" s="414" t="str">
        <f>'상담(여)'!T61</f>
        <v>3.6</v>
      </c>
      <c r="U61" s="222" t="str">
        <f>'상담(여)'!U61</f>
        <v>미선발</v>
      </c>
    </row>
    <row r="62" spans="1:23" ht="29.25" customHeight="1" thickBot="1">
      <c r="A62" s="262" t="str">
        <f>'상담(여)'!A62</f>
        <v>충북</v>
      </c>
      <c r="B62" s="159" t="str">
        <f>'상담(여)'!B62</f>
        <v>한국교통대 스포츠의학</v>
      </c>
      <c r="C62" s="265">
        <f>'상담(여)'!C62</f>
        <v>590</v>
      </c>
      <c r="D62" s="266">
        <f>'상담(여)'!D62</f>
        <v>561</v>
      </c>
      <c r="E62" s="357">
        <f>'상담(여)'!E62</f>
        <v>500</v>
      </c>
      <c r="F62" s="284">
        <f t="shared" si="0"/>
        <v>29</v>
      </c>
      <c r="G62" s="268">
        <f>'상담(여)'!G62</f>
        <v>400</v>
      </c>
      <c r="H62" s="407">
        <f>'상담(여)'!H62</f>
        <v>990</v>
      </c>
      <c r="I62" s="408">
        <f>'상담(여)'!I62</f>
        <v>931</v>
      </c>
      <c r="J62" s="409">
        <f>'상담(여)'!J62</f>
        <v>900</v>
      </c>
      <c r="K62" s="414">
        <f>'상담(여)'!K62</f>
        <v>13</v>
      </c>
      <c r="L62" s="136">
        <f>'상담(여)'!L62</f>
        <v>13</v>
      </c>
      <c r="M62" s="484">
        <f>'상담(여)'!M62</f>
        <v>13</v>
      </c>
      <c r="N62" s="484">
        <f>'상담(여)'!N62</f>
        <v>27</v>
      </c>
      <c r="O62" s="413">
        <f>'상담(여)'!O62</f>
        <v>10</v>
      </c>
      <c r="P62" s="136">
        <f>'상담(여)'!P62</f>
        <v>10</v>
      </c>
      <c r="Q62" s="484">
        <f>'상담(여)'!Q62</f>
        <v>34</v>
      </c>
      <c r="R62" s="484">
        <f>'상담(여)'!R62</f>
        <v>28</v>
      </c>
      <c r="S62" s="413" t="str">
        <f>'상담(여)'!S62</f>
        <v>5.54</v>
      </c>
      <c r="T62" s="414" t="str">
        <f>'상담(여)'!T62</f>
        <v>7.69</v>
      </c>
      <c r="U62" s="222" t="str">
        <f>'상담(여)'!U62</f>
        <v>.</v>
      </c>
    </row>
    <row r="63" spans="1:23" s="5" customFormat="1" ht="29.25" customHeight="1" thickBot="1">
      <c r="A63" s="262" t="str">
        <f>'상담(여)'!A63</f>
        <v>충북</v>
      </c>
      <c r="B63" s="159" t="str">
        <f>'상담(여)'!B63</f>
        <v>한국교통대 스포츠산업</v>
      </c>
      <c r="C63" s="265">
        <f>'상담(여)'!C63</f>
        <v>260</v>
      </c>
      <c r="D63" s="266">
        <f>'상담(여)'!D63</f>
        <v>232</v>
      </c>
      <c r="E63" s="357">
        <f>'상담(여)'!E63</f>
        <v>195</v>
      </c>
      <c r="F63" s="284">
        <f t="shared" si="0"/>
        <v>28</v>
      </c>
      <c r="G63" s="268">
        <f>'상담(여)'!G63</f>
        <v>700</v>
      </c>
      <c r="H63" s="407">
        <f>'상담(여)'!H63</f>
        <v>960</v>
      </c>
      <c r="I63" s="408">
        <f>'상담(여)'!I63</f>
        <v>897</v>
      </c>
      <c r="J63" s="409">
        <f>'상담(여)'!J63</f>
        <v>875</v>
      </c>
      <c r="K63" s="414">
        <f>'상담(여)'!K63</f>
        <v>10</v>
      </c>
      <c r="L63" s="136">
        <f>'상담(여)'!L63</f>
        <v>10</v>
      </c>
      <c r="M63" s="484">
        <f>'상담(여)'!M63</f>
        <v>11</v>
      </c>
      <c r="N63" s="484" t="str">
        <f>'상담(여)'!N63</f>
        <v>_</v>
      </c>
      <c r="O63" s="413">
        <f>'상담(여)'!O63</f>
        <v>10</v>
      </c>
      <c r="P63" s="136">
        <f>'상담(여)'!P63</f>
        <v>10</v>
      </c>
      <c r="Q63" s="484" t="str">
        <f>'상담(여)'!Q63</f>
        <v>_</v>
      </c>
      <c r="R63" s="484" t="str">
        <f>'상담(여)'!R63</f>
        <v>_</v>
      </c>
      <c r="S63" s="413" t="str">
        <f>'상담(여)'!S63</f>
        <v>9.60</v>
      </c>
      <c r="T63" s="414" t="str">
        <f>'상담(여)'!T63</f>
        <v>4.91</v>
      </c>
      <c r="U63" s="222" t="str">
        <f>'상담(여)'!U63</f>
        <v>.</v>
      </c>
      <c r="V63" s="6"/>
      <c r="W63" s="6"/>
    </row>
    <row r="64" spans="1:23" ht="29.25" customHeight="1" thickBot="1">
      <c r="A64" s="262" t="str">
        <f>'상담(여)'!A64</f>
        <v>대전</v>
      </c>
      <c r="B64" s="159" t="str">
        <f>'상담(여)'!B64</f>
        <v>한남대 스포츠과학</v>
      </c>
      <c r="C64" s="265">
        <f>'상담(여)'!C64</f>
        <v>380</v>
      </c>
      <c r="D64" s="266">
        <f>'상담(여)'!D64</f>
        <v>352</v>
      </c>
      <c r="E64" s="357">
        <f>'상담(여)'!E64</f>
        <v>312</v>
      </c>
      <c r="F64" s="284">
        <f t="shared" si="0"/>
        <v>28</v>
      </c>
      <c r="G64" s="268">
        <f>'상담(여)'!G64</f>
        <v>600</v>
      </c>
      <c r="H64" s="407">
        <f>'상담(여)'!H64</f>
        <v>980</v>
      </c>
      <c r="I64" s="408">
        <f>'상담(여)'!I64</f>
        <v>940</v>
      </c>
      <c r="J64" s="409">
        <f>'상담(여)'!J64</f>
        <v>912</v>
      </c>
      <c r="K64" s="414">
        <f>'상담(여)'!K64</f>
        <v>30</v>
      </c>
      <c r="L64" s="136">
        <f>'상담(여)'!L64</f>
        <v>30</v>
      </c>
      <c r="M64" s="484">
        <f>'상담(여)'!M64</f>
        <v>30</v>
      </c>
      <c r="N64" s="484">
        <f>'상담(여)'!N64</f>
        <v>30</v>
      </c>
      <c r="O64" s="413">
        <f>'상담(여)'!O64</f>
        <v>31</v>
      </c>
      <c r="P64" s="136">
        <f>'상담(여)'!P64</f>
        <v>55</v>
      </c>
      <c r="Q64" s="484">
        <f>'상담(여)'!Q64</f>
        <v>15</v>
      </c>
      <c r="R64" s="484">
        <f>'상담(여)'!R64</f>
        <v>18</v>
      </c>
      <c r="S64" s="413" t="str">
        <f>'상담(여)'!S64</f>
        <v>7.53</v>
      </c>
      <c r="T64" s="414" t="str">
        <f>'상담(여)'!T64</f>
        <v>7.23</v>
      </c>
      <c r="U64" s="222" t="str">
        <f>'상담(여)'!U64</f>
        <v>.</v>
      </c>
    </row>
    <row r="65" spans="1:23" ht="29.25" customHeight="1" thickBot="1">
      <c r="A65" s="262" t="str">
        <f>'상담(여)'!A65</f>
        <v>충남</v>
      </c>
      <c r="B65" s="159" t="str">
        <f>'상담(여)'!B65</f>
        <v>한서대 경호비서</v>
      </c>
      <c r="C65" s="265">
        <f>'상담(여)'!C65</f>
        <v>160</v>
      </c>
      <c r="D65" s="266">
        <f>'상담(여)'!D65</f>
        <v>165</v>
      </c>
      <c r="E65" s="357">
        <f>'상담(여)'!E65</f>
        <v>100</v>
      </c>
      <c r="F65" s="284">
        <f t="shared" si="0"/>
        <v>-5</v>
      </c>
      <c r="G65" s="268">
        <f>'상담(여)'!G65</f>
        <v>500</v>
      </c>
      <c r="H65" s="407">
        <f>'상담(여)'!H65</f>
        <v>660</v>
      </c>
      <c r="I65" s="408">
        <f>'상담(여)'!I65</f>
        <v>580</v>
      </c>
      <c r="J65" s="409">
        <f>'상담(여)'!J65</f>
        <v>490</v>
      </c>
      <c r="K65" s="414">
        <f>'상담(여)'!K65</f>
        <v>25</v>
      </c>
      <c r="L65" s="136">
        <f>'상담(여)'!L65</f>
        <v>25</v>
      </c>
      <c r="M65" s="484">
        <f>'상담(여)'!M65</f>
        <v>20</v>
      </c>
      <c r="N65" s="484">
        <f>'상담(여)'!N65</f>
        <v>20</v>
      </c>
      <c r="O65" s="413">
        <f>'상담(여)'!O65</f>
        <v>15</v>
      </c>
      <c r="P65" s="136">
        <f>'상담(여)'!P65</f>
        <v>26</v>
      </c>
      <c r="Q65" s="484">
        <f>'상담(여)'!Q65</f>
        <v>21</v>
      </c>
      <c r="R65" s="484">
        <f>'상담(여)'!R65</f>
        <v>30</v>
      </c>
      <c r="S65" s="413" t="str">
        <f>'상담(여)'!S65</f>
        <v>2.04</v>
      </c>
      <c r="T65" s="414" t="str">
        <f>'상담(여)'!T65</f>
        <v>2.75</v>
      </c>
      <c r="U65" s="222" t="str">
        <f>'상담(여)'!U65</f>
        <v>면접 제외 점수 면접 중요</v>
      </c>
    </row>
    <row r="66" spans="1:23" ht="29.25" customHeight="1" thickBot="1">
      <c r="A66" s="262" t="str">
        <f>'상담(여)'!A66</f>
        <v>충남</v>
      </c>
      <c r="B66" s="159" t="str">
        <f>'상담(여)'!B66</f>
        <v>한서대 레저해양스포츠</v>
      </c>
      <c r="C66" s="265">
        <f>'상담(여)'!C66</f>
        <v>160</v>
      </c>
      <c r="D66" s="266">
        <f>'상담(여)'!D66</f>
        <v>170</v>
      </c>
      <c r="E66" s="357">
        <f>'상담(여)'!E66</f>
        <v>100</v>
      </c>
      <c r="F66" s="284">
        <f t="shared" si="0"/>
        <v>-10</v>
      </c>
      <c r="G66" s="268">
        <f>'상담(여)'!G66</f>
        <v>800</v>
      </c>
      <c r="H66" s="407">
        <f>'상담(여)'!H66</f>
        <v>960</v>
      </c>
      <c r="I66" s="408">
        <f>'상담(여)'!I66</f>
        <v>880</v>
      </c>
      <c r="J66" s="409">
        <f>'상담(여)'!J66</f>
        <v>745</v>
      </c>
      <c r="K66" s="414">
        <f>'상담(여)'!K66</f>
        <v>45</v>
      </c>
      <c r="L66" s="136">
        <f>'상담(여)'!L66</f>
        <v>45</v>
      </c>
      <c r="M66" s="484">
        <f>'상담(여)'!M66</f>
        <v>40</v>
      </c>
      <c r="N66" s="484">
        <f>'상담(여)'!N66</f>
        <v>45</v>
      </c>
      <c r="O66" s="413">
        <f>'상담(여)'!O66</f>
        <v>72</v>
      </c>
      <c r="P66" s="136">
        <f>'상담(여)'!P66</f>
        <v>76</v>
      </c>
      <c r="Q66" s="484">
        <f>'상담(여)'!Q66</f>
        <v>53</v>
      </c>
      <c r="R66" s="484">
        <f>'상담(여)'!R66</f>
        <v>72</v>
      </c>
      <c r="S66" s="413" t="str">
        <f>'상담(여)'!S66</f>
        <v>2.78</v>
      </c>
      <c r="T66" s="414" t="str">
        <f>'상담(여)'!T66</f>
        <v>2.98</v>
      </c>
      <c r="U66" s="222" t="str">
        <f>'상담(여)'!U66</f>
        <v>경쟁률과 컷라인 민감</v>
      </c>
    </row>
    <row r="67" spans="1:23" ht="29.25" customHeight="1" thickBot="1">
      <c r="A67" s="262" t="str">
        <f>'상담(여)'!A67</f>
        <v>경기</v>
      </c>
      <c r="B67" s="159" t="str">
        <f>'상담(여)'!B67</f>
        <v>한신대 특수체육</v>
      </c>
      <c r="C67" s="265">
        <f>'상담(여)'!C67</f>
        <v>580</v>
      </c>
      <c r="D67" s="266">
        <f>'상담(여)'!D67</f>
        <v>583</v>
      </c>
      <c r="E67" s="357">
        <f>'상담(여)'!E67</f>
        <v>573</v>
      </c>
      <c r="F67" s="284">
        <f t="shared" si="0"/>
        <v>-3</v>
      </c>
      <c r="G67" s="268">
        <f>'상담(여)'!G67</f>
        <v>400</v>
      </c>
      <c r="H67" s="407">
        <f>'상담(여)'!H67</f>
        <v>980</v>
      </c>
      <c r="I67" s="408">
        <f>'상담(여)'!I67</f>
        <v>980</v>
      </c>
      <c r="J67" s="409">
        <f>'상담(여)'!J67</f>
        <v>973</v>
      </c>
      <c r="K67" s="414">
        <f>'상담(여)'!K67</f>
        <v>22</v>
      </c>
      <c r="L67" s="136">
        <f>'상담(여)'!L67</f>
        <v>22</v>
      </c>
      <c r="M67" s="484">
        <f>'상담(여)'!M67</f>
        <v>22</v>
      </c>
      <c r="N67" s="484">
        <f>'상담(여)'!N67</f>
        <v>22</v>
      </c>
      <c r="O67" s="413">
        <f>'상담(여)'!O67</f>
        <v>27</v>
      </c>
      <c r="P67" s="136">
        <f>'상담(여)'!P67</f>
        <v>17</v>
      </c>
      <c r="Q67" s="484">
        <f>'상담(여)'!Q67</f>
        <v>30</v>
      </c>
      <c r="R67" s="484">
        <f>'상담(여)'!R67</f>
        <v>17</v>
      </c>
      <c r="S67" s="508" t="str">
        <f>'상담(여)'!S67</f>
        <v>19.95</v>
      </c>
      <c r="T67" s="508" t="str">
        <f>'상담(여)'!T67</f>
        <v>15.09</v>
      </c>
      <c r="U67" s="222" t="str">
        <f>'상담(여)'!U67</f>
        <v>남자 만점 기준 강화 여자 만점 기준 완화</v>
      </c>
    </row>
    <row r="68" spans="1:23" ht="29.25" hidden="1" customHeight="1">
      <c r="A68" s="262" t="str">
        <f>'상담(여)'!A68</f>
        <v>경기</v>
      </c>
      <c r="B68" s="159" t="str">
        <f>'상담(여)'!B68</f>
        <v>한양대(에) 스포츠과학</v>
      </c>
      <c r="C68" s="265">
        <f>'상담(여)'!C68</f>
        <v>0</v>
      </c>
      <c r="D68" s="266">
        <f>'상담(여)'!D68</f>
        <v>0</v>
      </c>
      <c r="E68" s="357">
        <f>'상담(여)'!E68</f>
        <v>0</v>
      </c>
      <c r="F68" s="284">
        <f t="shared" si="0"/>
        <v>0</v>
      </c>
      <c r="G68" s="268">
        <f>'상담(여)'!G68</f>
        <v>400</v>
      </c>
      <c r="H68" s="407">
        <f>'상담(여)'!H68</f>
        <v>400</v>
      </c>
      <c r="I68" s="408">
        <f>'상담(여)'!I68</f>
        <v>0</v>
      </c>
      <c r="J68" s="409">
        <f>'상담(여)'!J68</f>
        <v>0</v>
      </c>
      <c r="K68" s="414" t="str">
        <f>'상담(여)'!K68</f>
        <v>미선발</v>
      </c>
      <c r="L68" s="136">
        <f>'상담(여)'!L68</f>
        <v>32</v>
      </c>
      <c r="M68" s="484">
        <f>'상담(여)'!M68</f>
        <v>15</v>
      </c>
      <c r="N68" s="484">
        <f>'상담(여)'!N68</f>
        <v>15</v>
      </c>
      <c r="O68" s="413">
        <f>'상담(여)'!O68</f>
        <v>0</v>
      </c>
      <c r="P68" s="136">
        <f>'상담(여)'!P68</f>
        <v>2</v>
      </c>
      <c r="Q68" s="484">
        <f>'상담(여)'!Q68</f>
        <v>1</v>
      </c>
      <c r="R68" s="484">
        <f>'상담(여)'!R68</f>
        <v>0</v>
      </c>
      <c r="S68" s="413" t="str">
        <f>'상담(여)'!S68</f>
        <v>146.07</v>
      </c>
      <c r="T68" s="414" t="str">
        <f>'상담(여)'!T68</f>
        <v>115.73</v>
      </c>
      <c r="U68" s="222" t="str">
        <f>'상담(여)'!U68</f>
        <v>전형 폐지</v>
      </c>
    </row>
    <row r="69" spans="1:23" s="16" customFormat="1" ht="29.25" customHeight="1" thickBot="1">
      <c r="A69" s="262" t="str">
        <f>'상담(여)'!A69</f>
        <v>충남</v>
      </c>
      <c r="B69" s="159" t="str">
        <f>'상담(여)'!B69</f>
        <v>호서대 사회체육</v>
      </c>
      <c r="C69" s="265">
        <f>'상담(여)'!C69</f>
        <v>190</v>
      </c>
      <c r="D69" s="266">
        <f>'상담(여)'!D69</f>
        <v>156</v>
      </c>
      <c r="E69" s="357">
        <f>'상담(여)'!E69</f>
        <v>124</v>
      </c>
      <c r="F69" s="284">
        <f t="shared" si="0"/>
        <v>34</v>
      </c>
      <c r="G69" s="268">
        <f>'상담(여)'!G69</f>
        <v>800</v>
      </c>
      <c r="H69" s="407">
        <f>'상담(여)'!H69</f>
        <v>990</v>
      </c>
      <c r="I69" s="408">
        <f>'상담(여)'!I69</f>
        <v>940</v>
      </c>
      <c r="J69" s="409">
        <f>'상담(여)'!J69</f>
        <v>924</v>
      </c>
      <c r="K69" s="414">
        <f>'상담(여)'!K69</f>
        <v>19</v>
      </c>
      <c r="L69" s="136">
        <f>'상담(여)'!L69</f>
        <v>19</v>
      </c>
      <c r="M69" s="484">
        <f>'상담(여)'!M69</f>
        <v>19</v>
      </c>
      <c r="N69" s="484">
        <f>'상담(여)'!N69</f>
        <v>19</v>
      </c>
      <c r="O69" s="413">
        <f>'상담(여)'!O69</f>
        <v>37</v>
      </c>
      <c r="P69" s="136">
        <f>'상담(여)'!P69</f>
        <v>64</v>
      </c>
      <c r="Q69" s="484">
        <f>'상담(여)'!Q69</f>
        <v>27</v>
      </c>
      <c r="R69" s="484">
        <f>'상담(여)'!R69</f>
        <v>30</v>
      </c>
      <c r="S69" s="413" t="str">
        <f>'상담(여)'!S69</f>
        <v>24.53</v>
      </c>
      <c r="T69" s="414" t="str">
        <f>'상담(여)'!T69</f>
        <v>15.09</v>
      </c>
      <c r="U69" s="222" t="str">
        <f>'상담(여)'!U69</f>
        <v>경쟁률과 컷라인 민감</v>
      </c>
      <c r="V69" s="18"/>
      <c r="W69" s="18"/>
    </row>
    <row r="70" spans="1:23" ht="29.25" customHeight="1" thickBot="1">
      <c r="A70" s="262" t="str">
        <f>'상담(여)'!A71</f>
        <v>서울</v>
      </c>
      <c r="B70" s="159" t="str">
        <f>'상담(여)'!B71</f>
        <v>한국체대 노인체육복지</v>
      </c>
      <c r="C70" s="265">
        <f>'상담(여)'!C71</f>
        <v>800</v>
      </c>
      <c r="D70" s="266">
        <f>'상담(여)'!D71</f>
        <v>991.03</v>
      </c>
      <c r="E70" s="357">
        <f>'상담(여)'!E71</f>
        <v>989.5</v>
      </c>
      <c r="F70" s="284">
        <f t="shared" si="0"/>
        <v>-191.02999999999997</v>
      </c>
      <c r="G70" s="268">
        <f>'상담(여)'!G71</f>
        <v>200</v>
      </c>
      <c r="H70" s="407"/>
      <c r="I70" s="408">
        <f>'상담(여)'!I71</f>
        <v>173.68</v>
      </c>
      <c r="J70" s="409">
        <f>'상담(여)'!J71</f>
        <v>157.88999999999999</v>
      </c>
      <c r="K70" s="414">
        <f>'상담(여)'!K71</f>
        <v>7</v>
      </c>
      <c r="L70" s="136">
        <f>'상담(여)'!L71</f>
        <v>7</v>
      </c>
      <c r="M70" s="484">
        <f>'상담(여)'!M71</f>
        <v>7</v>
      </c>
      <c r="N70" s="484">
        <f>'상담(여)'!N71</f>
        <v>7</v>
      </c>
      <c r="O70" s="413">
        <f>'상담(여)'!O71</f>
        <v>0</v>
      </c>
      <c r="P70" s="136">
        <f>'상담(여)'!P71</f>
        <v>0</v>
      </c>
      <c r="Q70" s="115" t="str">
        <f>'상담(여)'!Q71</f>
        <v>_</v>
      </c>
      <c r="R70" s="359" t="str">
        <f>'상담(여)'!R71</f>
        <v>_</v>
      </c>
      <c r="S70" s="413" t="str">
        <f>'상담(여)'!S71</f>
        <v>9.57</v>
      </c>
      <c r="T70" s="414" t="str">
        <f>'상담(여)'!T71</f>
        <v>13.14</v>
      </c>
      <c r="U70" s="160" t="str">
        <f>'상담(여)'!U71</f>
        <v>.</v>
      </c>
    </row>
    <row r="71" spans="1:23" ht="29.25" customHeight="1" thickBot="1">
      <c r="A71" s="262" t="str">
        <f>'상담(여)'!A72</f>
        <v>서울</v>
      </c>
      <c r="B71" s="159" t="str">
        <f>'상담(여)'!B72</f>
        <v>한국체대 스포츠산업</v>
      </c>
      <c r="C71" s="265">
        <f>'상담(여)'!C72</f>
        <v>1000</v>
      </c>
      <c r="D71" s="266">
        <f>'상담(여)'!D72</f>
        <v>991.2</v>
      </c>
      <c r="E71" s="357">
        <f>'상담(여)'!E72</f>
        <v>989.4</v>
      </c>
      <c r="F71" s="284">
        <f t="shared" si="0"/>
        <v>8.7999999999999545</v>
      </c>
      <c r="G71" s="268">
        <f>'상담(여)'!G72</f>
        <v>300</v>
      </c>
      <c r="H71" s="407"/>
      <c r="I71" s="408">
        <f>'상담(여)'!I72</f>
        <v>175.96</v>
      </c>
      <c r="J71" s="409">
        <f>'상담(여)'!J72</f>
        <v>157.02000000000001</v>
      </c>
      <c r="K71" s="414">
        <f>'상담(여)'!K72</f>
        <v>5</v>
      </c>
      <c r="L71" s="136">
        <f>'상담(여)'!L72</f>
        <v>10</v>
      </c>
      <c r="M71" s="484">
        <f>'상담(여)'!M72</f>
        <v>10</v>
      </c>
      <c r="N71" s="484">
        <f>'상담(여)'!N72</f>
        <v>7</v>
      </c>
      <c r="O71" s="413">
        <f>'상담(여)'!O72</f>
        <v>3</v>
      </c>
      <c r="P71" s="136">
        <f>'상담(여)'!P72</f>
        <v>1</v>
      </c>
      <c r="Q71" s="115" t="str">
        <f>'상담(여)'!Q72</f>
        <v>_</v>
      </c>
      <c r="R71" s="359" t="str">
        <f>'상담(여)'!R72</f>
        <v>_</v>
      </c>
      <c r="S71" s="413" t="str">
        <f>'상담(여)'!S72</f>
        <v>19.60</v>
      </c>
      <c r="T71" s="414" t="str">
        <f>'상담(여)'!T72</f>
        <v>21.0</v>
      </c>
      <c r="U71" s="160" t="str">
        <f>'상담(여)'!U72</f>
        <v>.</v>
      </c>
    </row>
    <row r="72" spans="1:23" ht="29.25" customHeight="1" thickBot="1">
      <c r="A72" s="262" t="str">
        <f>'상담(여)'!A73</f>
        <v>서울</v>
      </c>
      <c r="B72" s="159" t="str">
        <f>'상담(여)'!B73</f>
        <v>한국체대 사회체육</v>
      </c>
      <c r="C72" s="265">
        <f>'상담(여)'!C73</f>
        <v>1000</v>
      </c>
      <c r="D72" s="266">
        <f>'상담(여)'!D73</f>
        <v>990.32</v>
      </c>
      <c r="E72" s="357">
        <f>'상담(여)'!E73</f>
        <v>988.85</v>
      </c>
      <c r="F72" s="284">
        <f t="shared" si="0"/>
        <v>9.67999999999995</v>
      </c>
      <c r="G72" s="268">
        <f>'상담(여)'!G73</f>
        <v>400</v>
      </c>
      <c r="H72" s="407"/>
      <c r="I72" s="408">
        <f>'상담(여)'!I73</f>
        <v>355.95</v>
      </c>
      <c r="J72" s="409">
        <f>'상담(여)'!J73</f>
        <v>311.18</v>
      </c>
      <c r="K72" s="414">
        <f>'상담(여)'!K73</f>
        <v>10</v>
      </c>
      <c r="L72" s="136">
        <f>'상담(여)'!L73</f>
        <v>5</v>
      </c>
      <c r="M72" s="484">
        <f>'상담(여)'!M73</f>
        <v>5</v>
      </c>
      <c r="N72" s="484">
        <f>'상담(여)'!N73</f>
        <v>7</v>
      </c>
      <c r="O72" s="413">
        <f>'상담(여)'!O73</f>
        <v>0</v>
      </c>
      <c r="P72" s="136">
        <f>'상담(여)'!P73</f>
        <v>2</v>
      </c>
      <c r="Q72" s="115" t="str">
        <f>'상담(여)'!Q73</f>
        <v>_</v>
      </c>
      <c r="R72" s="359" t="str">
        <f>'상담(여)'!R73</f>
        <v>_</v>
      </c>
      <c r="S72" s="413" t="str">
        <f>'상담(여)'!S73</f>
        <v>13.20</v>
      </c>
      <c r="T72" s="414" t="str">
        <f>'상담(여)'!T73</f>
        <v>11.6</v>
      </c>
      <c r="U72" s="160" t="str">
        <f>'상담(여)'!U73</f>
        <v>.</v>
      </c>
    </row>
    <row r="73" spans="1:23" ht="29.25" customHeight="1" thickBot="1">
      <c r="A73" s="262" t="str">
        <f>'상담(여)'!A74</f>
        <v>서울</v>
      </c>
      <c r="B73" s="159" t="str">
        <f>'상담(여)'!B74</f>
        <v>한국체대 스포츠청소년지도</v>
      </c>
      <c r="C73" s="265">
        <f>'상담(여)'!C74</f>
        <v>999</v>
      </c>
      <c r="D73" s="266">
        <f>'상담(여)'!D74</f>
        <v>991.45</v>
      </c>
      <c r="E73" s="357">
        <f>'상담(여)'!E74</f>
        <v>990.15</v>
      </c>
      <c r="F73" s="284">
        <f t="shared" si="0"/>
        <v>7.5499999999999545</v>
      </c>
      <c r="G73" s="268">
        <f>'상담(여)'!G74</f>
        <v>200</v>
      </c>
      <c r="H73" s="407"/>
      <c r="I73" s="408">
        <f>'상담(여)'!I74</f>
        <v>169.86</v>
      </c>
      <c r="J73" s="409">
        <f>'상담(여)'!J74</f>
        <v>145.62</v>
      </c>
      <c r="K73" s="414">
        <f>'상담(여)'!K74</f>
        <v>11</v>
      </c>
      <c r="L73" s="136">
        <f>'상담(여)'!L74</f>
        <v>11</v>
      </c>
      <c r="M73" s="484">
        <f>'상담(여)'!M74</f>
        <v>11</v>
      </c>
      <c r="N73" s="484">
        <f>'상담(여)'!N74</f>
        <v>7</v>
      </c>
      <c r="O73" s="413">
        <f>'상담(여)'!O74</f>
        <v>5</v>
      </c>
      <c r="P73" s="136">
        <f>'상담(여)'!P74</f>
        <v>0</v>
      </c>
      <c r="Q73" s="115" t="str">
        <f>'상담(여)'!Q74</f>
        <v>_</v>
      </c>
      <c r="R73" s="359" t="str">
        <f>'상담(여)'!R74</f>
        <v>_</v>
      </c>
      <c r="S73" s="413" t="str">
        <f>'상담(여)'!S74</f>
        <v>10.45</v>
      </c>
      <c r="T73" s="414" t="str">
        <f>'상담(여)'!T74</f>
        <v>13.0</v>
      </c>
      <c r="U73" s="160" t="str">
        <f>'상담(여)'!U74</f>
        <v>.</v>
      </c>
    </row>
    <row r="74" spans="1:23" ht="29.25" customHeight="1" thickBot="1">
      <c r="A74" s="262" t="str">
        <f>'상담(여)'!A75</f>
        <v>서울</v>
      </c>
      <c r="B74" s="159" t="str">
        <f>'상담(여)'!B75</f>
        <v>한국체대 운동건강</v>
      </c>
      <c r="C74" s="265">
        <f>'상담(여)'!C75</f>
        <v>990</v>
      </c>
      <c r="D74" s="266">
        <f>'상담(여)'!D75</f>
        <v>995.31</v>
      </c>
      <c r="E74" s="357">
        <f>'상담(여)'!E75</f>
        <v>992.85</v>
      </c>
      <c r="F74" s="284">
        <f t="shared" si="0"/>
        <v>-5.3099999999999454</v>
      </c>
      <c r="G74" s="268">
        <f>'상담(여)'!G75</f>
        <v>300</v>
      </c>
      <c r="H74" s="407"/>
      <c r="I74" s="408">
        <f>'상담(여)'!I75</f>
        <v>261.95</v>
      </c>
      <c r="J74" s="409">
        <f>'상담(여)'!J75</f>
        <v>242.11</v>
      </c>
      <c r="K74" s="414">
        <f>'상담(여)'!K75</f>
        <v>5</v>
      </c>
      <c r="L74" s="136">
        <f>'상담(여)'!L75</f>
        <v>10</v>
      </c>
      <c r="M74" s="484">
        <f>'상담(여)'!M75</f>
        <v>10</v>
      </c>
      <c r="N74" s="484">
        <f>'상담(여)'!N75</f>
        <v>7</v>
      </c>
      <c r="O74" s="413">
        <f>'상담(여)'!O75</f>
        <v>1</v>
      </c>
      <c r="P74" s="136">
        <f>'상담(여)'!P75</f>
        <v>0</v>
      </c>
      <c r="Q74" s="115" t="str">
        <f>'상담(여)'!Q75</f>
        <v>_</v>
      </c>
      <c r="R74" s="359" t="str">
        <f>'상담(여)'!R75</f>
        <v>_</v>
      </c>
      <c r="S74" s="413" t="str">
        <f>'상담(여)'!S75</f>
        <v>7.70</v>
      </c>
      <c r="T74" s="414" t="str">
        <f>'상담(여)'!T75</f>
        <v>10.5</v>
      </c>
      <c r="U74" s="160" t="str">
        <f>'상담(여)'!U75</f>
        <v>.</v>
      </c>
    </row>
    <row r="75" spans="1:23" ht="29.25" customHeight="1" thickBot="1">
      <c r="A75" s="262" t="str">
        <f>'상담(여)'!A76</f>
        <v>서울</v>
      </c>
      <c r="B75" s="159" t="str">
        <f>'상담(여)'!B76</f>
        <v>한국체대 특수체육교육</v>
      </c>
      <c r="C75" s="265">
        <f>'상담(여)'!C76</f>
        <v>989</v>
      </c>
      <c r="D75" s="266">
        <f>'상담(여)'!D76</f>
        <v>994.61</v>
      </c>
      <c r="E75" s="357">
        <f>'상담(여)'!E76</f>
        <v>992.4</v>
      </c>
      <c r="F75" s="284">
        <f t="shared" si="0"/>
        <v>-5.6100000000000136</v>
      </c>
      <c r="G75" s="268">
        <f>'상담(여)'!G76</f>
        <v>300</v>
      </c>
      <c r="H75" s="407"/>
      <c r="I75" s="408">
        <f>'상담(여)'!I76</f>
        <v>253.05</v>
      </c>
      <c r="J75" s="409">
        <f>'상담(여)'!J76</f>
        <v>226.32</v>
      </c>
      <c r="K75" s="414">
        <f>'상담(여)'!K76</f>
        <v>19</v>
      </c>
      <c r="L75" s="136">
        <f>'상담(여)'!L76</f>
        <v>19</v>
      </c>
      <c r="M75" s="484">
        <f>'상담(여)'!M76</f>
        <v>19</v>
      </c>
      <c r="N75" s="484">
        <f>'상담(여)'!N76</f>
        <v>7</v>
      </c>
      <c r="O75" s="413">
        <f>'상담(여)'!O76</f>
        <v>6</v>
      </c>
      <c r="P75" s="136">
        <f>'상담(여)'!P76</f>
        <v>4</v>
      </c>
      <c r="Q75" s="115" t="str">
        <f>'상담(여)'!Q76</f>
        <v>_</v>
      </c>
      <c r="R75" s="359" t="str">
        <f>'상담(여)'!R76</f>
        <v>_</v>
      </c>
      <c r="S75" s="413" t="str">
        <f>'상담(여)'!S76</f>
        <v>5.21</v>
      </c>
      <c r="T75" s="414" t="str">
        <f>'상담(여)'!T76</f>
        <v>5.63</v>
      </c>
      <c r="U75" s="160" t="str">
        <f>'상담(여)'!U76</f>
        <v>면접 중요</v>
      </c>
    </row>
    <row r="76" spans="1:23" ht="21" thickBot="1">
      <c r="E76" s="8"/>
      <c r="F76" s="8"/>
      <c r="G76" s="8"/>
      <c r="O76" s="359"/>
    </row>
  </sheetData>
  <sheetProtection algorithmName="SHA-512" hashValue="haYY0HU7ccGybhKJo69/P4yLcuOQlUI1ynk7TmbdJbWhPiwJZDBOtwQkj0GW7O2qrWU7d1xqfgNGS7+VESAF5g==" saltValue="6aNbLilC88ooAMxFeU4f2A==" spinCount="100000" sheet="1" objects="1" scenarios="1" autoFilter="0"/>
  <autoFilter ref="A4:U69" xr:uid="{00000000-0009-0000-0000-000002000000}"/>
  <mergeCells count="3">
    <mergeCell ref="C2:D2"/>
    <mergeCell ref="E2:G2"/>
    <mergeCell ref="J2:R2"/>
  </mergeCells>
  <phoneticPr fontId="81" type="noConversion"/>
  <pageMargins left="0.69972223043441772" right="0.69972223043441772" top="0.75" bottom="0.75" header="0.30000001192092896" footer="0.30000001192092896"/>
  <pageSetup paperSize="9" scale="29" fitToHeight="0" orientation="portrait" r:id="rId1"/>
  <rowBreaks count="1" manualBreakCount="1">
    <brk id="71" max="1048575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equal" allowBlank="1" showInputMessage="1" showErrorMessage="1" xr:uid="{00000000-0002-0000-0200-000000000000}">
          <x14:formula1>
            <xm:f>'내신(여)'!$E$3:$AAY$3</xm:f>
          </x14:formula1>
          <xm:sqref>E2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개인별상담_남_">
    <tabColor rgb="FF92D050"/>
    <pageSetUpPr fitToPage="1"/>
  </sheetPr>
  <dimension ref="A1:V88"/>
  <sheetViews>
    <sheetView view="pageBreakPreview" zoomScale="80" zoomScaleNormal="100" zoomScaleSheetLayoutView="80" workbookViewId="0">
      <pane ySplit="4" topLeftCell="A53" activePane="bottomLeft" state="frozen"/>
      <selection activeCell="S54" sqref="S54"/>
      <selection pane="bottomLeft" activeCell="I2" sqref="I2"/>
    </sheetView>
  </sheetViews>
  <sheetFormatPr defaultColWidth="8.75" defaultRowHeight="16.5"/>
  <cols>
    <col min="1" max="1" width="7.25" style="25" customWidth="1"/>
    <col min="2" max="2" width="26.75" style="25" customWidth="1"/>
    <col min="3" max="10" width="13" style="25" customWidth="1"/>
    <col min="11" max="11" width="13" style="292" customWidth="1"/>
    <col min="12" max="14" width="10.25" style="14" customWidth="1"/>
    <col min="15" max="16" width="10.25" style="292" customWidth="1"/>
    <col min="17" max="17" width="10.25" style="15" customWidth="1"/>
    <col min="18" max="18" width="10.25" style="24" customWidth="1"/>
    <col min="19" max="20" width="10.25" style="292" customWidth="1"/>
    <col min="21" max="21" width="44" style="165" customWidth="1"/>
    <col min="22" max="22" width="8.875" style="25" bestFit="1" customWidth="1"/>
  </cols>
  <sheetData>
    <row r="1" spans="1:22">
      <c r="B1" s="13"/>
      <c r="C1" s="13"/>
      <c r="D1" s="13"/>
      <c r="E1" s="13"/>
      <c r="F1" s="20"/>
    </row>
    <row r="2" spans="1:22" ht="45.6" customHeight="1">
      <c r="B2" s="26"/>
      <c r="C2" s="520" t="s">
        <v>252</v>
      </c>
      <c r="D2" s="521"/>
      <c r="E2" s="522" t="str">
        <f>'학생상담(남)'!E2</f>
        <v>황규훈</v>
      </c>
      <c r="F2" s="523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3" spans="1:22" ht="15" customHeight="1" thickTop="1" thickBot="1">
      <c r="B3" s="26"/>
      <c r="C3" s="110"/>
      <c r="D3" s="111"/>
      <c r="E3" s="111"/>
      <c r="F3" s="27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V3" s="14"/>
    </row>
    <row r="4" spans="1:22" ht="45" customHeight="1" thickBot="1">
      <c r="A4" s="170" t="s">
        <v>419</v>
      </c>
      <c r="B4" s="170" t="s">
        <v>477</v>
      </c>
      <c r="C4" s="170" t="s">
        <v>247</v>
      </c>
      <c r="D4" s="171" t="s">
        <v>184</v>
      </c>
      <c r="E4" s="171" t="s">
        <v>389</v>
      </c>
      <c r="F4" s="289" t="s">
        <v>360</v>
      </c>
      <c r="G4" s="170" t="s">
        <v>234</v>
      </c>
      <c r="H4" s="170" t="s">
        <v>266</v>
      </c>
      <c r="I4" s="171" t="s">
        <v>322</v>
      </c>
      <c r="J4" s="171" t="s">
        <v>279</v>
      </c>
      <c r="K4" s="172" t="s">
        <v>614</v>
      </c>
      <c r="L4" s="172" t="s">
        <v>47</v>
      </c>
      <c r="M4" s="177" t="s">
        <v>348</v>
      </c>
      <c r="N4" s="404" t="s">
        <v>64</v>
      </c>
      <c r="O4" s="289" t="s">
        <v>615</v>
      </c>
      <c r="P4" s="289" t="s">
        <v>50</v>
      </c>
      <c r="Q4" s="178" t="s">
        <v>104</v>
      </c>
      <c r="R4" s="171" t="s">
        <v>362</v>
      </c>
      <c r="S4" s="289" t="s">
        <v>691</v>
      </c>
      <c r="T4" s="289" t="s">
        <v>692</v>
      </c>
      <c r="U4" s="171" t="s">
        <v>309</v>
      </c>
    </row>
    <row r="5" spans="1:22" ht="29.25" customHeight="1" thickBot="1">
      <c r="A5" s="173" t="s">
        <v>425</v>
      </c>
      <c r="B5" s="219" t="str">
        <f>대학별점수!B3</f>
        <v>가천대 체육</v>
      </c>
      <c r="C5" s="265">
        <f>'내신(남)'!B4</f>
        <v>300</v>
      </c>
      <c r="D5" s="266">
        <f>VLOOKUP(B5,대학별점수!$B$3:$C$74,2,FALSE)</f>
        <v>294</v>
      </c>
      <c r="E5" s="267">
        <f>VLOOKUP(B5,대학별점수!$B$3:$D$74,3,FALSE)</f>
        <v>273</v>
      </c>
      <c r="F5" s="263">
        <f t="shared" ref="F5:F73" si="0">C5-D5</f>
        <v>6</v>
      </c>
      <c r="G5" s="268">
        <f>'실기환산(남)'!C2</f>
        <v>700</v>
      </c>
      <c r="H5" s="269">
        <f>C5+G5</f>
        <v>1000</v>
      </c>
      <c r="I5" s="270">
        <f>VLOOKUP(B5,대학별점수!$B$3:$M$74,4,0)</f>
        <v>984</v>
      </c>
      <c r="J5" s="275">
        <f>VLOOKUP(B5,대학별점수!$B$3:$M$74,5,0)</f>
        <v>973</v>
      </c>
      <c r="K5" s="405">
        <f>VLOOKUP(B5,대학별점수!$B$3:$T$73,6,0)</f>
        <v>40</v>
      </c>
      <c r="L5" s="215">
        <f>VLOOKUP(B5,대학별점수!$B$3:$M$74,7,0)</f>
        <v>40</v>
      </c>
      <c r="M5" s="217">
        <f>VLOOKUP(B5,대학별점수!$B$3:$M$74,8,0)</f>
        <v>30</v>
      </c>
      <c r="N5" s="218">
        <f>VLOOKUP(B5,대학별점수!$B$3:$M$74,9,0)</f>
        <v>20</v>
      </c>
      <c r="O5" s="361">
        <f>VLOOKUP(B5,대학별점수!$B$3:$T$73,19,0)</f>
        <v>20</v>
      </c>
      <c r="P5" s="361">
        <f>VLOOKUP(B5,대학별점수!$B$3:$V$74,18,0)</f>
        <v>37</v>
      </c>
      <c r="Q5" s="169">
        <f>VLOOKUP(B5,대학별점수!$B$3:$V$74,17,0)</f>
        <v>3</v>
      </c>
      <c r="R5" s="115">
        <f>VLOOKUP(B5,대학별점수!$B$3:$V$74,16,0)</f>
        <v>3</v>
      </c>
      <c r="S5" s="137" t="str">
        <f>VLOOKUP(B5,대학별점수!$B$3:$V$74,20,0)</f>
        <v>49.18</v>
      </c>
      <c r="T5" s="137" t="str">
        <f>VLOOKUP(B5,대학별점수!$B$3:$V$74,21,0)</f>
        <v>66.7</v>
      </c>
      <c r="U5" s="160" t="s">
        <v>481</v>
      </c>
    </row>
    <row r="6" spans="1:22" ht="29.25" customHeight="1" thickBot="1">
      <c r="A6" s="174" t="s">
        <v>417</v>
      </c>
      <c r="B6" s="219" t="str">
        <f>대학별점수!B4</f>
        <v>가톨릭관동대 체육교육</v>
      </c>
      <c r="C6" s="265">
        <f>'내신(남)'!B5</f>
        <v>700</v>
      </c>
      <c r="D6" s="266">
        <f>VLOOKUP(B6,대학별점수!$B$3:$C$74,2,FALSE)</f>
        <v>661</v>
      </c>
      <c r="E6" s="267">
        <f>VLOOKUP(B6,대학별점수!$B$3:$D$74,3,FALSE)</f>
        <v>621</v>
      </c>
      <c r="F6" s="264">
        <f t="shared" si="0"/>
        <v>39</v>
      </c>
      <c r="G6" s="272">
        <f>'실기환산(남)'!D2</f>
        <v>300</v>
      </c>
      <c r="H6" s="269">
        <f t="shared" ref="H6:H66" si="1">C6+G6</f>
        <v>1000</v>
      </c>
      <c r="I6" s="270">
        <f>VLOOKUP(B6,대학별점수!$B$3:$M$74,4,0)</f>
        <v>945</v>
      </c>
      <c r="J6" s="275">
        <f>VLOOKUP(B6,대학별점수!$B$3:$M$74,5,0)</f>
        <v>921</v>
      </c>
      <c r="K6" s="405">
        <f>VLOOKUP(B6,대학별점수!$B$3:$T$73,6,0)</f>
        <v>20</v>
      </c>
      <c r="L6" s="215">
        <f>VLOOKUP(B6,대학별점수!$B$3:$M$74,7,0)</f>
        <v>20</v>
      </c>
      <c r="M6" s="217">
        <f>VLOOKUP(B6,대학별점수!$B$3:$M$74,8,0)</f>
        <v>20</v>
      </c>
      <c r="N6" s="218">
        <f>VLOOKUP(B6,대학별점수!$B$3:$M$74,9,0)</f>
        <v>20</v>
      </c>
      <c r="O6" s="361">
        <f>VLOOKUP(B6,대학별점수!$B$3:$T$73,19,0)</f>
        <v>20</v>
      </c>
      <c r="P6" s="361">
        <f>VLOOKUP(B6,대학별점수!$B$3:$V$74,18,0)</f>
        <v>27</v>
      </c>
      <c r="Q6" s="169">
        <f>VLOOKUP(B6,대학별점수!$B$3:$V$74,17,0)</f>
        <v>32</v>
      </c>
      <c r="R6" s="137">
        <f>VLOOKUP(B6,대학별점수!$B$3:$V$74,16,0)</f>
        <v>34</v>
      </c>
      <c r="S6" s="137" t="str">
        <f>VLOOKUP(B6,대학별점수!$B$3:$V$74,20,0)</f>
        <v>8.05</v>
      </c>
      <c r="T6" s="137" t="str">
        <f>VLOOKUP(B6,대학별점수!$B$3:$V$74,21,0)</f>
        <v>6.45</v>
      </c>
      <c r="U6" s="161" t="s">
        <v>823</v>
      </c>
    </row>
    <row r="7" spans="1:22" ht="29.25" customHeight="1" thickBot="1">
      <c r="A7" s="174" t="s">
        <v>417</v>
      </c>
      <c r="B7" s="219" t="str">
        <f>대학별점수!B5</f>
        <v>가톨릭관동대 스포츠레저</v>
      </c>
      <c r="C7" s="265">
        <f>'내신(남)'!B6</f>
        <v>600</v>
      </c>
      <c r="D7" s="266">
        <f>VLOOKUP(B7,대학별점수!$B$3:$C$74,2,FALSE)</f>
        <v>485</v>
      </c>
      <c r="E7" s="267">
        <f>VLOOKUP(B7,대학별점수!$B$3:$D$74,3,FALSE)</f>
        <v>414</v>
      </c>
      <c r="F7" s="264">
        <f t="shared" si="0"/>
        <v>115</v>
      </c>
      <c r="G7" s="272">
        <f>'실기환산(남)'!E2</f>
        <v>400</v>
      </c>
      <c r="H7" s="269">
        <f t="shared" si="1"/>
        <v>1000</v>
      </c>
      <c r="I7" s="270">
        <f>VLOOKUP(B7,대학별점수!$B$3:$M$74,4,0)</f>
        <v>835</v>
      </c>
      <c r="J7" s="275">
        <f>VLOOKUP(B7,대학별점수!$B$3:$M$74,5,0)</f>
        <v>814</v>
      </c>
      <c r="K7" s="405">
        <f>VLOOKUP(B7,대학별점수!$B$3:$T$73,6,0)</f>
        <v>41</v>
      </c>
      <c r="L7" s="215">
        <f>VLOOKUP(B7,대학별점수!$B$3:$M$74,7,0)</f>
        <v>40</v>
      </c>
      <c r="M7" s="217">
        <f>VLOOKUP(B7,대학별점수!$B$3:$M$74,8,0)</f>
        <v>40</v>
      </c>
      <c r="N7" s="218">
        <f>VLOOKUP(B7,대학별점수!$B$3:$M$74,9,0)</f>
        <v>96</v>
      </c>
      <c r="O7" s="361">
        <f>VLOOKUP(B7,대학별점수!$B$3:$T$73,19,0)</f>
        <v>59</v>
      </c>
      <c r="P7" s="361">
        <f>VLOOKUP(B7,대학별점수!$B$3:$V$74,18,0)</f>
        <v>7</v>
      </c>
      <c r="Q7" s="169" t="str">
        <f>VLOOKUP(B7,대학별점수!$B$3:$V$74,17,0)</f>
        <v>_</v>
      </c>
      <c r="R7" s="137">
        <f>VLOOKUP(B7,대학별점수!$B$3:$V$74,16,0)</f>
        <v>64</v>
      </c>
      <c r="S7" s="137" t="str">
        <f>VLOOKUP(B7,대학별점수!$B$3:$V$74,20,0)</f>
        <v>2.68</v>
      </c>
      <c r="T7" s="137" t="str">
        <f>VLOOKUP(B7,대학별점수!$B$3:$V$74,21,0)</f>
        <v>1.3</v>
      </c>
      <c r="U7" s="161" t="s">
        <v>823</v>
      </c>
    </row>
    <row r="8" spans="1:22" ht="29.25" customHeight="1" thickBot="1">
      <c r="A8" s="174" t="s">
        <v>417</v>
      </c>
      <c r="B8" s="219" t="str">
        <f>대학별점수!B6</f>
        <v>가톨릭관동대  스포츠재활의학</v>
      </c>
      <c r="C8" s="265">
        <f>'내신(남)'!B7</f>
        <v>600</v>
      </c>
      <c r="D8" s="266">
        <f>VLOOKUP(B8,대학별점수!$B$3:$C$74,2,FALSE)</f>
        <v>500</v>
      </c>
      <c r="E8" s="267">
        <f>VLOOKUP(B8,대학별점수!$B$3:$D$74,3,FALSE)</f>
        <v>455</v>
      </c>
      <c r="F8" s="264">
        <f t="shared" si="0"/>
        <v>100</v>
      </c>
      <c r="G8" s="272">
        <f>'실기환산(남)'!F2</f>
        <v>400</v>
      </c>
      <c r="H8" s="269">
        <f t="shared" si="1"/>
        <v>1000</v>
      </c>
      <c r="I8" s="270">
        <f>VLOOKUP(B8,대학별점수!$B$3:$M$74,4,0)</f>
        <v>878</v>
      </c>
      <c r="J8" s="275">
        <f>VLOOKUP(B8,대학별점수!$B$3:$M$74,5,0)</f>
        <v>855</v>
      </c>
      <c r="K8" s="405">
        <f>VLOOKUP(B8,대학별점수!$B$3:$T$73,6,0)</f>
        <v>40</v>
      </c>
      <c r="L8" s="215">
        <f>VLOOKUP(B8,대학별점수!$B$3:$M$74,7,0)</f>
        <v>40</v>
      </c>
      <c r="M8" s="217">
        <f>VLOOKUP(B8,대학별점수!$B$3:$M$74,8,0)</f>
        <v>31</v>
      </c>
      <c r="N8" s="218">
        <f>VLOOKUP(B8,대학별점수!$B$3:$M$74,9,0)</f>
        <v>0</v>
      </c>
      <c r="O8" s="361">
        <f>VLOOKUP(B8,대학별점수!$B$3:$T$73,19,0)</f>
        <v>46</v>
      </c>
      <c r="P8" s="361">
        <f>VLOOKUP(B8,대학별점수!$B$3:$V$74,18,0)</f>
        <v>49</v>
      </c>
      <c r="Q8" s="169" t="str">
        <f>VLOOKUP(B8,대학별점수!$B$3:$V$74,17,0)</f>
        <v>_</v>
      </c>
      <c r="R8" s="137">
        <f>VLOOKUP(B8,대학별점수!$B$3:$V$74,16,0)</f>
        <v>57</v>
      </c>
      <c r="S8" s="137" t="str">
        <f>VLOOKUP(B8,대학별점수!$B$3:$V$74,20,0)</f>
        <v>5.28</v>
      </c>
      <c r="T8" s="137" t="str">
        <f>VLOOKUP(B8,대학별점수!$B$3:$V$74,21,0)</f>
        <v>3.6</v>
      </c>
      <c r="U8" s="161" t="s">
        <v>824</v>
      </c>
    </row>
    <row r="9" spans="1:22" ht="29.25" customHeight="1" thickBot="1">
      <c r="A9" s="174" t="s">
        <v>425</v>
      </c>
      <c r="B9" s="219" t="str">
        <f>대학별점수!B7</f>
        <v>강남대 체육</v>
      </c>
      <c r="C9" s="265">
        <f>'내신(남)'!B8</f>
        <v>300</v>
      </c>
      <c r="D9" s="266">
        <f>VLOOKUP(B9,대학별점수!$B$3:$C$74,2,FALSE)</f>
        <v>291</v>
      </c>
      <c r="E9" s="267">
        <f>VLOOKUP(B9,대학별점수!$B$3:$D$74,3,FALSE)</f>
        <v>271</v>
      </c>
      <c r="F9" s="264">
        <f t="shared" si="0"/>
        <v>9</v>
      </c>
      <c r="G9" s="272">
        <f>'실기환산(남)'!G2</f>
        <v>676</v>
      </c>
      <c r="H9" s="269">
        <f t="shared" si="1"/>
        <v>976</v>
      </c>
      <c r="I9" s="270">
        <f>VLOOKUP(B9,대학별점수!$B$3:$M$74,4,0)</f>
        <v>979</v>
      </c>
      <c r="J9" s="275">
        <f>VLOOKUP(B9,대학별점수!$B$3:$M$74,5,0)</f>
        <v>971</v>
      </c>
      <c r="K9" s="405">
        <f>VLOOKUP(B9,대학별점수!$B$3:$T$73,6,0)</f>
        <v>29</v>
      </c>
      <c r="L9" s="215">
        <f>VLOOKUP(B9,대학별점수!$B$3:$M$74,7,0)</f>
        <v>29</v>
      </c>
      <c r="M9" s="217">
        <f>VLOOKUP(B9,대학별점수!$B$3:$M$74,8,0)</f>
        <v>29</v>
      </c>
      <c r="N9" s="218">
        <f>VLOOKUP(B9,대학별점수!$B$3:$M$74,9,0)</f>
        <v>29</v>
      </c>
      <c r="O9" s="361">
        <f>VLOOKUP(B9,대학별점수!$B$3:$T$73,19,0)</f>
        <v>36</v>
      </c>
      <c r="P9" s="361">
        <f>VLOOKUP(B9,대학별점수!$B$3:$V$74,18,0)</f>
        <v>38</v>
      </c>
      <c r="Q9" s="169">
        <f>VLOOKUP(B9,대학별점수!$B$3:$V$74,17,0)</f>
        <v>38</v>
      </c>
      <c r="R9" s="137">
        <f>VLOOKUP(B9,대학별점수!$B$3:$V$74,16,0)</f>
        <v>19</v>
      </c>
      <c r="S9" s="137" t="str">
        <f>VLOOKUP(B9,대학별점수!$B$3:$V$74,20,0)</f>
        <v>23.62</v>
      </c>
      <c r="T9" s="137" t="str">
        <f>VLOOKUP(B9,대학별점수!$B$3:$V$74,21,0)</f>
        <v>16.79</v>
      </c>
      <c r="U9" s="161" t="s">
        <v>825</v>
      </c>
    </row>
    <row r="10" spans="1:22" ht="29.25" customHeight="1" thickBot="1">
      <c r="A10" s="174" t="s">
        <v>415</v>
      </c>
      <c r="B10" s="219" t="str">
        <f>대학별점수!B8</f>
        <v>건국대(글) 스포츠건강</v>
      </c>
      <c r="C10" s="265">
        <f>'내신(남)'!B9</f>
        <v>200</v>
      </c>
      <c r="D10" s="266">
        <f>VLOOKUP(B10,대학별점수!$B$3:$C$74,2,FALSE)</f>
        <v>165</v>
      </c>
      <c r="E10" s="267">
        <f>VLOOKUP(B10,대학별점수!$B$3:$D$74,3,FALSE)</f>
        <v>121</v>
      </c>
      <c r="F10" s="264">
        <f t="shared" si="0"/>
        <v>35</v>
      </c>
      <c r="G10" s="272">
        <f>'실기환산(남)'!H2</f>
        <v>520</v>
      </c>
      <c r="H10" s="269">
        <f t="shared" si="1"/>
        <v>720</v>
      </c>
      <c r="I10" s="270">
        <f>VLOOKUP(B10,대학별점수!$B$3:$M$74,4,0)</f>
        <v>951</v>
      </c>
      <c r="J10" s="275">
        <f>VLOOKUP(B10,대학별점수!$B$3:$M$74,5,0)</f>
        <v>921</v>
      </c>
      <c r="K10" s="405">
        <f>VLOOKUP(B10,대학별점수!$B$3:$T$73,6,0)</f>
        <v>20</v>
      </c>
      <c r="L10" s="215">
        <f>VLOOKUP(B10,대학별점수!$B$3:$M$74,7,0)</f>
        <v>20</v>
      </c>
      <c r="M10" s="217">
        <f>VLOOKUP(B10,대학별점수!$B$3:$M$74,8,0)</f>
        <v>22</v>
      </c>
      <c r="N10" s="218">
        <f>VLOOKUP(B10,대학별점수!$B$3:$M$74,9,0)</f>
        <v>18</v>
      </c>
      <c r="O10" s="361">
        <f>VLOOKUP(B10,대학별점수!$B$3:$T$73,19,0)</f>
        <v>15</v>
      </c>
      <c r="P10" s="361">
        <f>VLOOKUP(B10,대학별점수!$B$3:$V$74,18,0)</f>
        <v>15</v>
      </c>
      <c r="Q10" s="169">
        <f>VLOOKUP(B10,대학별점수!$B$3:$V$74,17,0)</f>
        <v>9</v>
      </c>
      <c r="R10" s="137">
        <f>VLOOKUP(B10,대학별점수!$B$3:$V$74,16,0)</f>
        <v>8</v>
      </c>
      <c r="S10" s="137" t="str">
        <f>VLOOKUP(B10,대학별점수!$B$3:$V$74,20,0)</f>
        <v>28.35</v>
      </c>
      <c r="T10" s="137" t="str">
        <f>VLOOKUP(B10,대학별점수!$B$3:$V$74,21,0)</f>
        <v>17.09</v>
      </c>
      <c r="U10" s="161" t="s">
        <v>826</v>
      </c>
    </row>
    <row r="11" spans="1:22" s="6" customFormat="1" ht="29.25" customHeight="1" thickBot="1">
      <c r="A11" s="174" t="s">
        <v>425</v>
      </c>
      <c r="B11" s="219" t="str">
        <f>대학별점수!B9</f>
        <v>경기대 스포츠과학</v>
      </c>
      <c r="C11" s="265">
        <f>'내신(남)'!B10</f>
        <v>39</v>
      </c>
      <c r="D11" s="266">
        <f>VLOOKUP(B11,대학별점수!$B$3:$C$74,2,FALSE)</f>
        <v>29.49</v>
      </c>
      <c r="E11" s="267">
        <f>VLOOKUP(B11,대학별점수!$B$3:$D$74,3,FALSE)</f>
        <v>29.17</v>
      </c>
      <c r="F11" s="264">
        <f t="shared" si="0"/>
        <v>9.5100000000000016</v>
      </c>
      <c r="G11" s="272">
        <f>'실기환산(남)'!I2</f>
        <v>70</v>
      </c>
      <c r="H11" s="269">
        <f t="shared" si="1"/>
        <v>109</v>
      </c>
      <c r="I11" s="270">
        <f>VLOOKUP(B11,대학별점수!$B$3:$M$74,4,0)</f>
        <v>99.3</v>
      </c>
      <c r="J11" s="275">
        <f>VLOOKUP(B11,대학별점수!$B$3:$M$74,5,0)</f>
        <v>99.17</v>
      </c>
      <c r="K11" s="405">
        <f>VLOOKUP(B11,대학별점수!$B$3:$T$73,6,0)</f>
        <v>19</v>
      </c>
      <c r="L11" s="215">
        <f>VLOOKUP(B11,대학별점수!$B$3:$M$74,7,0)</f>
        <v>10</v>
      </c>
      <c r="M11" s="217">
        <f>VLOOKUP(B11,대학별점수!$B$3:$M$74,8,0)</f>
        <v>10</v>
      </c>
      <c r="N11" s="218">
        <f>VLOOKUP(B11,대학별점수!$B$3:$M$74,9,0)</f>
        <v>10</v>
      </c>
      <c r="O11" s="361">
        <f>VLOOKUP(B11,대학별점수!$B$3:$T$73,19,0)</f>
        <v>13</v>
      </c>
      <c r="P11" s="361">
        <f>VLOOKUP(B11,대학별점수!$B$3:$V$74,18,0)</f>
        <v>4</v>
      </c>
      <c r="Q11" s="169">
        <f>VLOOKUP(B11,대학별점수!$B$3:$V$74,17,0)</f>
        <v>15</v>
      </c>
      <c r="R11" s="137" t="str">
        <f>VLOOKUP(B11,대학별점수!$B$3:$V$74,16,0)</f>
        <v>23신설</v>
      </c>
      <c r="S11" s="137" t="str">
        <f>VLOOKUP(B11,대학별점수!$B$3:$V$74,20,0)</f>
        <v>62.00</v>
      </c>
      <c r="T11" s="137" t="str">
        <f>VLOOKUP(B11,대학별점수!$B$3:$V$74,21,0)</f>
        <v>20.1</v>
      </c>
      <c r="U11" s="161" t="s">
        <v>827</v>
      </c>
    </row>
    <row r="12" spans="1:22" s="6" customFormat="1" ht="29.25" customHeight="1" thickBot="1">
      <c r="A12" s="399" t="s">
        <v>425</v>
      </c>
      <c r="B12" s="400" t="str">
        <f>대학별점수!B10</f>
        <v>경기대 체육</v>
      </c>
      <c r="C12" s="333">
        <f>'내신(남)'!B11</f>
        <v>39</v>
      </c>
      <c r="D12" s="334">
        <f>VLOOKUP(B12,대학별점수!$B$3:$C$74,2,FALSE)</f>
        <v>0</v>
      </c>
      <c r="E12" s="335">
        <f>VLOOKUP(B12,대학별점수!$B$3:$D$74,3,FALSE)</f>
        <v>0</v>
      </c>
      <c r="F12" s="336">
        <f t="shared" si="0"/>
        <v>39</v>
      </c>
      <c r="G12" s="337">
        <f>'실기환산(남)'!J2</f>
        <v>60</v>
      </c>
      <c r="H12" s="338">
        <f t="shared" si="1"/>
        <v>99</v>
      </c>
      <c r="I12" s="339">
        <f>VLOOKUP(B12,대학별점수!$B$3:$M$74,4,0)</f>
        <v>0</v>
      </c>
      <c r="J12" s="343">
        <f>VLOOKUP(B12,대학별점수!$B$3:$M$74,5,0)</f>
        <v>0</v>
      </c>
      <c r="K12" s="405" t="str">
        <f>VLOOKUP(B12,대학별점수!$B$3:$T$73,6,0)</f>
        <v>미선발</v>
      </c>
      <c r="L12" s="215">
        <f>VLOOKUP(B12,대학별점수!$B$3:$M$74,7,0)</f>
        <v>0</v>
      </c>
      <c r="M12" s="217">
        <f>VLOOKUP(B12,대학별점수!$B$3:$M$74,8,0)</f>
        <v>5</v>
      </c>
      <c r="N12" s="218">
        <f>VLOOKUP(B12,대학별점수!$B$3:$M$74,9,0)</f>
        <v>5</v>
      </c>
      <c r="O12" s="361" t="str">
        <f>VLOOKUP(B12,대학별점수!$B$3:$T$73,19,0)</f>
        <v>미선발</v>
      </c>
      <c r="P12" s="361">
        <f>VLOOKUP(B12,대학별점수!$B$3:$V$74,18,0)</f>
        <v>3</v>
      </c>
      <c r="Q12" s="169">
        <f>VLOOKUP(B12,대학별점수!$B$3:$V$74,17,0)</f>
        <v>3</v>
      </c>
      <c r="R12" s="137" t="str">
        <f>VLOOKUP(B12,대학별점수!$B$3:$V$74,16,0)</f>
        <v>23신설</v>
      </c>
      <c r="S12" s="137">
        <f>VLOOKUP(B12,대학별점수!$B$3:$V$74,20,0)</f>
        <v>0</v>
      </c>
      <c r="T12" s="137" t="str">
        <f>VLOOKUP(B12,대학별점수!$B$3:$V$74,21,0)</f>
        <v>9.0</v>
      </c>
      <c r="U12" s="161" t="s">
        <v>828</v>
      </c>
    </row>
    <row r="13" spans="1:22" ht="29.25" customHeight="1" thickBot="1">
      <c r="A13" s="174" t="s">
        <v>415</v>
      </c>
      <c r="B13" s="219" t="str">
        <f>대학별점수!B11</f>
        <v>극동대 스포츠재활</v>
      </c>
      <c r="C13" s="265">
        <f>'내신(남)'!B12</f>
        <v>200</v>
      </c>
      <c r="D13" s="266">
        <f>VLOOKUP(B13,대학별점수!$B$3:$C$74,2,FALSE)</f>
        <v>160</v>
      </c>
      <c r="E13" s="267">
        <f>VLOOKUP(B13,대학별점수!$B$3:$D$74,3,FALSE)</f>
        <v>116</v>
      </c>
      <c r="F13" s="264">
        <f t="shared" si="0"/>
        <v>40</v>
      </c>
      <c r="G13" s="272">
        <f>'실기환산(남)'!K2</f>
        <v>800</v>
      </c>
      <c r="H13" s="269">
        <f t="shared" si="1"/>
        <v>1000</v>
      </c>
      <c r="I13" s="270">
        <f>VLOOKUP(B13,대학별점수!$B$3:$M$74,4,0)</f>
        <v>920</v>
      </c>
      <c r="J13" s="275">
        <f>VLOOKUP(B13,대학별점수!$B$3:$M$74,5,0)</f>
        <v>889.33</v>
      </c>
      <c r="K13" s="405">
        <f>VLOOKUP(B13,대학별점수!$B$3:$T$73,6,0)</f>
        <v>29</v>
      </c>
      <c r="L13" s="215">
        <f>VLOOKUP(B13,대학별점수!$B$3:$M$74,7,0)</f>
        <v>16</v>
      </c>
      <c r="M13" s="217">
        <f>VLOOKUP(B13,대학별점수!$B$3:$M$74,8,0)</f>
        <v>26</v>
      </c>
      <c r="N13" s="218">
        <f>VLOOKUP(B13,대학별점수!$B$3:$M$74,9,0)</f>
        <v>30</v>
      </c>
      <c r="O13" s="361">
        <f>VLOOKUP(B13,대학별점수!$B$3:$T$73,19,0)</f>
        <v>1</v>
      </c>
      <c r="P13" s="361" t="str">
        <f>VLOOKUP(B13,대학별점수!$B$3:$V$74,18,0)</f>
        <v>미달</v>
      </c>
      <c r="Q13" s="169" t="str">
        <f>VLOOKUP(B13,대학별점수!$B$3:$V$74,17,0)</f>
        <v>_</v>
      </c>
      <c r="R13" s="137">
        <f>VLOOKUP(B13,대학별점수!$B$3:$V$74,16,0)</f>
        <v>12</v>
      </c>
      <c r="S13" s="137" t="str">
        <f>VLOOKUP(B13,대학별점수!$B$3:$V$74,20,0)</f>
        <v>2.44</v>
      </c>
      <c r="T13" s="137" t="str">
        <f>VLOOKUP(B13,대학별점수!$B$3:$V$74,21,0)</f>
        <v>0.92</v>
      </c>
      <c r="U13" s="486" t="s">
        <v>829</v>
      </c>
    </row>
    <row r="14" spans="1:22" ht="29.25" customHeight="1" thickBot="1">
      <c r="A14" s="174" t="s">
        <v>418</v>
      </c>
      <c r="B14" s="219" t="str">
        <f>대학별점수!B12</f>
        <v>나사렛대 재활스포츠</v>
      </c>
      <c r="C14" s="265">
        <f>'내신(남)'!B13</f>
        <v>100</v>
      </c>
      <c r="D14" s="266">
        <f>VLOOKUP(B14,대학별점수!$B$3:$C$74,2,FALSE)</f>
        <v>85</v>
      </c>
      <c r="E14" s="267">
        <f>VLOOKUP(B14,대학별점수!$B$3:$D$74,3,FALSE)</f>
        <v>72</v>
      </c>
      <c r="F14" s="264">
        <f t="shared" si="0"/>
        <v>15</v>
      </c>
      <c r="G14" s="272">
        <f>'실기환산(남)'!L2</f>
        <v>900</v>
      </c>
      <c r="H14" s="269">
        <f t="shared" si="1"/>
        <v>1000</v>
      </c>
      <c r="I14" s="270">
        <f>VLOOKUP(B14,대학별점수!$B$3:$M$74,4,0)</f>
        <v>965</v>
      </c>
      <c r="J14" s="275">
        <f>VLOOKUP(B14,대학별점수!$B$3:$M$74,5,0)</f>
        <v>923</v>
      </c>
      <c r="K14" s="405">
        <f>VLOOKUP(B14,대학별점수!$B$3:$T$73,6,0)</f>
        <v>55</v>
      </c>
      <c r="L14" s="215">
        <f>VLOOKUP(B14,대학별점수!$B$3:$M$74,7,0)</f>
        <v>30</v>
      </c>
      <c r="M14" s="217">
        <f>VLOOKUP(B14,대학별점수!$B$3:$M$74,8,0)</f>
        <v>30</v>
      </c>
      <c r="N14" s="218">
        <f>VLOOKUP(B14,대학별점수!$B$3:$M$74,9,0)</f>
        <v>30</v>
      </c>
      <c r="O14" s="361">
        <f>VLOOKUP(B14,대학별점수!$B$3:$T$73,19,0)</f>
        <v>39</v>
      </c>
      <c r="P14" s="361">
        <f>VLOOKUP(B14,대학별점수!$B$3:$V$74,18,0)</f>
        <v>48</v>
      </c>
      <c r="Q14" s="169">
        <f>VLOOKUP(B14,대학별점수!$B$3:$V$74,17,0)</f>
        <v>26</v>
      </c>
      <c r="R14" s="137">
        <f>VLOOKUP(B14,대학별점수!$B$3:$V$74,16,0)</f>
        <v>17</v>
      </c>
      <c r="S14" s="137" t="str">
        <f>VLOOKUP(B14,대학별점수!$B$3:$V$74,20,0)</f>
        <v>13.20</v>
      </c>
      <c r="T14" s="137" t="str">
        <f>VLOOKUP(B14,대학별점수!$B$3:$V$74,21,0)</f>
        <v>12.67</v>
      </c>
      <c r="U14" s="161" t="s">
        <v>830</v>
      </c>
    </row>
    <row r="15" spans="1:22" ht="29.25" customHeight="1" thickBot="1">
      <c r="A15" s="174" t="s">
        <v>418</v>
      </c>
      <c r="B15" s="219" t="str">
        <f>대학별점수!B13</f>
        <v>남서울대 스포츠건강관리</v>
      </c>
      <c r="C15" s="265">
        <f>'내신(남)'!B14</f>
        <v>258</v>
      </c>
      <c r="D15" s="266">
        <f>VLOOKUP(B15,대학별점수!$B$3:$C$74,2,FALSE)</f>
        <v>210</v>
      </c>
      <c r="E15" s="267">
        <f>VLOOKUP(B15,대학별점수!$B$3:$D$74,3,FALSE)</f>
        <v>154</v>
      </c>
      <c r="F15" s="264">
        <f t="shared" si="0"/>
        <v>48</v>
      </c>
      <c r="G15" s="272">
        <f>'실기환산(남)'!M2</f>
        <v>700</v>
      </c>
      <c r="H15" s="269">
        <f t="shared" si="1"/>
        <v>958</v>
      </c>
      <c r="I15" s="270">
        <f>VLOOKUP(B15,대학별점수!$B$3:$M$74,4,0)</f>
        <v>851</v>
      </c>
      <c r="J15" s="275">
        <f>VLOOKUP(B15,대학별점수!$B$3:$M$74,5,0)</f>
        <v>805</v>
      </c>
      <c r="K15" s="405">
        <f>VLOOKUP(B15,대학별점수!$B$3:$T$73,6,0)</f>
        <v>42</v>
      </c>
      <c r="L15" s="215">
        <f>VLOOKUP(B15,대학별점수!$B$3:$M$74,7,0)</f>
        <v>41</v>
      </c>
      <c r="M15" s="217">
        <f>VLOOKUP(B15,대학별점수!$B$3:$M$74,8,0)</f>
        <v>36</v>
      </c>
      <c r="N15" s="218">
        <f>VLOOKUP(B15,대학별점수!$B$3:$M$74,9,0)</f>
        <v>38</v>
      </c>
      <c r="O15" s="361">
        <f>VLOOKUP(B15,대학별점수!$B$3:$T$73,19,0)</f>
        <v>52</v>
      </c>
      <c r="P15" s="361">
        <f>VLOOKUP(B15,대학별점수!$B$3:$V$74,18,0)</f>
        <v>86</v>
      </c>
      <c r="Q15" s="169">
        <f>VLOOKUP(B15,대학별점수!$B$3:$V$74,17,0)</f>
        <v>100</v>
      </c>
      <c r="R15" s="137">
        <f>VLOOKUP(B15,대학별점수!$B$3:$V$74,16,0)</f>
        <v>48</v>
      </c>
      <c r="S15" s="137" t="str">
        <f>VLOOKUP(B15,대학별점수!$B$3:$V$74,20,0)</f>
        <v>7.76</v>
      </c>
      <c r="T15" s="137" t="str">
        <f>VLOOKUP(B15,대학별점수!$B$3:$V$74,21,0)</f>
        <v>6.22</v>
      </c>
      <c r="U15" s="161" t="s">
        <v>831</v>
      </c>
    </row>
    <row r="16" spans="1:22" ht="29.25" customHeight="1" thickBot="1">
      <c r="A16" s="174" t="s">
        <v>418</v>
      </c>
      <c r="B16" s="219" t="str">
        <f>대학별점수!B14</f>
        <v>남서울대 스포츠비즈니스</v>
      </c>
      <c r="C16" s="265">
        <f>'내신(남)'!B15</f>
        <v>249</v>
      </c>
      <c r="D16" s="266">
        <f>VLOOKUP(B16,대학별점수!$B$3:$C$74,2,FALSE)</f>
        <v>210</v>
      </c>
      <c r="E16" s="267">
        <f>VLOOKUP(B16,대학별점수!$B$3:$D$74,3,FALSE)</f>
        <v>136</v>
      </c>
      <c r="F16" s="264">
        <f t="shared" si="0"/>
        <v>39</v>
      </c>
      <c r="G16" s="272">
        <f>'실기환산(남)'!N2</f>
        <v>700</v>
      </c>
      <c r="H16" s="269">
        <f t="shared" si="1"/>
        <v>949</v>
      </c>
      <c r="I16" s="270">
        <f>VLOOKUP(B16,대학별점수!$B$3:$M$74,4,0)</f>
        <v>840</v>
      </c>
      <c r="J16" s="275">
        <f>VLOOKUP(B16,대학별점수!$B$3:$M$74,5,0)</f>
        <v>784</v>
      </c>
      <c r="K16" s="405">
        <f>VLOOKUP(B16,대학별점수!$B$3:$T$73,6,0)</f>
        <v>42</v>
      </c>
      <c r="L16" s="215">
        <f>VLOOKUP(B16,대학별점수!$B$3:$M$74,7,0)</f>
        <v>40</v>
      </c>
      <c r="M16" s="217">
        <f>VLOOKUP(B16,대학별점수!$B$3:$M$74,8,0)</f>
        <v>35</v>
      </c>
      <c r="N16" s="218">
        <f>VLOOKUP(B16,대학별점수!$B$3:$M$74,9,0)</f>
        <v>38</v>
      </c>
      <c r="O16" s="361">
        <f>VLOOKUP(B16,대학별점수!$B$3:$T$73,19,0)</f>
        <v>37</v>
      </c>
      <c r="P16" s="361">
        <f>VLOOKUP(B16,대학별점수!$B$3:$V$74,18,0)</f>
        <v>50</v>
      </c>
      <c r="Q16" s="169">
        <f>VLOOKUP(B16,대학별점수!$B$3:$V$74,17,0)</f>
        <v>74</v>
      </c>
      <c r="R16" s="137">
        <f>VLOOKUP(B16,대학별점수!$B$3:$V$74,16,0)</f>
        <v>43</v>
      </c>
      <c r="S16" s="137" t="str">
        <f>VLOOKUP(B16,대학별점수!$B$3:$V$74,20,0)</f>
        <v>4.93</v>
      </c>
      <c r="T16" s="137" t="str">
        <f>VLOOKUP(B16,대학별점수!$B$3:$V$74,21,0)</f>
        <v>4.74</v>
      </c>
      <c r="U16" s="161" t="s">
        <v>832</v>
      </c>
    </row>
    <row r="17" spans="1:22" s="5" customFormat="1" ht="29.25" customHeight="1" thickBot="1">
      <c r="A17" s="174" t="s">
        <v>425</v>
      </c>
      <c r="B17" s="219" t="str">
        <f>대학별점수!B15</f>
        <v>단국대 체육교육</v>
      </c>
      <c r="C17" s="265">
        <f>'내신(남)'!B17</f>
        <v>198</v>
      </c>
      <c r="D17" s="266">
        <f>VLOOKUP(B17,대학별점수!$B$3:$C$74,2,FALSE)</f>
        <v>686</v>
      </c>
      <c r="E17" s="267">
        <f>VLOOKUP(B17,대학별점수!$B$3:$D$74,3,FALSE)</f>
        <v>668</v>
      </c>
      <c r="F17" s="264">
        <f>C17-D17</f>
        <v>-488</v>
      </c>
      <c r="G17" s="272">
        <f>'실기환산(남)'!O2</f>
        <v>270</v>
      </c>
      <c r="H17" s="269">
        <f>C17+G17</f>
        <v>468</v>
      </c>
      <c r="I17" s="270">
        <f>VLOOKUP(B17,대학별점수!$B$3:$M$74,4,0)</f>
        <v>982</v>
      </c>
      <c r="J17" s="275">
        <f>VLOOKUP(B17,대학별점수!$B$3:$M$74,5,0)</f>
        <v>968</v>
      </c>
      <c r="K17" s="405">
        <f>VLOOKUP(B17,대학별점수!$B$3:$T$73,6,0)</f>
        <v>10</v>
      </c>
      <c r="L17" s="215">
        <f>VLOOKUP(B17,대학별점수!$B$3:$M$74,7,0)</f>
        <v>10</v>
      </c>
      <c r="M17" s="217">
        <f>VLOOKUP(B17,대학별점수!$B$3:$M$74,8,0)</f>
        <v>0</v>
      </c>
      <c r="N17" s="218">
        <f>VLOOKUP(B17,대학별점수!$B$3:$M$74,9,0)</f>
        <v>0</v>
      </c>
      <c r="O17" s="361">
        <f>VLOOKUP(B17,대학별점수!$B$3:$T$73,19,0)</f>
        <v>2</v>
      </c>
      <c r="P17" s="361">
        <f>VLOOKUP(B17,대학별점수!$B$3:$V$74,18,0)</f>
        <v>0</v>
      </c>
      <c r="Q17" s="169">
        <f>VLOOKUP(B17,대학별점수!$B$3:$V$74,17,0)</f>
        <v>0</v>
      </c>
      <c r="R17" s="137">
        <f>VLOOKUP(B17,대학별점수!$B$3:$V$74,16,0)</f>
        <v>0</v>
      </c>
      <c r="S17" s="137" t="str">
        <f>VLOOKUP(B17,대학별점수!$B$3:$V$74,20,0)</f>
        <v>42.50</v>
      </c>
      <c r="T17" s="137">
        <f>VLOOKUP(B17,대학별점수!$B$3:$V$74,21,0)</f>
        <v>0</v>
      </c>
      <c r="U17" s="161" t="s">
        <v>833</v>
      </c>
      <c r="V17" s="292"/>
    </row>
    <row r="18" spans="1:22" s="6" customFormat="1" ht="29.25" customHeight="1" thickBot="1">
      <c r="A18" s="174" t="s">
        <v>418</v>
      </c>
      <c r="B18" s="219" t="str">
        <f>대학별점수!B16</f>
        <v>단국대 생활체육</v>
      </c>
      <c r="C18" s="265">
        <f>'내신(남)'!B17</f>
        <v>198</v>
      </c>
      <c r="D18" s="266">
        <f>VLOOKUP(B18,대학별점수!$B$3:$C$74,2,FALSE)</f>
        <v>190</v>
      </c>
      <c r="E18" s="267">
        <f>VLOOKUP(B18,대학별점수!$B$3:$D$74,3,FALSE)</f>
        <v>180</v>
      </c>
      <c r="F18" s="264">
        <f t="shared" si="0"/>
        <v>8</v>
      </c>
      <c r="G18" s="272">
        <f>'실기환산(남)'!P2</f>
        <v>800</v>
      </c>
      <c r="H18" s="269">
        <f t="shared" si="1"/>
        <v>998</v>
      </c>
      <c r="I18" s="270">
        <f>VLOOKUP(B18,대학별점수!$B$3:$M$74,4,0)</f>
        <v>990</v>
      </c>
      <c r="J18" s="275">
        <f>VLOOKUP(B18,대학별점수!$B$3:$M$74,5,0)</f>
        <v>980</v>
      </c>
      <c r="K18" s="405">
        <f>VLOOKUP(B18,대학별점수!$B$3:$T$73,6,0)</f>
        <v>14</v>
      </c>
      <c r="L18" s="215">
        <f>VLOOKUP(B18,대학별점수!$B$3:$M$74,7,0)</f>
        <v>14</v>
      </c>
      <c r="M18" s="217">
        <f>VLOOKUP(B18,대학별점수!$B$3:$M$74,8,0)</f>
        <v>15</v>
      </c>
      <c r="N18" s="218">
        <f>VLOOKUP(B18,대학별점수!$B$3:$M$74,9,0)</f>
        <v>15</v>
      </c>
      <c r="O18" s="361">
        <f>VLOOKUP(B18,대학별점수!$B$3:$T$73,19,0)</f>
        <v>12</v>
      </c>
      <c r="P18" s="361">
        <f>VLOOKUP(B18,대학별점수!$B$3:$V$74,18,0)</f>
        <v>8</v>
      </c>
      <c r="Q18" s="169">
        <f>VLOOKUP(B18,대학별점수!$B$3:$V$74,17,0)</f>
        <v>3</v>
      </c>
      <c r="R18" s="137" t="str">
        <f>VLOOKUP(B18,대학별점수!$B$3:$V$74,16,0)</f>
        <v>23신설</v>
      </c>
      <c r="S18" s="137" t="str">
        <f>VLOOKUP(B18,대학별점수!$B$3:$V$74,20,0)</f>
        <v>42.36</v>
      </c>
      <c r="T18" s="137" t="str">
        <f>VLOOKUP(B18,대학별점수!$B$3:$V$74,21,0)</f>
        <v>34.6</v>
      </c>
      <c r="U18" s="161" t="s">
        <v>834</v>
      </c>
    </row>
    <row r="19" spans="1:22" s="6" customFormat="1" ht="29.25" customHeight="1" thickBot="1">
      <c r="A19" s="174" t="s">
        <v>418</v>
      </c>
      <c r="B19" s="219" t="str">
        <f>대학별점수!B17</f>
        <v>단국대 운동처방재활</v>
      </c>
      <c r="C19" s="265">
        <f>'내신(남)'!B18</f>
        <v>198</v>
      </c>
      <c r="D19" s="266">
        <f>VLOOKUP(B19,대학별점수!$B$3:$C$74,2,FALSE)</f>
        <v>194.8</v>
      </c>
      <c r="E19" s="267">
        <f>VLOOKUP(B19,대학별점수!$B$3:$D$74,3,FALSE)</f>
        <v>192.2</v>
      </c>
      <c r="F19" s="264">
        <f t="shared" si="0"/>
        <v>3.1999999999999886</v>
      </c>
      <c r="G19" s="272">
        <f>'실기환산(남)'!Q2</f>
        <v>800</v>
      </c>
      <c r="H19" s="269">
        <f t="shared" si="1"/>
        <v>998</v>
      </c>
      <c r="I19" s="270">
        <f>VLOOKUP(B19,대학별점수!$B$3:$M$74,4,0)</f>
        <v>0</v>
      </c>
      <c r="J19" s="275">
        <f>VLOOKUP(B19,대학별점수!$B$3:$M$74,5,0)</f>
        <v>0</v>
      </c>
      <c r="K19" s="405" t="str">
        <f>VLOOKUP(B19,대학별점수!$B$3:$T$73,6,0)</f>
        <v>미선발</v>
      </c>
      <c r="L19" s="215">
        <f>VLOOKUP(B19,대학별점수!$B$3:$M$74,7,0)</f>
        <v>5</v>
      </c>
      <c r="M19" s="217">
        <f>VLOOKUP(B19,대학별점수!$B$3:$M$74,8,0)</f>
        <v>5</v>
      </c>
      <c r="N19" s="218">
        <f>VLOOKUP(B19,대학별점수!$B$3:$M$74,9,0)</f>
        <v>6</v>
      </c>
      <c r="O19" s="361">
        <f>VLOOKUP(B19,대학별점수!$B$3:$T$73,19,0)</f>
        <v>5</v>
      </c>
      <c r="P19" s="361">
        <f>VLOOKUP(B19,대학별점수!$B$3:$V$74,18,0)</f>
        <v>4</v>
      </c>
      <c r="Q19" s="169">
        <f>VLOOKUP(B19,대학별점수!$B$3:$V$74,17,0)</f>
        <v>1</v>
      </c>
      <c r="R19" s="137" t="str">
        <f>VLOOKUP(B19,대학별점수!$B$3:$V$74,16,0)</f>
        <v>23신설</v>
      </c>
      <c r="S19" s="137" t="str">
        <f>VLOOKUP(B19,대학별점수!$B$3:$V$74,20,0)</f>
        <v>36.20</v>
      </c>
      <c r="T19" s="137" t="str">
        <f>VLOOKUP(B19,대학별점수!$B$3:$V$74,21,0)</f>
        <v>27.4</v>
      </c>
      <c r="U19" s="161" t="s">
        <v>835</v>
      </c>
    </row>
    <row r="20" spans="1:22" ht="29.25" customHeight="1" thickBot="1">
      <c r="A20" s="174" t="s">
        <v>420</v>
      </c>
      <c r="B20" s="219" t="str">
        <f>대학별점수!B18</f>
        <v>대전대 스포츠건강재활</v>
      </c>
      <c r="C20" s="265">
        <f>'내신(남)'!B19</f>
        <v>400</v>
      </c>
      <c r="D20" s="266">
        <f>VLOOKUP(B20,대학별점수!$B$3:$C$74,2,FALSE)</f>
        <v>352</v>
      </c>
      <c r="E20" s="267">
        <f>VLOOKUP(B20,대학별점수!$B$3:$D$74,3,FALSE)</f>
        <v>330</v>
      </c>
      <c r="F20" s="264">
        <f t="shared" si="0"/>
        <v>48</v>
      </c>
      <c r="G20" s="272">
        <f>'실기환산(남)'!R2</f>
        <v>585</v>
      </c>
      <c r="H20" s="269">
        <f t="shared" si="1"/>
        <v>985</v>
      </c>
      <c r="I20" s="270">
        <f>VLOOKUP(B20,대학별점수!$B$3:$M$74,4,0)</f>
        <v>942</v>
      </c>
      <c r="J20" s="275">
        <f>VLOOKUP(B20,대학별점수!$B$3:$M$74,5,0)</f>
        <v>930</v>
      </c>
      <c r="K20" s="405">
        <f>VLOOKUP(B20,대학별점수!$B$3:$T$73,6,0)</f>
        <v>27</v>
      </c>
      <c r="L20" s="215">
        <f>VLOOKUP(B20,대학별점수!$B$3:$M$74,7,0)</f>
        <v>25</v>
      </c>
      <c r="M20" s="217">
        <f>VLOOKUP(B20,대학별점수!$B$3:$M$74,8,0)</f>
        <v>25</v>
      </c>
      <c r="N20" s="218">
        <f>VLOOKUP(B20,대학별점수!$B$3:$M$74,9,0)</f>
        <v>25</v>
      </c>
      <c r="O20" s="361">
        <f>VLOOKUP(B20,대학별점수!$B$3:$T$73,19,0)</f>
        <v>28</v>
      </c>
      <c r="P20" s="361">
        <f>VLOOKUP(B20,대학별점수!$B$3:$V$74,18,0)</f>
        <v>37</v>
      </c>
      <c r="Q20" s="169">
        <f>VLOOKUP(B20,대학별점수!$B$3:$V$74,17,0)</f>
        <v>54</v>
      </c>
      <c r="R20" s="137">
        <f>VLOOKUP(B20,대학별점수!$B$3:$V$74,16,0)</f>
        <v>42</v>
      </c>
      <c r="S20" s="137" t="str">
        <f>VLOOKUP(B20,대학별점수!$B$3:$V$74,20,0)</f>
        <v>8.88</v>
      </c>
      <c r="T20" s="137" t="str">
        <f>VLOOKUP(B20,대학별점수!$B$3:$V$74,21,0)</f>
        <v>7.96</v>
      </c>
      <c r="U20" s="162" t="s">
        <v>481</v>
      </c>
    </row>
    <row r="21" spans="1:22" ht="29.25" customHeight="1" thickBot="1">
      <c r="A21" s="174" t="s">
        <v>420</v>
      </c>
      <c r="B21" s="219" t="str">
        <f>대학별점수!B19</f>
        <v>대전대 스포츠운동과학</v>
      </c>
      <c r="C21" s="265">
        <f>'내신(남)'!B20</f>
        <v>400</v>
      </c>
      <c r="D21" s="266">
        <f>VLOOKUP(B21,대학별점수!$B$3:$C$74,2,FALSE)</f>
        <v>348</v>
      </c>
      <c r="E21" s="267">
        <f>VLOOKUP(B21,대학별점수!$B$3:$D$74,3,FALSE)</f>
        <v>320</v>
      </c>
      <c r="F21" s="264">
        <f t="shared" si="0"/>
        <v>52</v>
      </c>
      <c r="G21" s="272">
        <f>'실기환산(남)'!S2</f>
        <v>585</v>
      </c>
      <c r="H21" s="269">
        <f t="shared" si="1"/>
        <v>985</v>
      </c>
      <c r="I21" s="270">
        <f>VLOOKUP(B21,대학별점수!$B$3:$M$74,4,0)</f>
        <v>938</v>
      </c>
      <c r="J21" s="275">
        <f>VLOOKUP(B21,대학별점수!$B$3:$M$74,5,0)</f>
        <v>920</v>
      </c>
      <c r="K21" s="405">
        <f>VLOOKUP(B21,대학별점수!$B$3:$T$73,6,0)</f>
        <v>32</v>
      </c>
      <c r="L21" s="215">
        <f>VLOOKUP(B21,대학별점수!$B$3:$M$74,7,0)</f>
        <v>32</v>
      </c>
      <c r="M21" s="217">
        <f>VLOOKUP(B21,대학별점수!$B$3:$M$74,8,0)</f>
        <v>23</v>
      </c>
      <c r="N21" s="218">
        <f>VLOOKUP(B21,대학별점수!$B$3:$M$74,9,0)</f>
        <v>20</v>
      </c>
      <c r="O21" s="361">
        <f>VLOOKUP(B21,대학별점수!$B$3:$T$73,19,0)</f>
        <v>22</v>
      </c>
      <c r="P21" s="361">
        <f>VLOOKUP(B21,대학별점수!$B$3:$V$74,18,0)</f>
        <v>35</v>
      </c>
      <c r="Q21" s="169">
        <f>VLOOKUP(B21,대학별점수!$B$3:$V$74,17,0)</f>
        <v>30</v>
      </c>
      <c r="R21" s="137">
        <f>VLOOKUP(B21,대학별점수!$B$3:$V$74,16,0)</f>
        <v>37</v>
      </c>
      <c r="S21" s="137" t="str">
        <f>VLOOKUP(B21,대학별점수!$B$3:$V$74,20,0)</f>
        <v>3.81</v>
      </c>
      <c r="T21" s="137" t="str">
        <f>VLOOKUP(B21,대학별점수!$B$3:$V$74,21,0)</f>
        <v>4.52</v>
      </c>
      <c r="U21" s="163" t="s">
        <v>481</v>
      </c>
    </row>
    <row r="22" spans="1:22" ht="29.25" customHeight="1" thickBot="1">
      <c r="A22" s="174" t="s">
        <v>425</v>
      </c>
      <c r="B22" s="219" t="str">
        <f>대학별점수!B20</f>
        <v>대진대 스포츠겅강과학</v>
      </c>
      <c r="C22" s="265">
        <f>'내신(남)'!B21</f>
        <v>200</v>
      </c>
      <c r="D22" s="266">
        <f>VLOOKUP(B22,대학별점수!$B$3:$C$74,2,FALSE)</f>
        <v>184</v>
      </c>
      <c r="E22" s="267">
        <f>VLOOKUP(B22,대학별점수!$B$3:$D$74,3,FALSE)</f>
        <v>179.3</v>
      </c>
      <c r="F22" s="264">
        <f t="shared" si="0"/>
        <v>16</v>
      </c>
      <c r="G22" s="272">
        <f>'실기환산(남)'!T2</f>
        <v>800</v>
      </c>
      <c r="H22" s="269">
        <f t="shared" si="1"/>
        <v>1000</v>
      </c>
      <c r="I22" s="270">
        <f>VLOOKUP(B22,대학별점수!$B$3:$M$74,4,0)</f>
        <v>984</v>
      </c>
      <c r="J22" s="275">
        <f>VLOOKUP(B22,대학별점수!$B$3:$M$74,5,0)</f>
        <v>979.3</v>
      </c>
      <c r="K22" s="405">
        <f>VLOOKUP(B22,대학별점수!$B$3:$T$73,6,0)</f>
        <v>25</v>
      </c>
      <c r="L22" s="215">
        <f>VLOOKUP(B22,대학별점수!$B$3:$M$74,7,0)</f>
        <v>25</v>
      </c>
      <c r="M22" s="217">
        <f>VLOOKUP(B22,대학별점수!$B$3:$M$74,8,0)</f>
        <v>25</v>
      </c>
      <c r="N22" s="218">
        <f>VLOOKUP(B22,대학별점수!$B$3:$M$74,9,0)</f>
        <v>22</v>
      </c>
      <c r="O22" s="361">
        <f>VLOOKUP(B22,대학별점수!$B$3:$T$73,19,0)</f>
        <v>22</v>
      </c>
      <c r="P22" s="361">
        <f>VLOOKUP(B22,대학별점수!$B$3:$V$74,18,0)</f>
        <v>32</v>
      </c>
      <c r="Q22" s="169">
        <f>VLOOKUP(B22,대학별점수!$B$3:$V$74,17,0)</f>
        <v>33</v>
      </c>
      <c r="R22" s="137">
        <f>VLOOKUP(B22,대학별점수!$B$3:$V$74,16,0)</f>
        <v>21</v>
      </c>
      <c r="S22" s="137" t="str">
        <f>VLOOKUP(B22,대학별점수!$B$3:$V$74,20,0)</f>
        <v>10.48</v>
      </c>
      <c r="T22" s="137" t="str">
        <f>VLOOKUP(B22,대학별점수!$B$3:$V$74,21,0)</f>
        <v>6.88</v>
      </c>
      <c r="U22" s="164" t="s">
        <v>836</v>
      </c>
    </row>
    <row r="23" spans="1:22" ht="29.25" customHeight="1" thickBot="1">
      <c r="A23" s="174" t="s">
        <v>416</v>
      </c>
      <c r="B23" s="219" t="str">
        <f>대학별점수!B21</f>
        <v>동국대 체육교육</v>
      </c>
      <c r="C23" s="265">
        <f>'내신(남)'!B22</f>
        <v>300</v>
      </c>
      <c r="D23" s="266">
        <f>VLOOKUP(B23,대학별점수!$B$3:$C$74,2,FALSE)</f>
        <v>298.39999999999998</v>
      </c>
      <c r="E23" s="267">
        <f>VLOOKUP(B23,대학별점수!$B$3:$D$74,3,FALSE)</f>
        <v>294.3</v>
      </c>
      <c r="F23" s="264">
        <f t="shared" si="0"/>
        <v>1.6000000000000227</v>
      </c>
      <c r="G23" s="272">
        <f>'실기환산(남)'!U2</f>
        <v>700</v>
      </c>
      <c r="H23" s="269">
        <f t="shared" si="1"/>
        <v>1000</v>
      </c>
      <c r="I23" s="270">
        <f>VLOOKUP(B23,대학별점수!$B$3:$M$74,4,0)</f>
        <v>996.5</v>
      </c>
      <c r="J23" s="275">
        <f>VLOOKUP(B23,대학별점수!$B$3:$M$74,5,0)</f>
        <v>994.3</v>
      </c>
      <c r="K23" s="405">
        <f>VLOOKUP(B23,대학별점수!$B$3:$T$73,6,0)</f>
        <v>22</v>
      </c>
      <c r="L23" s="215">
        <f>VLOOKUP(B23,대학별점수!$B$3:$M$74,7,0)</f>
        <v>23</v>
      </c>
      <c r="M23" s="217">
        <f>VLOOKUP(B23,대학별점수!$B$3:$M$74,8,0)</f>
        <v>23</v>
      </c>
      <c r="N23" s="218">
        <f>VLOOKUP(B23,대학별점수!$B$3:$M$74,9,0)</f>
        <v>23</v>
      </c>
      <c r="O23" s="361">
        <f>VLOOKUP(B23,대학별점수!$B$3:$T$73,19,0)</f>
        <v>0</v>
      </c>
      <c r="P23" s="361">
        <f>VLOOKUP(B23,대학별점수!$B$3:$V$74,18,0)</f>
        <v>0</v>
      </c>
      <c r="Q23" s="169">
        <f>VLOOKUP(B23,대학별점수!$B$3:$V$74,17,0)</f>
        <v>0</v>
      </c>
      <c r="R23" s="137" t="str">
        <f>VLOOKUP(B23,대학별점수!$B$3:$V$74,16,0)</f>
        <v>_</v>
      </c>
      <c r="S23" s="137" t="str">
        <f>VLOOKUP(B23,대학별점수!$B$3:$V$74,20,0)</f>
        <v>30.17</v>
      </c>
      <c r="T23" s="137" t="str">
        <f>VLOOKUP(B23,대학별점수!$B$3:$V$74,21,0)</f>
        <v>27.22</v>
      </c>
      <c r="U23" s="161" t="s">
        <v>837</v>
      </c>
    </row>
    <row r="24" spans="1:22" ht="29.25" customHeight="1" thickBot="1">
      <c r="A24" s="174" t="s">
        <v>420</v>
      </c>
      <c r="B24" s="219" t="str">
        <f>대학별점수!B23</f>
        <v>목원대 스포츠건강관리</v>
      </c>
      <c r="C24" s="265">
        <f>'내신(남)'!B23</f>
        <v>92</v>
      </c>
      <c r="D24" s="266">
        <f>VLOOKUP(B24,대학별점수!$B$3:$C$74,2,FALSE)</f>
        <v>86</v>
      </c>
      <c r="E24" s="267">
        <f>VLOOKUP(B24,대학별점수!$B$3:$D$74,3,FALSE)</f>
        <v>50</v>
      </c>
      <c r="F24" s="264">
        <f t="shared" si="0"/>
        <v>6</v>
      </c>
      <c r="G24" s="272">
        <f>'실기환산(남)'!V2</f>
        <v>900</v>
      </c>
      <c r="H24" s="269">
        <f t="shared" si="1"/>
        <v>992</v>
      </c>
      <c r="I24" s="270">
        <f>VLOOKUP(B24,대학별점수!$B$3:$M$74,4,0)</f>
        <v>918</v>
      </c>
      <c r="J24" s="275">
        <f>VLOOKUP(B24,대학별점수!$B$3:$M$74,5,0)</f>
        <v>888</v>
      </c>
      <c r="K24" s="405">
        <f>VLOOKUP(B24,대학별점수!$B$3:$T$73,6,0)</f>
        <v>30</v>
      </c>
      <c r="L24" s="215">
        <f>VLOOKUP(B24,대학별점수!$B$3:$M$74,7,0)</f>
        <v>33</v>
      </c>
      <c r="M24" s="217">
        <f>VLOOKUP(B24,대학별점수!$B$3:$M$74,8,0)</f>
        <v>33</v>
      </c>
      <c r="N24" s="218">
        <f>VLOOKUP(B24,대학별점수!$B$3:$M$74,9,0)</f>
        <v>54</v>
      </c>
      <c r="O24" s="361">
        <f>VLOOKUP(B24,대학별점수!$B$3:$T$73,19,0)</f>
        <v>76</v>
      </c>
      <c r="P24" s="361">
        <f>VLOOKUP(B24,대학별점수!$B$3:$V$74,18,0)</f>
        <v>126</v>
      </c>
      <c r="Q24" s="169">
        <f>VLOOKUP(B24,대학별점수!$B$3:$V$74,17,0)</f>
        <v>149</v>
      </c>
      <c r="R24" s="137">
        <f>VLOOKUP(B24,대학별점수!$B$3:$V$74,16,0)</f>
        <v>129</v>
      </c>
      <c r="S24" s="137" t="str">
        <f>VLOOKUP(B24,대학별점수!$B$3:$V$74,20,0)</f>
        <v>6.90</v>
      </c>
      <c r="T24" s="137" t="str">
        <f>VLOOKUP(B24,대학별점수!$B$3:$V$74,21,0)</f>
        <v>5.73</v>
      </c>
      <c r="U24" s="161" t="s">
        <v>481</v>
      </c>
    </row>
    <row r="25" spans="1:22" ht="29.25" customHeight="1" thickBot="1">
      <c r="A25" s="174" t="s">
        <v>418</v>
      </c>
      <c r="B25" s="219" t="str">
        <f>대학별점수!B24</f>
        <v>백석대 특수체육교육</v>
      </c>
      <c r="C25" s="265">
        <f>'내신(남)'!B25</f>
        <v>400</v>
      </c>
      <c r="D25" s="266">
        <f>VLOOKUP(B25,대학별점수!$B$3:$C$74,2,FALSE)</f>
        <v>552</v>
      </c>
      <c r="E25" s="267">
        <f>VLOOKUP(B25,대학별점수!$B$3:$D$74,3,FALSE)</f>
        <v>516</v>
      </c>
      <c r="F25" s="264">
        <f t="shared" si="0"/>
        <v>-152</v>
      </c>
      <c r="G25" s="272">
        <f>'실기환산(남)'!W2</f>
        <v>400</v>
      </c>
      <c r="H25" s="269">
        <f t="shared" si="1"/>
        <v>800</v>
      </c>
      <c r="I25" s="270">
        <f>VLOOKUP(B25,대학별점수!$B$3:$M$74,4,0)</f>
        <v>930.67000000000007</v>
      </c>
      <c r="J25" s="275">
        <f>VLOOKUP(B25,대학별점수!$B$3:$M$74,5,0)</f>
        <v>916</v>
      </c>
      <c r="K25" s="405">
        <f>VLOOKUP(B25,대학별점수!$B$3:$T$73,6,0)</f>
        <v>27</v>
      </c>
      <c r="L25" s="215">
        <f>VLOOKUP(B25,대학별점수!$B$3:$M$74,7,0)</f>
        <v>27</v>
      </c>
      <c r="M25" s="217">
        <f>VLOOKUP(B25,대학별점수!$B$3:$M$74,8,0)</f>
        <v>27</v>
      </c>
      <c r="N25" s="218">
        <f>VLOOKUP(B25,대학별점수!$B$3:$M$74,9,0)</f>
        <v>26</v>
      </c>
      <c r="O25" s="361">
        <f>VLOOKUP(B25,대학별점수!$B$3:$T$73,19,0)</f>
        <v>16</v>
      </c>
      <c r="P25" s="361">
        <f>VLOOKUP(B25,대학별점수!$B$3:$V$74,18,0)</f>
        <v>28</v>
      </c>
      <c r="Q25" s="169">
        <f>VLOOKUP(B25,대학별점수!$B$3:$V$74,17,0)</f>
        <v>32</v>
      </c>
      <c r="R25" s="137">
        <f>VLOOKUP(B25,대학별점수!$B$3:$V$74,16,0)</f>
        <v>16</v>
      </c>
      <c r="S25" s="137" t="str">
        <f>VLOOKUP(B25,대학별점수!$B$3:$V$74,20,0)</f>
        <v>6.15</v>
      </c>
      <c r="T25" s="137" t="str">
        <f>VLOOKUP(B25,대학별점수!$B$3:$V$74,21,0)</f>
        <v>5.15</v>
      </c>
      <c r="U25" s="161" t="s">
        <v>481</v>
      </c>
    </row>
    <row r="26" spans="1:22" ht="29.25" customHeight="1" thickBot="1">
      <c r="A26" s="174" t="s">
        <v>418</v>
      </c>
      <c r="B26" s="219" t="str">
        <f>대학별점수!B25</f>
        <v>백석대 스포츠과학</v>
      </c>
      <c r="C26" s="265">
        <f>'내신(남)'!B24</f>
        <v>600</v>
      </c>
      <c r="D26" s="266">
        <f>VLOOKUP(B26,대학별점수!$B$3:$C$74,2,FALSE)</f>
        <v>349</v>
      </c>
      <c r="E26" s="267">
        <f>VLOOKUP(B26,대학별점수!$B$3:$D$74,3,FALSE)</f>
        <v>323</v>
      </c>
      <c r="F26" s="264">
        <f t="shared" si="0"/>
        <v>251</v>
      </c>
      <c r="G26" s="272">
        <f>'실기환산(남)'!X2</f>
        <v>600</v>
      </c>
      <c r="H26" s="269">
        <f t="shared" si="1"/>
        <v>1200</v>
      </c>
      <c r="I26" s="270">
        <f>VLOOKUP(B26,대학별점수!$B$3:$M$74,4,0)</f>
        <v>941</v>
      </c>
      <c r="J26" s="275">
        <f>VLOOKUP(B26,대학별점수!$B$3:$M$74,5,0)</f>
        <v>923</v>
      </c>
      <c r="K26" s="405">
        <f>VLOOKUP(B26,대학별점수!$B$3:$T$73,6,0)</f>
        <v>73</v>
      </c>
      <c r="L26" s="215">
        <f>VLOOKUP(B26,대학별점수!$B$3:$M$74,7,0)</f>
        <v>73</v>
      </c>
      <c r="M26" s="217">
        <f>VLOOKUP(B26,대학별점수!$B$3:$M$74,8,0)</f>
        <v>75</v>
      </c>
      <c r="N26" s="218">
        <f>VLOOKUP(B26,대학별점수!$B$3:$M$74,9,0)</f>
        <v>46</v>
      </c>
      <c r="O26" s="361">
        <f>VLOOKUP(B26,대학별점수!$B$3:$T$73,19,0)</f>
        <v>36</v>
      </c>
      <c r="P26" s="361">
        <f>VLOOKUP(B26,대학별점수!$B$3:$V$74,18,0)</f>
        <v>42</v>
      </c>
      <c r="Q26" s="169">
        <f>VLOOKUP(B26,대학별점수!$B$3:$V$74,17,0)</f>
        <v>30</v>
      </c>
      <c r="R26" s="137">
        <f>VLOOKUP(B26,대학별점수!$B$3:$V$74,16,0)</f>
        <v>19</v>
      </c>
      <c r="S26" s="137" t="str">
        <f>VLOOKUP(B26,대학별점수!$B$3:$V$74,20,0)</f>
        <v>10.96</v>
      </c>
      <c r="T26" s="137" t="str">
        <f>VLOOKUP(B26,대학별점수!$B$3:$V$74,21,0)</f>
        <v>9.29</v>
      </c>
      <c r="U26" s="161" t="s">
        <v>481</v>
      </c>
    </row>
    <row r="27" spans="1:22" ht="29.25" customHeight="1" thickBot="1">
      <c r="A27" s="174" t="s">
        <v>416</v>
      </c>
      <c r="B27" s="219" t="str">
        <f>대학별점수!B26</f>
        <v>삼육대 체육</v>
      </c>
      <c r="C27" s="265">
        <f>'내신(남)'!B26</f>
        <v>400</v>
      </c>
      <c r="D27" s="266">
        <f>VLOOKUP(B27,대학별점수!$B$3:$C$74,2,FALSE)</f>
        <v>392</v>
      </c>
      <c r="E27" s="267">
        <f>VLOOKUP(B27,대학별점수!$B$3:$D$74,3,FALSE)</f>
        <v>386</v>
      </c>
      <c r="F27" s="264">
        <f t="shared" si="0"/>
        <v>8</v>
      </c>
      <c r="G27" s="272">
        <f>'실기환산(남)'!Y2</f>
        <v>600</v>
      </c>
      <c r="H27" s="269">
        <f t="shared" si="1"/>
        <v>1000</v>
      </c>
      <c r="I27" s="270">
        <f>VLOOKUP(B27,대학별점수!$B$3:$M$74,4,0)</f>
        <v>990</v>
      </c>
      <c r="J27" s="275">
        <f>VLOOKUP(B27,대학별점수!$B$3:$M$74,5,0)</f>
        <v>986</v>
      </c>
      <c r="K27" s="405">
        <f>VLOOKUP(B27,대학별점수!$B$3:$T$73,6,0)</f>
        <v>12</v>
      </c>
      <c r="L27" s="215">
        <f>VLOOKUP(B27,대학별점수!$B$3:$M$74,7,0)</f>
        <v>10</v>
      </c>
      <c r="M27" s="217">
        <f>VLOOKUP(B27,대학별점수!$B$3:$M$74,8,0)</f>
        <v>11</v>
      </c>
      <c r="N27" s="218">
        <f>VLOOKUP(B27,대학별점수!$B$3:$M$74,9,0)</f>
        <v>9</v>
      </c>
      <c r="O27" s="361">
        <f>VLOOKUP(B27,대학별점수!$B$3:$T$73,19,0)</f>
        <v>4</v>
      </c>
      <c r="P27" s="361">
        <f>VLOOKUP(B27,대학별점수!$B$3:$V$74,18,0)</f>
        <v>4</v>
      </c>
      <c r="Q27" s="169">
        <f>VLOOKUP(B27,대학별점수!$B$3:$V$74,17,0)</f>
        <v>3</v>
      </c>
      <c r="R27" s="137">
        <f>VLOOKUP(B27,대학별점수!$B$3:$V$74,16,0)</f>
        <v>14</v>
      </c>
      <c r="S27" s="137" t="str">
        <f>VLOOKUP(B27,대학별점수!$B$3:$V$74,20,0)</f>
        <v>13.70</v>
      </c>
      <c r="T27" s="137" t="str">
        <f>VLOOKUP(B27,대학별점수!$B$3:$V$74,21,0)</f>
        <v>29.91</v>
      </c>
      <c r="U27" s="162" t="s">
        <v>838</v>
      </c>
    </row>
    <row r="28" spans="1:22" s="5" customFormat="1" ht="29.25" customHeight="1" thickBot="1">
      <c r="A28" s="174" t="s">
        <v>416</v>
      </c>
      <c r="B28" s="219" t="str">
        <f>대학별점수!B27</f>
        <v>상명대 스포츠건강</v>
      </c>
      <c r="C28" s="265">
        <f>'내신(남)'!B27</f>
        <v>300</v>
      </c>
      <c r="D28" s="266">
        <f>VLOOKUP(B28,대학별점수!$B$3:$C$74,2,FALSE)</f>
        <v>282</v>
      </c>
      <c r="E28" s="267">
        <f>VLOOKUP(B28,대학별점수!$B$3:$D$74,3,FALSE)</f>
        <v>235</v>
      </c>
      <c r="F28" s="264">
        <f>C28-D28</f>
        <v>18</v>
      </c>
      <c r="G28" s="272">
        <f>'실기환산(남)'!Z2</f>
        <v>675.5</v>
      </c>
      <c r="H28" s="269">
        <f>C28+G28</f>
        <v>975.5</v>
      </c>
      <c r="I28" s="270">
        <f>VLOOKUP(B28,대학별점수!$B$3:$M$74,4,0)</f>
        <v>961</v>
      </c>
      <c r="J28" s="275">
        <f>VLOOKUP(B28,대학별점수!$B$3:$M$74,5,0)</f>
        <v>935</v>
      </c>
      <c r="K28" s="405">
        <f>VLOOKUP(B28,대학별점수!$B$3:$T$73,6,0)</f>
        <v>12</v>
      </c>
      <c r="L28" s="215">
        <f>VLOOKUP(B28,대학별점수!$B$3:$M$74,7,0)</f>
        <v>12</v>
      </c>
      <c r="M28" s="217">
        <f>VLOOKUP(B28,대학별점수!$B$3:$M$74,8,0)</f>
        <v>0</v>
      </c>
      <c r="N28" s="218">
        <f>VLOOKUP(B28,대학별점수!$B$3:$M$74,9,0)</f>
        <v>0</v>
      </c>
      <c r="O28" s="361">
        <f>VLOOKUP(B28,대학별점수!$B$3:$T$73,19,0)</f>
        <v>12</v>
      </c>
      <c r="P28" s="361">
        <f>VLOOKUP(B28,대학별점수!$B$3:$V$74,18,0)</f>
        <v>0</v>
      </c>
      <c r="Q28" s="169">
        <f>VLOOKUP(B28,대학별점수!$B$3:$V$74,17,0)</f>
        <v>0</v>
      </c>
      <c r="R28" s="137">
        <f>VLOOKUP(B28,대학별점수!$B$3:$V$74,16,0)</f>
        <v>0</v>
      </c>
      <c r="S28" s="137" t="str">
        <f>VLOOKUP(B28,대학별점수!$B$3:$V$74,20,0)</f>
        <v>65.92</v>
      </c>
      <c r="T28" s="137">
        <f>VLOOKUP(B28,대학별점수!$B$3:$V$74,21,0)</f>
        <v>0</v>
      </c>
      <c r="U28" s="162" t="s">
        <v>824</v>
      </c>
      <c r="V28" s="292"/>
    </row>
    <row r="29" spans="1:22" ht="29.25" customHeight="1" thickBot="1">
      <c r="A29" s="174" t="s">
        <v>418</v>
      </c>
      <c r="B29" s="219" t="str">
        <f>대학별점수!B28</f>
        <v>상명대(천안) 스포츠융합</v>
      </c>
      <c r="C29" s="265">
        <f>'내신(남)'!B28</f>
        <v>400</v>
      </c>
      <c r="D29" s="266">
        <f>VLOOKUP(B29,대학별점수!$B$3:$C$74,2,FALSE)</f>
        <v>357</v>
      </c>
      <c r="E29" s="267">
        <f>VLOOKUP(B29,대학별점수!$B$3:$D$74,3,FALSE)</f>
        <v>288</v>
      </c>
      <c r="F29" s="264">
        <f t="shared" si="0"/>
        <v>43</v>
      </c>
      <c r="G29" s="272">
        <f>'실기환산(남)'!AA2</f>
        <v>590</v>
      </c>
      <c r="H29" s="269">
        <f t="shared" si="1"/>
        <v>990</v>
      </c>
      <c r="I29" s="270">
        <f>VLOOKUP(B29,대학별점수!$B$3:$M$74,4,0)</f>
        <v>910</v>
      </c>
      <c r="J29" s="275">
        <f>VLOOKUP(B29,대학별점수!$B$3:$M$74,5,0)</f>
        <v>888</v>
      </c>
      <c r="K29" s="405">
        <f>VLOOKUP(B29,대학별점수!$B$3:$T$73,6,0)</f>
        <v>38</v>
      </c>
      <c r="L29" s="215">
        <f>VLOOKUP(B29,대학별점수!$B$3:$M$74,7,0)</f>
        <v>38</v>
      </c>
      <c r="M29" s="217">
        <f>VLOOKUP(B29,대학별점수!$B$3:$M$74,8,0)</f>
        <v>38</v>
      </c>
      <c r="N29" s="218">
        <f>VLOOKUP(B29,대학별점수!$B$3:$M$74,9,0)</f>
        <v>43</v>
      </c>
      <c r="O29" s="361">
        <f>VLOOKUP(B29,대학별점수!$B$3:$T$73,19,0)</f>
        <v>23</v>
      </c>
      <c r="P29" s="361">
        <f>VLOOKUP(B29,대학별점수!$B$3:$V$74,18,0)</f>
        <v>37</v>
      </c>
      <c r="Q29" s="169">
        <f>VLOOKUP(B29,대학별점수!$B$3:$V$74,17,0)</f>
        <v>27</v>
      </c>
      <c r="R29" s="137">
        <f>VLOOKUP(B29,대학별점수!$B$3:$V$74,16,0)</f>
        <v>33</v>
      </c>
      <c r="S29" s="137" t="str">
        <f>VLOOKUP(B29,대학별점수!$B$3:$V$74,20,0)</f>
        <v>7.68</v>
      </c>
      <c r="T29" s="137" t="str">
        <f>VLOOKUP(B29,대학별점수!$B$3:$V$74,21,0)</f>
        <v>7.9</v>
      </c>
      <c r="U29" s="161" t="s">
        <v>834</v>
      </c>
    </row>
    <row r="30" spans="1:22" ht="29.25" customHeight="1" thickBot="1">
      <c r="A30" s="174" t="s">
        <v>417</v>
      </c>
      <c r="B30" s="219" t="str">
        <f>대학별점수!B29</f>
        <v>상지대 체육</v>
      </c>
      <c r="C30" s="265">
        <f>'내신(남)'!B29</f>
        <v>300</v>
      </c>
      <c r="D30" s="266">
        <f>VLOOKUP(B30,대학별점수!$B$3:$C$74,2,FALSE)</f>
        <v>233</v>
      </c>
      <c r="E30" s="267">
        <f>VLOOKUP(B30,대학별점수!$B$3:$D$74,3,FALSE)</f>
        <v>197</v>
      </c>
      <c r="F30" s="264">
        <f t="shared" si="0"/>
        <v>67</v>
      </c>
      <c r="G30" s="272">
        <f>'실기환산(남)'!AB2</f>
        <v>700</v>
      </c>
      <c r="H30" s="269">
        <f t="shared" si="1"/>
        <v>1000</v>
      </c>
      <c r="I30" s="270">
        <f>VLOOKUP(B30,대학별점수!$B$3:$M$74,4,0)</f>
        <v>920</v>
      </c>
      <c r="J30" s="275">
        <f>VLOOKUP(B30,대학별점수!$B$3:$M$74,5,0)</f>
        <v>897</v>
      </c>
      <c r="K30" s="405">
        <f>VLOOKUP(B30,대학별점수!$B$3:$T$73,6,0)</f>
        <v>40</v>
      </c>
      <c r="L30" s="215">
        <f>VLOOKUP(B30,대학별점수!$B$3:$M$74,7,0)</f>
        <v>40</v>
      </c>
      <c r="M30" s="217">
        <f>VLOOKUP(B30,대학별점수!$B$3:$M$74,8,0)</f>
        <v>55</v>
      </c>
      <c r="N30" s="218">
        <f>VLOOKUP(B30,대학별점수!$B$3:$M$74,9,0)</f>
        <v>60</v>
      </c>
      <c r="O30" s="361">
        <f>VLOOKUP(B30,대학별점수!$B$3:$T$73,19,0)</f>
        <v>56</v>
      </c>
      <c r="P30" s="361">
        <f>VLOOKUP(B30,대학별점수!$B$3:$V$74,18,0)</f>
        <v>40</v>
      </c>
      <c r="Q30" s="169">
        <f>VLOOKUP(B30,대학별점수!$B$3:$V$74,17,0)</f>
        <v>24</v>
      </c>
      <c r="R30" s="137">
        <f>VLOOKUP(B30,대학별점수!$B$3:$V$74,16,0)</f>
        <v>47</v>
      </c>
      <c r="S30" s="137" t="str">
        <f>VLOOKUP(B30,대학별점수!$B$3:$V$74,20,0)</f>
        <v>4.28</v>
      </c>
      <c r="T30" s="137" t="str">
        <f>VLOOKUP(B30,대학별점수!$B$3:$V$74,21,0)</f>
        <v>1.93</v>
      </c>
      <c r="U30" s="161" t="s">
        <v>834</v>
      </c>
    </row>
    <row r="31" spans="1:22" s="5" customFormat="1" ht="29.25" customHeight="1" thickBot="1">
      <c r="A31" s="174" t="s">
        <v>416</v>
      </c>
      <c r="B31" s="219" t="str">
        <f>대학별점수!B30</f>
        <v>서경대 스포츠&amp;테크놀러지</v>
      </c>
      <c r="C31" s="265">
        <f>'내신(남)'!B30</f>
        <v>250</v>
      </c>
      <c r="D31" s="266">
        <f>VLOOKUP(B31,대학별점수!$B$3:$C$74,2,FALSE)</f>
        <v>294</v>
      </c>
      <c r="E31" s="267">
        <f>VLOOKUP(B31,대학별점수!$B$3:$D$74,3,FALSE)</f>
        <v>281</v>
      </c>
      <c r="F31" s="264">
        <f>C31-D31</f>
        <v>-44</v>
      </c>
      <c r="G31" s="272">
        <f>'실기환산(남)'!AC2</f>
        <v>400</v>
      </c>
      <c r="H31" s="269">
        <f>C31+G31</f>
        <v>650</v>
      </c>
      <c r="I31" s="270">
        <f>VLOOKUP(B31,대학별점수!$B$3:$M$74,4,0)</f>
        <v>687.33</v>
      </c>
      <c r="J31" s="275">
        <f>VLOOKUP(B31,대학별점수!$B$3:$M$74,5,0)</f>
        <v>680.67</v>
      </c>
      <c r="K31" s="405">
        <f>VLOOKUP(B31,대학별점수!$B$3:$T$73,6,0)</f>
        <v>30</v>
      </c>
      <c r="L31" s="215">
        <f>VLOOKUP(B31,대학별점수!$B$3:$M$74,7,0)</f>
        <v>30</v>
      </c>
      <c r="M31" s="217">
        <f>VLOOKUP(B31,대학별점수!$B$3:$M$74,8,0)</f>
        <v>0</v>
      </c>
      <c r="N31" s="218">
        <f>VLOOKUP(B31,대학별점수!$B$3:$M$74,9,0)</f>
        <v>0</v>
      </c>
      <c r="O31" s="361">
        <f>VLOOKUP(B31,대학별점수!$B$3:$T$73,19,0)</f>
        <v>2</v>
      </c>
      <c r="P31" s="361">
        <f>VLOOKUP(B31,대학별점수!$B$3:$V$74,18,0)</f>
        <v>7</v>
      </c>
      <c r="Q31" s="169">
        <f>VLOOKUP(B31,대학별점수!$B$3:$V$74,17,0)</f>
        <v>0</v>
      </c>
      <c r="R31" s="137">
        <f>VLOOKUP(B31,대학별점수!$B$3:$V$74,16,0)</f>
        <v>0</v>
      </c>
      <c r="S31" s="137" t="str">
        <f>VLOOKUP(B31,대학별점수!$B$3:$V$74,20,0)</f>
        <v>24.70</v>
      </c>
      <c r="T31" s="137" t="str">
        <f>VLOOKUP(B31,대학별점수!$B$3:$V$74,21,0)</f>
        <v>19.90</v>
      </c>
      <c r="U31" s="161" t="s">
        <v>834</v>
      </c>
      <c r="V31" s="292"/>
    </row>
    <row r="32" spans="1:22" ht="29.25" customHeight="1" thickBot="1">
      <c r="A32" s="174" t="s">
        <v>418</v>
      </c>
      <c r="B32" s="220" t="str">
        <f>대학별점수!B32</f>
        <v>서원대 체육교육</v>
      </c>
      <c r="C32" s="265">
        <f>'내신(남)'!B31</f>
        <v>600</v>
      </c>
      <c r="D32" s="266">
        <f>VLOOKUP(B32,대학별점수!$B$3:$C$74,2,FALSE)</f>
        <v>588</v>
      </c>
      <c r="E32" s="267">
        <f>VLOOKUP(B32,대학별점수!$B$3:$D$74,3,FALSE)</f>
        <v>576</v>
      </c>
      <c r="F32" s="264">
        <f t="shared" si="0"/>
        <v>12</v>
      </c>
      <c r="G32" s="272">
        <f>'실기환산(남)'!AD2</f>
        <v>400</v>
      </c>
      <c r="H32" s="269">
        <f t="shared" si="1"/>
        <v>1000</v>
      </c>
      <c r="I32" s="270">
        <f>VLOOKUP(B32,대학별점수!$B$3:$M$74,4,0)</f>
        <v>981.6</v>
      </c>
      <c r="J32" s="275">
        <f>VLOOKUP(B32,대학별점수!$B$3:$M$74,5,0)</f>
        <v>976</v>
      </c>
      <c r="K32" s="405">
        <f>VLOOKUP(B32,대학별점수!$B$3:$T$73,6,0)</f>
        <v>28</v>
      </c>
      <c r="L32" s="215">
        <f>VLOOKUP(B32,대학별점수!$B$3:$M$74,7,0)</f>
        <v>23</v>
      </c>
      <c r="M32" s="217">
        <f>VLOOKUP(B32,대학별점수!$B$3:$M$74,8,0)</f>
        <v>23</v>
      </c>
      <c r="N32" s="218">
        <f>VLOOKUP(B32,대학별점수!$B$3:$M$74,9,0)</f>
        <v>23</v>
      </c>
      <c r="O32" s="361">
        <f>VLOOKUP(B32,대학별점수!$B$3:$T$73,19,0)</f>
        <v>36</v>
      </c>
      <c r="P32" s="361">
        <f>VLOOKUP(B32,대학별점수!$B$3:$V$74,18,0)</f>
        <v>23</v>
      </c>
      <c r="Q32" s="169" t="str">
        <f>VLOOKUP(B32,대학별점수!$B$3:$V$74,17,0)</f>
        <v>_</v>
      </c>
      <c r="R32" s="137">
        <f>VLOOKUP(B32,대학별점수!$B$3:$V$74,16,0)</f>
        <v>13</v>
      </c>
      <c r="S32" s="137" t="str">
        <f>VLOOKUP(B32,대학별점수!$B$3:$V$74,20,0)</f>
        <v>6.74</v>
      </c>
      <c r="T32" s="137" t="str">
        <f>VLOOKUP(B32,대학별점수!$B$3:$V$74,21,0)</f>
        <v>11.52</v>
      </c>
      <c r="U32" s="345" t="s">
        <v>839</v>
      </c>
    </row>
    <row r="33" spans="1:22" ht="29.25" customHeight="1" thickBot="1">
      <c r="A33" s="174" t="s">
        <v>418</v>
      </c>
      <c r="B33" s="219" t="str">
        <f>대학별점수!B33</f>
        <v>서원대 레저스포츠</v>
      </c>
      <c r="C33" s="265">
        <f>'내신(남)'!B32</f>
        <v>200</v>
      </c>
      <c r="D33" s="266">
        <f>VLOOKUP(B33,대학별점수!$B$3:$C$74,2,FALSE)</f>
        <v>190.5</v>
      </c>
      <c r="E33" s="267">
        <f>VLOOKUP(B33,대학별점수!$B$3:$D$74,3,FALSE)</f>
        <v>170</v>
      </c>
      <c r="F33" s="264">
        <f t="shared" si="0"/>
        <v>9.5</v>
      </c>
      <c r="G33" s="272">
        <f>'실기환산(남)'!AE2</f>
        <v>800</v>
      </c>
      <c r="H33" s="269">
        <f t="shared" si="1"/>
        <v>1000</v>
      </c>
      <c r="I33" s="270">
        <f>VLOOKUP(B33,대학별점수!$B$3:$M$74,4,0)</f>
        <v>978.3</v>
      </c>
      <c r="J33" s="275">
        <f>VLOOKUP(B33,대학별점수!$B$3:$M$74,5,0)</f>
        <v>963.6</v>
      </c>
      <c r="K33" s="405">
        <f>VLOOKUP(B33,대학별점수!$B$3:$T$73,6,0)</f>
        <v>31</v>
      </c>
      <c r="L33" s="215">
        <f>VLOOKUP(B33,대학별점수!$B$3:$M$74,7,0)</f>
        <v>48</v>
      </c>
      <c r="M33" s="217">
        <f>VLOOKUP(B33,대학별점수!$B$3:$M$74,8,0)</f>
        <v>45</v>
      </c>
      <c r="N33" s="218">
        <f>VLOOKUP(B33,대학별점수!$B$3:$M$74,9,0)</f>
        <v>58</v>
      </c>
      <c r="O33" s="361">
        <f>VLOOKUP(B33,대학별점수!$B$3:$T$73,19,0)</f>
        <v>157</v>
      </c>
      <c r="P33" s="361">
        <f>VLOOKUP(B33,대학별점수!$B$3:$V$74,18,0)</f>
        <v>176</v>
      </c>
      <c r="Q33" s="169" t="str">
        <f>VLOOKUP(B33,대학별점수!$B$3:$V$74,17,0)</f>
        <v>_</v>
      </c>
      <c r="R33" s="137">
        <f>VLOOKUP(B33,대학별점수!$B$3:$V$74,16,0)</f>
        <v>48</v>
      </c>
      <c r="S33" s="137" t="str">
        <f>VLOOKUP(B33,대학별점수!$B$3:$V$74,20,0)</f>
        <v>6.44</v>
      </c>
      <c r="T33" s="137" t="str">
        <f>VLOOKUP(B33,대학별점수!$B$3:$V$74,21,0)</f>
        <v>6.69</v>
      </c>
      <c r="U33" s="164" t="s">
        <v>840</v>
      </c>
    </row>
    <row r="34" spans="1:22" s="6" customFormat="1" ht="29.25" customHeight="1" thickBot="1">
      <c r="A34" s="174" t="s">
        <v>418</v>
      </c>
      <c r="B34" s="219" t="str">
        <f>대학별점수!B34</f>
        <v>서원대 헬스케어운동</v>
      </c>
      <c r="C34" s="265">
        <f>'내신(남)'!B33</f>
        <v>200</v>
      </c>
      <c r="D34" s="266">
        <f>VLOOKUP(B34,대학별점수!$B$3:$C$74,2,FALSE)</f>
        <v>193</v>
      </c>
      <c r="E34" s="267">
        <f>VLOOKUP(B34,대학별점수!$B$3:$D$74,3,FALSE)</f>
        <v>175</v>
      </c>
      <c r="F34" s="264">
        <f t="shared" si="0"/>
        <v>7</v>
      </c>
      <c r="G34" s="272">
        <f>'실기환산(남)'!AF2</f>
        <v>800</v>
      </c>
      <c r="H34" s="269">
        <f t="shared" si="1"/>
        <v>1000</v>
      </c>
      <c r="I34" s="270">
        <f>VLOOKUP(B34,대학별점수!$B$3:$M$74,4,0)</f>
        <v>986.6</v>
      </c>
      <c r="J34" s="275">
        <f>VLOOKUP(B34,대학별점수!$B$3:$M$74,5,0)</f>
        <v>971.4</v>
      </c>
      <c r="K34" s="405">
        <f>VLOOKUP(B34,대학별점수!$B$3:$T$73,6,0)</f>
        <v>25</v>
      </c>
      <c r="L34" s="215">
        <f>VLOOKUP(B34,대학별점수!$B$3:$M$74,7,0)</f>
        <v>25</v>
      </c>
      <c r="M34" s="217">
        <f>VLOOKUP(B34,대학별점수!$B$3:$M$74,8,0)</f>
        <v>25</v>
      </c>
      <c r="N34" s="218">
        <f>VLOOKUP(B34,대학별점수!$B$3:$M$74,9,0)</f>
        <v>30</v>
      </c>
      <c r="O34" s="361">
        <f>VLOOKUP(B34,대학별점수!$B$3:$T$73,19,0)</f>
        <v>46</v>
      </c>
      <c r="P34" s="361">
        <f>VLOOKUP(B34,대학별점수!$B$3:$V$74,18,0)</f>
        <v>60</v>
      </c>
      <c r="Q34" s="169" t="str">
        <f>VLOOKUP(B34,대학별점수!$B$3:$V$74,17,0)</f>
        <v>_</v>
      </c>
      <c r="R34" s="137" t="str">
        <f>VLOOKUP(B34,대학별점수!$B$3:$V$74,16,0)</f>
        <v>23신설</v>
      </c>
      <c r="S34" s="137" t="str">
        <f>VLOOKUP(B34,대학별점수!$B$3:$V$74,20,0)</f>
        <v>8.24</v>
      </c>
      <c r="T34" s="137" t="str">
        <f>VLOOKUP(B34,대학별점수!$B$3:$V$74,21,0)</f>
        <v>7.24</v>
      </c>
      <c r="U34" s="164" t="s">
        <v>840</v>
      </c>
    </row>
    <row r="35" spans="1:22" ht="29.25" customHeight="1" thickBot="1">
      <c r="A35" s="174" t="s">
        <v>418</v>
      </c>
      <c r="B35" s="219" t="str">
        <f>대학별점수!B35</f>
        <v>선문대 스포츠과학</v>
      </c>
      <c r="C35" s="265">
        <f>'내신(남)'!B34</f>
        <v>200</v>
      </c>
      <c r="D35" s="266">
        <f>VLOOKUP(B35,대학별점수!$B$3:$C$74,2,FALSE)</f>
        <v>120</v>
      </c>
      <c r="E35" s="267">
        <f>VLOOKUP(B35,대학별점수!$B$3:$D$74,3,FALSE)</f>
        <v>40</v>
      </c>
      <c r="F35" s="264">
        <f t="shared" si="0"/>
        <v>80</v>
      </c>
      <c r="G35" s="272">
        <f>'실기환산(남)'!AG2</f>
        <v>800</v>
      </c>
      <c r="H35" s="269">
        <f t="shared" si="1"/>
        <v>1000</v>
      </c>
      <c r="I35" s="270">
        <f>VLOOKUP(B35,대학별점수!$B$3:$M$74,4,0)</f>
        <v>830</v>
      </c>
      <c r="J35" s="275">
        <f>VLOOKUP(B35,대학별점수!$B$3:$M$74,5,0)</f>
        <v>795</v>
      </c>
      <c r="K35" s="405">
        <f>VLOOKUP(B35,대학별점수!$B$3:$T$73,6,0)</f>
        <v>27</v>
      </c>
      <c r="L35" s="215">
        <f>VLOOKUP(B35,대학별점수!$B$3:$M$74,7,0)</f>
        <v>26</v>
      </c>
      <c r="M35" s="217">
        <f>VLOOKUP(B35,대학별점수!$B$3:$M$74,8,0)</f>
        <v>24</v>
      </c>
      <c r="N35" s="218">
        <f>VLOOKUP(B35,대학별점수!$B$3:$M$74,9,0)</f>
        <v>25</v>
      </c>
      <c r="O35" s="361">
        <f>VLOOKUP(B35,대학별점수!$B$3:$T$73,19,0)</f>
        <v>16</v>
      </c>
      <c r="P35" s="361">
        <f>VLOOKUP(B35,대학별점수!$B$3:$V$74,18,0)</f>
        <v>33</v>
      </c>
      <c r="Q35" s="169">
        <f>VLOOKUP(B35,대학별점수!$B$3:$V$74,17,0)</f>
        <v>18</v>
      </c>
      <c r="R35" s="137">
        <f>VLOOKUP(B35,대학별점수!$B$3:$V$74,16,0)</f>
        <v>63</v>
      </c>
      <c r="S35" s="137" t="str">
        <f>VLOOKUP(B35,대학별점수!$B$3:$V$74,20,0)</f>
        <v>5.35</v>
      </c>
      <c r="T35" s="137" t="str">
        <f>VLOOKUP(B35,대학별점수!$B$3:$V$74,21,0)</f>
        <v>5.22</v>
      </c>
      <c r="U35" s="164" t="s">
        <v>834</v>
      </c>
    </row>
    <row r="36" spans="1:22" s="6" customFormat="1" ht="29.25" customHeight="1" thickBot="1">
      <c r="A36" s="174" t="s">
        <v>418</v>
      </c>
      <c r="B36" s="219" t="str">
        <f>대학별점수!B36</f>
        <v>선문대 피트니스재활</v>
      </c>
      <c r="C36" s="265">
        <f>'내신(남)'!B35</f>
        <v>180</v>
      </c>
      <c r="D36" s="266">
        <f>VLOOKUP(B36,대학별점수!$B$3:$C$74,2,FALSE)</f>
        <v>120</v>
      </c>
      <c r="E36" s="267">
        <f>VLOOKUP(B36,대학별점수!$B$3:$D$74,3,FALSE)</f>
        <v>40</v>
      </c>
      <c r="F36" s="264">
        <f t="shared" si="0"/>
        <v>60</v>
      </c>
      <c r="G36" s="272">
        <f>'실기환산(남)'!AH2</f>
        <v>800</v>
      </c>
      <c r="H36" s="269">
        <f t="shared" si="1"/>
        <v>980</v>
      </c>
      <c r="I36" s="270">
        <f>VLOOKUP(B36,대학별점수!$B$3:$M$74,4,0)</f>
        <v>780</v>
      </c>
      <c r="J36" s="275">
        <f>VLOOKUP(B36,대학별점수!$B$3:$M$74,5,0)</f>
        <v>734</v>
      </c>
      <c r="K36" s="405">
        <f>VLOOKUP(B36,대학별점수!$B$3:$T$73,6,0)</f>
        <v>27</v>
      </c>
      <c r="L36" s="215">
        <f>VLOOKUP(B36,대학별점수!$B$3:$M$74,7,0)</f>
        <v>25</v>
      </c>
      <c r="M36" s="217">
        <f>VLOOKUP(B36,대학별점수!$B$3:$M$74,8,0)</f>
        <v>24</v>
      </c>
      <c r="N36" s="218">
        <f>VLOOKUP(B36,대학별점수!$B$3:$M$74,9,0)</f>
        <v>25</v>
      </c>
      <c r="O36" s="361">
        <f>VLOOKUP(B36,대학별점수!$B$3:$T$73,19,0)</f>
        <v>19</v>
      </c>
      <c r="P36" s="361">
        <f>VLOOKUP(B36,대학별점수!$B$3:$V$74,18,0)</f>
        <v>46</v>
      </c>
      <c r="Q36" s="169">
        <f>VLOOKUP(B36,대학별점수!$B$3:$V$74,17,0)</f>
        <v>31</v>
      </c>
      <c r="R36" s="137" t="str">
        <f>VLOOKUP(B36,대학별점수!$B$3:$V$74,16,0)</f>
        <v>_</v>
      </c>
      <c r="S36" s="137" t="str">
        <f>VLOOKUP(B36,대학별점수!$B$3:$V$74,20,0)</f>
        <v>4.08</v>
      </c>
      <c r="T36" s="137" t="str">
        <f>VLOOKUP(B36,대학별점수!$B$3:$V$74,21,0)</f>
        <v>5.25</v>
      </c>
      <c r="U36" s="164" t="s">
        <v>834</v>
      </c>
    </row>
    <row r="37" spans="1:22" ht="29.25" customHeight="1" thickBot="1">
      <c r="A37" s="174" t="s">
        <v>425</v>
      </c>
      <c r="B37" s="219" t="str">
        <f>대학별점수!B37</f>
        <v>성결대 체육교육</v>
      </c>
      <c r="C37" s="265">
        <f>'내신(남)'!B36</f>
        <v>400</v>
      </c>
      <c r="D37" s="266">
        <f>VLOOKUP(B37,대학별점수!$B$3:$C$74,2,FALSE)</f>
        <v>395</v>
      </c>
      <c r="E37" s="267">
        <f>VLOOKUP(B37,대학별점수!$B$3:$D$74,3,FALSE)</f>
        <v>385</v>
      </c>
      <c r="F37" s="264">
        <f t="shared" si="0"/>
        <v>5</v>
      </c>
      <c r="G37" s="272">
        <f>'실기환산(남)'!AI2</f>
        <v>600</v>
      </c>
      <c r="H37" s="269">
        <f t="shared" si="1"/>
        <v>1000</v>
      </c>
      <c r="I37" s="270">
        <f>VLOOKUP(B37,대학별점수!$B$3:$M$74,4,0)</f>
        <v>991</v>
      </c>
      <c r="J37" s="275">
        <f>VLOOKUP(B37,대학별점수!$B$3:$M$74,5,0)</f>
        <v>985</v>
      </c>
      <c r="K37" s="405">
        <f>VLOOKUP(B37,대학별점수!$B$3:$T$73,6,0)</f>
        <v>14</v>
      </c>
      <c r="L37" s="215">
        <f>VLOOKUP(B37,대학별점수!$B$3:$M$74,7,0)</f>
        <v>14</v>
      </c>
      <c r="M37" s="217">
        <f>VLOOKUP(B37,대학별점수!$B$3:$M$74,8,0)</f>
        <v>14</v>
      </c>
      <c r="N37" s="218">
        <f>VLOOKUP(B37,대학별점수!$B$3:$M$74,9,0)</f>
        <v>8</v>
      </c>
      <c r="O37" s="361">
        <f>VLOOKUP(B37,대학별점수!$B$3:$T$73,19,0)</f>
        <v>6</v>
      </c>
      <c r="P37" s="361">
        <f>VLOOKUP(B37,대학별점수!$B$3:$V$74,18,0)</f>
        <v>8</v>
      </c>
      <c r="Q37" s="169">
        <f>VLOOKUP(B37,대학별점수!$B$3:$V$74,17,0)</f>
        <v>3</v>
      </c>
      <c r="R37" s="137">
        <f>VLOOKUP(B37,대학별점수!$B$3:$V$74,16,0)</f>
        <v>6</v>
      </c>
      <c r="S37" s="137" t="str">
        <f>VLOOKUP(B37,대학별점수!$B$3:$V$74,20,0)</f>
        <v>16.93</v>
      </c>
      <c r="T37" s="137" t="str">
        <f>VLOOKUP(B37,대학별점수!$B$3:$V$74,21,0)</f>
        <v>23.36</v>
      </c>
      <c r="U37" s="161" t="s">
        <v>841</v>
      </c>
    </row>
    <row r="38" spans="1:22" ht="29.25" customHeight="1" thickBot="1">
      <c r="A38" s="174" t="s">
        <v>415</v>
      </c>
      <c r="B38" s="219" t="str">
        <f>대학별점수!B38</f>
        <v>세명대 생활체육</v>
      </c>
      <c r="C38" s="265">
        <f>'내신(남)'!B37</f>
        <v>200</v>
      </c>
      <c r="D38" s="266">
        <f>VLOOKUP(B38,대학별점수!$B$3:$C$74,2,FALSE)</f>
        <v>120</v>
      </c>
      <c r="E38" s="267">
        <f>VLOOKUP(B38,대학별점수!$B$3:$D$74,3,FALSE)</f>
        <v>40</v>
      </c>
      <c r="F38" s="264">
        <f t="shared" si="0"/>
        <v>80</v>
      </c>
      <c r="G38" s="272">
        <f>'실기환산(남)'!AJ2</f>
        <v>800</v>
      </c>
      <c r="H38" s="269">
        <f t="shared" si="1"/>
        <v>1000</v>
      </c>
      <c r="I38" s="270">
        <f>VLOOKUP(B38,대학별점수!$B$3:$M$74,4,0)</f>
        <v>860</v>
      </c>
      <c r="J38" s="275">
        <f>VLOOKUP(B38,대학별점수!$B$3:$M$74,5,0)</f>
        <v>740</v>
      </c>
      <c r="K38" s="405">
        <f>VLOOKUP(B38,대학별점수!$B$3:$T$73,6,0)</f>
        <v>30</v>
      </c>
      <c r="L38" s="215">
        <f>VLOOKUP(B38,대학별점수!$B$3:$M$74,7,0)</f>
        <v>25</v>
      </c>
      <c r="M38" s="217">
        <f>VLOOKUP(B38,대학별점수!$B$3:$M$74,8,0)</f>
        <v>25</v>
      </c>
      <c r="N38" s="218">
        <f>VLOOKUP(B38,대학별점수!$B$3:$M$74,9,0)</f>
        <v>25</v>
      </c>
      <c r="O38" s="361">
        <f>VLOOKUP(B38,대학별점수!$B$3:$T$73,19,0)</f>
        <v>51</v>
      </c>
      <c r="P38" s="361">
        <f>VLOOKUP(B38,대학별점수!$B$3:$V$74,18,0)</f>
        <v>43</v>
      </c>
      <c r="Q38" s="169">
        <f>VLOOKUP(B38,대학별점수!$B$3:$V$74,17,0)</f>
        <v>116</v>
      </c>
      <c r="R38" s="137">
        <f>VLOOKUP(B38,대학별점수!$B$3:$V$74,16,0)</f>
        <v>53</v>
      </c>
      <c r="S38" s="137" t="str">
        <f>VLOOKUP(B38,대학별점수!$B$3:$V$74,20,0)</f>
        <v>3.44</v>
      </c>
      <c r="T38" s="137" t="str">
        <f>VLOOKUP(B38,대학별점수!$B$3:$V$74,21,0)</f>
        <v>3.2</v>
      </c>
      <c r="U38" s="161" t="s">
        <v>842</v>
      </c>
    </row>
    <row r="39" spans="1:22" ht="28.9" customHeight="1" thickBot="1">
      <c r="A39" s="174" t="s">
        <v>425</v>
      </c>
      <c r="B39" s="219" t="str">
        <f>대학별점수!B39</f>
        <v>수원대 스포츠과학부</v>
      </c>
      <c r="C39" s="265">
        <f>'내신(남)'!B38</f>
        <v>400</v>
      </c>
      <c r="D39" s="266">
        <f>VLOOKUP(B39,대학별점수!$B$3:$C$74,2,FALSE)</f>
        <v>380</v>
      </c>
      <c r="E39" s="267">
        <f>VLOOKUP(B39,대학별점수!$B$3:$D$74,3,FALSE)</f>
        <v>367</v>
      </c>
      <c r="F39" s="264">
        <f t="shared" si="0"/>
        <v>20</v>
      </c>
      <c r="G39" s="272">
        <f>'실기환산(남)'!AK2</f>
        <v>600</v>
      </c>
      <c r="H39" s="269">
        <f t="shared" si="1"/>
        <v>1000</v>
      </c>
      <c r="I39" s="270">
        <f>VLOOKUP(B39,대학별점수!$B$3:$M$74,4,0)</f>
        <v>974</v>
      </c>
      <c r="J39" s="275">
        <f>VLOOKUP(B39,대학별점수!$B$3:$M$74,5,0)</f>
        <v>967</v>
      </c>
      <c r="K39" s="405" t="str">
        <f>VLOOKUP(B39,대학별점수!$B$3:$T$73,6,0)</f>
        <v>기초 20
축구 13
농구 7
체조 5</v>
      </c>
      <c r="L39" s="215" t="str">
        <f>VLOOKUP(B39,대학별점수!$B$3:$M$74,7,0)</f>
        <v>기초 20
축구 13
농구 7
체조 5</v>
      </c>
      <c r="M39" s="217">
        <f>VLOOKUP(B39,대학별점수!$B$3:$M$74,8,0)</f>
        <v>20</v>
      </c>
      <c r="N39" s="218">
        <f>VLOOKUP(B39,대학별점수!$B$3:$M$74,9,0)</f>
        <v>20</v>
      </c>
      <c r="O39" s="361">
        <f>VLOOKUP(B39,대학별점수!$B$3:$T$73,19,0)</f>
        <v>23</v>
      </c>
      <c r="P39" s="361" t="str">
        <f>VLOOKUP(B39,대학별점수!$B$3:$V$74,18,0)</f>
        <v>-</v>
      </c>
      <c r="Q39" s="169">
        <f>VLOOKUP(B39,대학별점수!$B$3:$V$74,17,0)</f>
        <v>16</v>
      </c>
      <c r="R39" s="137">
        <f>VLOOKUP(B39,대학별점수!$B$3:$V$74,16,0)</f>
        <v>9</v>
      </c>
      <c r="S39" s="137" t="str">
        <f>VLOOKUP(B39,대학별점수!$B$3:$V$74,20,0)</f>
        <v xml:space="preserve">27.85
</v>
      </c>
      <c r="T39" s="137" t="str">
        <f>VLOOKUP(B39,대학별점수!$B$3:$V$74,21,0)</f>
        <v xml:space="preserve">27.05
</v>
      </c>
      <c r="U39" s="286" t="s">
        <v>843</v>
      </c>
    </row>
    <row r="40" spans="1:22" ht="29.25" customHeight="1" thickBot="1">
      <c r="A40" s="174" t="s">
        <v>418</v>
      </c>
      <c r="B40" s="219" t="str">
        <f>대학별점수!B41</f>
        <v>순천향대 스포츠과학</v>
      </c>
      <c r="C40" s="265">
        <f>'내신(남)'!B39</f>
        <v>300</v>
      </c>
      <c r="D40" s="266">
        <f>VLOOKUP(B40,대학별점수!$B$3:$C$74,2,FALSE)</f>
        <v>276</v>
      </c>
      <c r="E40" s="267">
        <f>VLOOKUP(B40,대학별점수!$B$3:$D$74,3,FALSE)</f>
        <v>252</v>
      </c>
      <c r="F40" s="264">
        <f t="shared" si="0"/>
        <v>24</v>
      </c>
      <c r="G40" s="272">
        <f>'실기환산(남)'!AN2</f>
        <v>692.22222222222217</v>
      </c>
      <c r="H40" s="269">
        <f t="shared" si="1"/>
        <v>992.22222222222217</v>
      </c>
      <c r="I40" s="270">
        <f>VLOOKUP(B40,대학별점수!$B$3:$M$74,4,0)</f>
        <v>962</v>
      </c>
      <c r="J40" s="275">
        <f>VLOOKUP(B40,대학별점수!$B$3:$M$74,5,0)</f>
        <v>952</v>
      </c>
      <c r="K40" s="405">
        <f>VLOOKUP(B40,대학별점수!$B$3:$T$73,6,0)</f>
        <v>16</v>
      </c>
      <c r="L40" s="215">
        <f>VLOOKUP(B40,대학별점수!$B$3:$M$74,7,0)</f>
        <v>16</v>
      </c>
      <c r="M40" s="217">
        <f>VLOOKUP(B40,대학별점수!$B$3:$M$74,8,0)</f>
        <v>17</v>
      </c>
      <c r="N40" s="218">
        <f>VLOOKUP(B40,대학별점수!$B$3:$M$74,9,0)</f>
        <v>17</v>
      </c>
      <c r="O40" s="361">
        <f>VLOOKUP(B40,대학별점수!$B$3:$T$73,19,0)</f>
        <v>7</v>
      </c>
      <c r="P40" s="361">
        <f>VLOOKUP(B40,대학별점수!$B$3:$V$74,18,0)</f>
        <v>13</v>
      </c>
      <c r="Q40" s="169">
        <f>VLOOKUP(B40,대학별점수!$B$3:$V$74,17,0)</f>
        <v>7</v>
      </c>
      <c r="R40" s="137">
        <f>VLOOKUP(B40,대학별점수!$B$3:$V$74,16,0)</f>
        <v>7</v>
      </c>
      <c r="S40" s="137" t="str">
        <f>VLOOKUP(B40,대학별점수!$B$3:$V$74,20,0)</f>
        <v>27.94</v>
      </c>
      <c r="T40" s="137" t="str">
        <f>VLOOKUP(B40,대학별점수!$B$3:$V$74,21,0)</f>
        <v>18.47</v>
      </c>
      <c r="U40" s="161" t="s">
        <v>844</v>
      </c>
    </row>
    <row r="41" spans="1:22" ht="29.25" customHeight="1" thickBot="1">
      <c r="A41" s="174" t="s">
        <v>418</v>
      </c>
      <c r="B41" s="219" t="str">
        <f>대학별점수!B42</f>
        <v>순천향대 스포츠의학</v>
      </c>
      <c r="C41" s="265">
        <f>'내신(남)'!B41</f>
        <v>400</v>
      </c>
      <c r="D41" s="266">
        <f>VLOOKUP(B41,대학별점수!$B$3:$C$74,2,FALSE)</f>
        <v>382</v>
      </c>
      <c r="E41" s="267">
        <f>VLOOKUP(B41,대학별점수!$B$3:$D$74,3,FALSE)</f>
        <v>369</v>
      </c>
      <c r="F41" s="264">
        <f t="shared" si="0"/>
        <v>18</v>
      </c>
      <c r="G41" s="272">
        <f>'실기환산(남)'!AL2</f>
        <v>595</v>
      </c>
      <c r="H41" s="269">
        <f t="shared" si="1"/>
        <v>995</v>
      </c>
      <c r="I41" s="270">
        <f>VLOOKUP(B41,대학별점수!$B$3:$M$74,4,0)</f>
        <v>976</v>
      </c>
      <c r="J41" s="275">
        <f>VLOOKUP(B41,대학별점수!$B$3:$M$74,5,0)</f>
        <v>969</v>
      </c>
      <c r="K41" s="405">
        <f>VLOOKUP(B41,대학별점수!$B$3:$T$73,6,0)</f>
        <v>13</v>
      </c>
      <c r="L41" s="215">
        <f>VLOOKUP(B41,대학별점수!$B$3:$M$74,7,0)</f>
        <v>13</v>
      </c>
      <c r="M41" s="217">
        <f>VLOOKUP(B41,대학별점수!$B$3:$M$74,8,0)</f>
        <v>12</v>
      </c>
      <c r="N41" s="218">
        <f>VLOOKUP(B41,대학별점수!$B$3:$M$74,9,0)</f>
        <v>15</v>
      </c>
      <c r="O41" s="361">
        <f>VLOOKUP(B41,대학별점수!$B$3:$T$73,19,0)</f>
        <v>27</v>
      </c>
      <c r="P41" s="361">
        <f>VLOOKUP(B41,대학별점수!$B$3:$V$74,18,0)</f>
        <v>19</v>
      </c>
      <c r="Q41" s="169">
        <f>VLOOKUP(B41,대학별점수!$B$3:$V$74,17,0)</f>
        <v>18</v>
      </c>
      <c r="R41" s="137">
        <f>VLOOKUP(B41,대학별점수!$B$3:$V$74,16,0)</f>
        <v>25</v>
      </c>
      <c r="S41" s="137" t="str">
        <f>VLOOKUP(B41,대학별점수!$B$3:$V$74,20,0)</f>
        <v>11.23</v>
      </c>
      <c r="T41" s="137" t="str">
        <f>VLOOKUP(B41,대학별점수!$B$3:$V$74,21,0)</f>
        <v>13.0</v>
      </c>
      <c r="U41" s="161" t="s">
        <v>834</v>
      </c>
    </row>
    <row r="42" spans="1:22" ht="29.25" customHeight="1" thickBot="1">
      <c r="A42" s="174" t="s">
        <v>418</v>
      </c>
      <c r="B42" s="219" t="str">
        <f>대학별점수!B43</f>
        <v>순천향대 스포츠응용산업</v>
      </c>
      <c r="C42" s="265">
        <f>'내신(남)'!B40</f>
        <v>300</v>
      </c>
      <c r="D42" s="266">
        <f>VLOOKUP(B42,대학별점수!$B$3:$C$74,2,FALSE)</f>
        <v>276</v>
      </c>
      <c r="E42" s="267">
        <f>VLOOKUP(B42,대학별점수!$B$3:$D$74,3,FALSE)</f>
        <v>262</v>
      </c>
      <c r="F42" s="264">
        <f t="shared" si="0"/>
        <v>24</v>
      </c>
      <c r="G42" s="272">
        <f>'실기환산(남)'!AM2</f>
        <v>696.11111111111109</v>
      </c>
      <c r="H42" s="269">
        <f t="shared" si="1"/>
        <v>996.11111111111109</v>
      </c>
      <c r="I42" s="270">
        <f>VLOOKUP(B42,대학별점수!$B$3:$M$74,4,0)</f>
        <v>968</v>
      </c>
      <c r="J42" s="275">
        <f>VLOOKUP(B42,대학별점수!$B$3:$M$74,5,0)</f>
        <v>962</v>
      </c>
      <c r="K42" s="405">
        <f>VLOOKUP(B42,대학별점수!$B$3:$T$73,6,0)</f>
        <v>20</v>
      </c>
      <c r="L42" s="215">
        <f>VLOOKUP(B42,대학별점수!$B$3:$M$74,7,0)</f>
        <v>20</v>
      </c>
      <c r="M42" s="217">
        <f>VLOOKUP(B42,대학별점수!$B$3:$M$74,8,0)</f>
        <v>19</v>
      </c>
      <c r="N42" s="218">
        <f>VLOOKUP(B42,대학별점수!$B$3:$M$74,9,0)</f>
        <v>19</v>
      </c>
      <c r="O42" s="361">
        <f>VLOOKUP(B42,대학별점수!$B$3:$T$73,19,0)</f>
        <v>6</v>
      </c>
      <c r="P42" s="361">
        <f>VLOOKUP(B42,대학별점수!$B$3:$V$74,18,0)</f>
        <v>26</v>
      </c>
      <c r="Q42" s="169">
        <f>VLOOKUP(B42,대학별점수!$B$3:$V$74,17,0)</f>
        <v>26</v>
      </c>
      <c r="R42" s="137">
        <f>VLOOKUP(B42,대학별점수!$B$3:$V$74,16,0)</f>
        <v>20</v>
      </c>
      <c r="S42" s="137" t="str">
        <f>VLOOKUP(B42,대학별점수!$B$3:$V$74,20,0)</f>
        <v>21.60</v>
      </c>
      <c r="T42" s="137" t="str">
        <f>VLOOKUP(B42,대학별점수!$B$3:$V$74,21,0)</f>
        <v>22.63</v>
      </c>
      <c r="U42" s="161" t="s">
        <v>845</v>
      </c>
    </row>
    <row r="43" spans="1:22" s="9" customFormat="1" ht="29.25" customHeight="1" thickBot="1">
      <c r="A43" s="174" t="s">
        <v>421</v>
      </c>
      <c r="B43" s="219" t="str">
        <f>대학별점수!B44</f>
        <v>안양대 스포츠과학</v>
      </c>
      <c r="C43" s="265">
        <f>'내신(남)'!B42</f>
        <v>300</v>
      </c>
      <c r="D43" s="266">
        <f>VLOOKUP(B43,대학별점수!$B$3:$C$74,2,FALSE)</f>
        <v>282</v>
      </c>
      <c r="E43" s="267">
        <f>VLOOKUP(B43,대학별점수!$B$3:$D$74,3,FALSE)</f>
        <v>230</v>
      </c>
      <c r="F43" s="264">
        <f t="shared" si="0"/>
        <v>18</v>
      </c>
      <c r="G43" s="272">
        <f>'실기환산(남)'!AO2</f>
        <v>600</v>
      </c>
      <c r="H43" s="269">
        <f t="shared" si="1"/>
        <v>900</v>
      </c>
      <c r="I43" s="270">
        <f>VLOOKUP(B43,대학별점수!$B$3:$M$74,4,0)</f>
        <v>852</v>
      </c>
      <c r="J43" s="275">
        <f>VLOOKUP(B43,대학별점수!$B$3:$M$74,5,0)</f>
        <v>830</v>
      </c>
      <c r="K43" s="405">
        <f>VLOOKUP(B43,대학별점수!$B$3:$T$73,6,0)</f>
        <v>10</v>
      </c>
      <c r="L43" s="215">
        <f>VLOOKUP(B43,대학별점수!$B$3:$M$74,7,0)</f>
        <v>7</v>
      </c>
      <c r="M43" s="217">
        <f>VLOOKUP(B43,대학별점수!$B$3:$M$74,8,0)</f>
        <v>14</v>
      </c>
      <c r="N43" s="218">
        <f>VLOOKUP(B43,대학별점수!$B$3:$M$74,9,0)</f>
        <v>12</v>
      </c>
      <c r="O43" s="361">
        <f>VLOOKUP(B43,대학별점수!$B$3:$T$73,19,0)</f>
        <v>27</v>
      </c>
      <c r="P43" s="361">
        <f>VLOOKUP(B43,대학별점수!$B$3:$V$74,18,0)</f>
        <v>42</v>
      </c>
      <c r="Q43" s="169">
        <f>VLOOKUP(B43,대학별점수!$B$3:$V$74,17,0)</f>
        <v>20</v>
      </c>
      <c r="R43" s="137">
        <f>VLOOKUP(B43,대학별점수!$B$3:$V$74,16,0)</f>
        <v>64</v>
      </c>
      <c r="S43" s="137" t="str">
        <f>VLOOKUP(B43,대학별점수!$B$3:$V$74,20,0)</f>
        <v>7.57</v>
      </c>
      <c r="T43" s="137" t="str">
        <f>VLOOKUP(B43,대학별점수!$B$3:$V$74,21,0)</f>
        <v>5.36</v>
      </c>
      <c r="U43" s="161" t="s">
        <v>481</v>
      </c>
      <c r="V43" s="10"/>
    </row>
    <row r="44" spans="1:22" s="6" customFormat="1" ht="29.25" customHeight="1" thickBot="1">
      <c r="A44" s="174" t="s">
        <v>421</v>
      </c>
      <c r="B44" s="219" t="str">
        <f>대학별점수!B45</f>
        <v>안양대 스포츠응용산업</v>
      </c>
      <c r="C44" s="265">
        <f>'내신(남)'!B43</f>
        <v>280</v>
      </c>
      <c r="D44" s="266">
        <f>VLOOKUP(B44,대학별점수!$B$3:$C$74,2,FALSE)</f>
        <v>0</v>
      </c>
      <c r="E44" s="267">
        <f>VLOOKUP(B44,대학별점수!$B$3:$D$74,3,FALSE)</f>
        <v>0</v>
      </c>
      <c r="F44" s="264">
        <f t="shared" si="0"/>
        <v>280</v>
      </c>
      <c r="G44" s="272">
        <f>'실기환산(남)'!AP2</f>
        <v>600</v>
      </c>
      <c r="H44" s="269">
        <f t="shared" si="1"/>
        <v>880</v>
      </c>
      <c r="I44" s="270">
        <f>VLOOKUP(B44,대학별점수!$B$3:$M$74,4,0)</f>
        <v>800</v>
      </c>
      <c r="J44" s="275">
        <f>VLOOKUP(B44,대학별점수!$B$3:$M$74,5,0)</f>
        <v>730</v>
      </c>
      <c r="K44" s="405" t="str">
        <f>VLOOKUP(B44,대학별점수!$B$3:$T$73,6,0)</f>
        <v>일반학생선발</v>
      </c>
      <c r="L44" s="215">
        <f>VLOOKUP(B44,대학별점수!$B$3:$M$74,7,0)</f>
        <v>4</v>
      </c>
      <c r="M44" s="217">
        <f>VLOOKUP(B44,대학별점수!$B$3:$M$74,8,0)</f>
        <v>16</v>
      </c>
      <c r="N44" s="218">
        <f>VLOOKUP(B44,대학별점수!$B$3:$M$74,9,0)</f>
        <v>0</v>
      </c>
      <c r="O44" s="361">
        <f>VLOOKUP(B44,대학별점수!$B$3:$T$73,19,0)</f>
        <v>3</v>
      </c>
      <c r="P44" s="361" t="str">
        <f>VLOOKUP(B44,대학별점수!$B$3:$V$74,18,0)</f>
        <v>-</v>
      </c>
      <c r="Q44" s="169" t="str">
        <f>VLOOKUP(B44,대학별점수!$B$3:$V$74,17,0)</f>
        <v>24신설</v>
      </c>
      <c r="R44" s="137">
        <f>VLOOKUP(B44,대학별점수!$B$3:$V$74,16,0)</f>
        <v>0</v>
      </c>
      <c r="S44" s="137" t="str">
        <f>VLOOKUP(B44,대학별점수!$B$3:$V$74,20,0)</f>
        <v>7.00</v>
      </c>
      <c r="T44" s="137" t="str">
        <f>VLOOKUP(B44,대학별점수!$B$3:$V$74,21,0)</f>
        <v>3.25</v>
      </c>
      <c r="U44" s="161" t="s">
        <v>845</v>
      </c>
    </row>
    <row r="45" spans="1:22" s="292" customFormat="1" ht="29.25" customHeight="1" thickBot="1">
      <c r="A45" s="174" t="s">
        <v>421</v>
      </c>
      <c r="B45" s="219" t="str">
        <f>대학별점수!B46</f>
        <v>안양대 스포츠자율전공</v>
      </c>
      <c r="C45" s="265">
        <f>'내신(남)'!B44</f>
        <v>250</v>
      </c>
      <c r="D45" s="266">
        <f>VLOOKUP(B45,대학별점수!$B$3:$C$74,2,FALSE)</f>
        <v>322</v>
      </c>
      <c r="E45" s="267">
        <f>VLOOKUP(B45,대학별점수!$B$3:$D$74,3,FALSE)</f>
        <v>250</v>
      </c>
      <c r="F45" s="264">
        <f>C45-D45</f>
        <v>-72</v>
      </c>
      <c r="G45" s="272">
        <f>'실기환산(남)'!AO2</f>
        <v>600</v>
      </c>
      <c r="H45" s="269">
        <f>C45+G45</f>
        <v>850</v>
      </c>
      <c r="I45" s="270">
        <f>VLOOKUP(B45,대학별점수!$B$3:$M$74,4,0)</f>
        <v>904</v>
      </c>
      <c r="J45" s="275">
        <f>VLOOKUP(B45,대학별점수!$B$3:$M$74,5,0)</f>
        <v>850</v>
      </c>
      <c r="K45" s="405">
        <f>VLOOKUP(B45,대학별점수!$B$3:$T$73,6,0)</f>
        <v>15</v>
      </c>
      <c r="L45" s="215">
        <f>VLOOKUP(B45,대학별점수!$B$3:$M$74,7,0)</f>
        <v>15</v>
      </c>
      <c r="M45" s="217">
        <f>VLOOKUP(B45,대학별점수!$B$3:$M$74,8,0)</f>
        <v>0</v>
      </c>
      <c r="N45" s="218">
        <f>VLOOKUP(B45,대학별점수!$B$3:$M$74,9,0)</f>
        <v>0</v>
      </c>
      <c r="O45" s="361">
        <f>VLOOKUP(B45,대학별점수!$B$3:$T$73,19,0)</f>
        <v>24</v>
      </c>
      <c r="P45" s="361" t="str">
        <f>VLOOKUP(B45,대학별점수!$B$3:$V$74,18,0)</f>
        <v>25신설</v>
      </c>
      <c r="Q45" s="169">
        <f>VLOOKUP(B45,대학별점수!$B$3:$V$74,17,0)</f>
        <v>0</v>
      </c>
      <c r="R45" s="137">
        <f>VLOOKUP(B45,대학별점수!$B$3:$V$74,16,0)</f>
        <v>0</v>
      </c>
      <c r="S45" s="137" t="str">
        <f>VLOOKUP(B45,대학별점수!$B$3:$V$74,20,0)</f>
        <v>6.60</v>
      </c>
      <c r="T45" s="137">
        <f>VLOOKUP(B45,대학별점수!$B$3:$V$74,21,0)</f>
        <v>0</v>
      </c>
      <c r="U45" s="161" t="s">
        <v>846</v>
      </c>
    </row>
    <row r="46" spans="1:22" ht="29.25" customHeight="1" thickBot="1">
      <c r="A46" s="174" t="s">
        <v>425</v>
      </c>
      <c r="B46" s="219" t="str">
        <f>대학별점수!B47</f>
        <v>용인대 스포츠레저</v>
      </c>
      <c r="C46" s="265">
        <f>'내신(남)'!B45</f>
        <v>140</v>
      </c>
      <c r="D46" s="266">
        <f>VLOOKUP(B46,대학별점수!$B$3:$C$74,2,FALSE)</f>
        <v>138.5</v>
      </c>
      <c r="E46" s="267">
        <f>VLOOKUP(B46,대학별점수!$B$3:$D$74,3,FALSE)</f>
        <v>131</v>
      </c>
      <c r="F46" s="264">
        <f t="shared" si="0"/>
        <v>1.5</v>
      </c>
      <c r="G46" s="272">
        <f>'실기환산(남)'!AR2</f>
        <v>340</v>
      </c>
      <c r="H46" s="269">
        <f t="shared" si="1"/>
        <v>480</v>
      </c>
      <c r="I46" s="270">
        <f>VLOOKUP(B46,대학별점수!$B$3:$M$74,4,0)</f>
        <v>483.5</v>
      </c>
      <c r="J46" s="275">
        <f>VLOOKUP(B46,대학별점수!$B$3:$M$74,5,0)</f>
        <v>476</v>
      </c>
      <c r="K46" s="405">
        <f>VLOOKUP(B46,대학별점수!$B$3:$T$73,6,0)</f>
        <v>8</v>
      </c>
      <c r="L46" s="215">
        <f>VLOOKUP(B46,대학별점수!$B$3:$M$74,7,0)</f>
        <v>9</v>
      </c>
      <c r="M46" s="217">
        <f>VLOOKUP(B46,대학별점수!$B$3:$M$74,8,0)</f>
        <v>16</v>
      </c>
      <c r="N46" s="218">
        <f>VLOOKUP(B46,대학별점수!$B$3:$M$74,9,0)</f>
        <v>15</v>
      </c>
      <c r="O46" s="361">
        <f>VLOOKUP(B46,대학별점수!$B$3:$T$73,19,0)</f>
        <v>1</v>
      </c>
      <c r="P46" s="361">
        <f>VLOOKUP(B46,대학별점수!$B$3:$V$74,18,0)</f>
        <v>16</v>
      </c>
      <c r="Q46" s="169">
        <f>VLOOKUP(B46,대학별점수!$B$3:$V$74,17,0)</f>
        <v>23</v>
      </c>
      <c r="R46" s="137">
        <f>VLOOKUP(B46,대학별점수!$B$3:$V$74,16,0)</f>
        <v>9</v>
      </c>
      <c r="S46" s="137" t="str">
        <f>VLOOKUP(B46,대학별점수!$B$3:$V$74,20,0)</f>
        <v>33.56</v>
      </c>
      <c r="T46" s="137" t="str">
        <f>VLOOKUP(B46,대학별점수!$B$3:$V$74,21,0)</f>
        <v>13.0</v>
      </c>
      <c r="U46" s="164" t="s">
        <v>834</v>
      </c>
    </row>
    <row r="47" spans="1:22" ht="29.25" customHeight="1" thickBot="1">
      <c r="A47" s="174" t="s">
        <v>425</v>
      </c>
      <c r="B47" s="219" t="str">
        <f>대학별점수!B48</f>
        <v>용인대 특수체육교육</v>
      </c>
      <c r="C47" s="265">
        <f>'내신(남)'!B46</f>
        <v>148</v>
      </c>
      <c r="D47" s="266">
        <f>VLOOKUP(B47,대학별점수!$B$3:$C$74,2,FALSE)</f>
        <v>142.5</v>
      </c>
      <c r="E47" s="267">
        <f>VLOOKUP(B47,대학별점수!$B$3:$D$74,3,FALSE)</f>
        <v>140.69999999999999</v>
      </c>
      <c r="F47" s="264">
        <f t="shared" si="0"/>
        <v>5.5</v>
      </c>
      <c r="G47" s="272">
        <f>'실기환산(남)'!AQ2</f>
        <v>350</v>
      </c>
      <c r="H47" s="269">
        <f t="shared" si="1"/>
        <v>498</v>
      </c>
      <c r="I47" s="270">
        <f>VLOOKUP(B47,대학별점수!$B$3:$M$74,4,0)</f>
        <v>492.5</v>
      </c>
      <c r="J47" s="275">
        <f>VLOOKUP(B47,대학별점수!$B$3:$M$74,5,0)</f>
        <v>490.7</v>
      </c>
      <c r="K47" s="405">
        <f>VLOOKUP(B47,대학별점수!$B$3:$T$73,6,0)</f>
        <v>12</v>
      </c>
      <c r="L47" s="215">
        <f>VLOOKUP(B47,대학별점수!$B$3:$M$74,7,0)</f>
        <v>12</v>
      </c>
      <c r="M47" s="217">
        <f>VLOOKUP(B47,대학별점수!$B$3:$M$74,8,0)</f>
        <v>12</v>
      </c>
      <c r="N47" s="218">
        <f>VLOOKUP(B47,대학별점수!$B$3:$M$74,9,0)</f>
        <v>13</v>
      </c>
      <c r="O47" s="361">
        <f>VLOOKUP(B47,대학별점수!$B$3:$T$73,19,0)</f>
        <v>15</v>
      </c>
      <c r="P47" s="361">
        <f>VLOOKUP(B47,대학별점수!$B$3:$V$74,18,0)</f>
        <v>14</v>
      </c>
      <c r="Q47" s="169">
        <f>VLOOKUP(B47,대학별점수!$B$3:$V$74,17,0)</f>
        <v>19</v>
      </c>
      <c r="R47" s="137">
        <f>VLOOKUP(B47,대학별점수!$B$3:$V$74,16,0)</f>
        <v>22</v>
      </c>
      <c r="S47" s="137" t="str">
        <f>VLOOKUP(B47,대학별점수!$B$3:$V$74,20,0)</f>
        <v>19.17</v>
      </c>
      <c r="T47" s="137" t="str">
        <f>VLOOKUP(B47,대학별점수!$B$3:$V$74,21,0)</f>
        <v>16.0</v>
      </c>
      <c r="U47" s="164" t="s">
        <v>481</v>
      </c>
    </row>
    <row r="48" spans="1:22" s="5" customFormat="1" ht="29.25" customHeight="1" thickBot="1">
      <c r="A48" s="174" t="s">
        <v>425</v>
      </c>
      <c r="B48" s="219" t="str">
        <f>대학별점수!B49</f>
        <v>용인대 체육</v>
      </c>
      <c r="C48" s="265">
        <f>'내신(남)'!B47</f>
        <v>142</v>
      </c>
      <c r="D48" s="266">
        <f>VLOOKUP(B48,대학별점수!$B$3:$C$74,2,FALSE)</f>
        <v>139.5</v>
      </c>
      <c r="E48" s="267">
        <f>VLOOKUP(B48,대학별점수!$B$3:$D$74,3,FALSE)</f>
        <v>137</v>
      </c>
      <c r="F48" s="264">
        <f>C48-D48</f>
        <v>2.5</v>
      </c>
      <c r="G48" s="272">
        <f>'실기환산(남)'!AS2</f>
        <v>350</v>
      </c>
      <c r="H48" s="269">
        <f>C48+G48</f>
        <v>492</v>
      </c>
      <c r="I48" s="270">
        <f>VLOOKUP(B48,대학별점수!$B$3:$M$74,4,0)</f>
        <v>484.5</v>
      </c>
      <c r="J48" s="275">
        <f>VLOOKUP(B48,대학별점수!$B$3:$M$74,5,0)</f>
        <v>482</v>
      </c>
      <c r="K48" s="405">
        <f>VLOOKUP(B48,대학별점수!$B$3:$T$73,6,0)</f>
        <v>13</v>
      </c>
      <c r="L48" s="215">
        <f>VLOOKUP(B48,대학별점수!$B$3:$M$74,7,0)</f>
        <v>12</v>
      </c>
      <c r="M48" s="217">
        <f>VLOOKUP(B48,대학별점수!$B$3:$M$74,8,0)</f>
        <v>0</v>
      </c>
      <c r="N48" s="218">
        <f>VLOOKUP(B48,대학별점수!$B$3:$M$74,9,0)</f>
        <v>0</v>
      </c>
      <c r="O48" s="361">
        <f>VLOOKUP(B48,대학별점수!$B$3:$T$73,19,0)</f>
        <v>16</v>
      </c>
      <c r="P48" s="361" t="str">
        <f>VLOOKUP(B48,대학별점수!$B$3:$V$74,18,0)</f>
        <v>25신설</v>
      </c>
      <c r="Q48" s="169">
        <f>VLOOKUP(B48,대학별점수!$B$3:$V$74,17,0)</f>
        <v>0</v>
      </c>
      <c r="R48" s="137">
        <f>VLOOKUP(B48,대학별점수!$B$3:$V$74,16,0)</f>
        <v>0</v>
      </c>
      <c r="S48" s="137" t="str">
        <f>VLOOKUP(B48,대학별점수!$B$3:$V$74,20,0)</f>
        <v>40.25</v>
      </c>
      <c r="T48" s="137">
        <f>VLOOKUP(B48,대학별점수!$B$3:$V$74,21,0)</f>
        <v>0</v>
      </c>
      <c r="U48" s="164" t="s">
        <v>5</v>
      </c>
      <c r="V48" s="292"/>
    </row>
    <row r="49" spans="1:22" ht="29.25" customHeight="1" thickBot="1">
      <c r="A49" s="174" t="s">
        <v>423</v>
      </c>
      <c r="B49" s="219" t="str">
        <f>대학별점수!B50</f>
        <v>원광대 스포츠과학</v>
      </c>
      <c r="C49" s="265">
        <f>'내신(남)'!B48</f>
        <v>400</v>
      </c>
      <c r="D49" s="266">
        <f>VLOOKUP(B49,대학별점수!$B$3:$C$74,2,FALSE)</f>
        <v>540</v>
      </c>
      <c r="E49" s="267">
        <f>VLOOKUP(B49,대학별점수!$B$3:$D$74,3,FALSE)</f>
        <v>530</v>
      </c>
      <c r="F49" s="264">
        <f t="shared" si="0"/>
        <v>-140</v>
      </c>
      <c r="G49" s="272">
        <f>'실기환산(남)'!AT2</f>
        <v>980</v>
      </c>
      <c r="H49" s="269">
        <f t="shared" si="1"/>
        <v>1380</v>
      </c>
      <c r="I49" s="270">
        <f>VLOOKUP(B49,대학별점수!$B$3:$M$74,4,0)</f>
        <v>1455</v>
      </c>
      <c r="J49" s="275">
        <f>VLOOKUP(B49,대학별점수!$B$3:$M$74,5,0)</f>
        <v>1354</v>
      </c>
      <c r="K49" s="405">
        <f>VLOOKUP(B49,대학별점수!$B$3:$T$73,6,0)</f>
        <v>45</v>
      </c>
      <c r="L49" s="215">
        <f>VLOOKUP(B49,대학별점수!$B$3:$M$74,7,0)</f>
        <v>45</v>
      </c>
      <c r="M49" s="217">
        <f>VLOOKUP(B49,대학별점수!$B$3:$M$74,8,0)</f>
        <v>53</v>
      </c>
      <c r="N49" s="218">
        <f>VLOOKUP(B49,대학별점수!$B$3:$M$74,9,0)</f>
        <v>53</v>
      </c>
      <c r="O49" s="361">
        <f>VLOOKUP(B49,대학별점수!$B$3:$T$73,19,0)</f>
        <v>67</v>
      </c>
      <c r="P49" s="361">
        <f>VLOOKUP(B49,대학별점수!$B$3:$V$74,18,0)</f>
        <v>115</v>
      </c>
      <c r="Q49" s="169">
        <f>VLOOKUP(B49,대학별점수!$B$3:$V$74,17,0)</f>
        <v>106</v>
      </c>
      <c r="R49" s="137">
        <f>VLOOKUP(B49,대학별점수!$B$3:$V$74,16,0)</f>
        <v>61</v>
      </c>
      <c r="S49" s="137" t="str">
        <f>VLOOKUP(B49,대학별점수!$B$3:$V$74,20,0)</f>
        <v>4.11</v>
      </c>
      <c r="T49" s="137" t="str">
        <f>VLOOKUP(B49,대학별점수!$B$3:$V$74,21,0)</f>
        <v>4.02</v>
      </c>
      <c r="U49" s="164" t="s">
        <v>847</v>
      </c>
    </row>
    <row r="50" spans="1:22" ht="29.25" customHeight="1" thickBot="1">
      <c r="A50" s="174" t="s">
        <v>423</v>
      </c>
      <c r="B50" s="220" t="str">
        <f>대학별점수!B51</f>
        <v>원광대 체육교육</v>
      </c>
      <c r="C50" s="265">
        <f>'내신(남)'!B49</f>
        <v>400</v>
      </c>
      <c r="D50" s="266">
        <f>VLOOKUP(B50,대학별점수!$B$3:$C$74,2,FALSE)</f>
        <v>582.5</v>
      </c>
      <c r="E50" s="267">
        <f>VLOOKUP(B50,대학별점수!$B$3:$D$74,3,FALSE)</f>
        <v>530</v>
      </c>
      <c r="F50" s="264">
        <f t="shared" si="0"/>
        <v>-182.5</v>
      </c>
      <c r="G50" s="272">
        <f>'실기환산(남)'!AU2</f>
        <v>910</v>
      </c>
      <c r="H50" s="269">
        <f t="shared" si="1"/>
        <v>1310</v>
      </c>
      <c r="I50" s="270">
        <f>VLOOKUP(B50,대학별점수!$B$3:$M$74,4,0)</f>
        <v>1450</v>
      </c>
      <c r="J50" s="275">
        <f>VLOOKUP(B50,대학별점수!$B$3:$M$74,5,0)</f>
        <v>1250</v>
      </c>
      <c r="K50" s="405">
        <f>VLOOKUP(B50,대학별점수!$B$3:$T$73,6,0)</f>
        <v>18</v>
      </c>
      <c r="L50" s="215">
        <f>VLOOKUP(B50,대학별점수!$B$3:$M$74,7,0)</f>
        <v>18</v>
      </c>
      <c r="M50" s="217">
        <f>VLOOKUP(B50,대학별점수!$B$3:$M$74,8,0)</f>
        <v>18</v>
      </c>
      <c r="N50" s="218">
        <f>VLOOKUP(B50,대학별점수!$B$3:$M$74,9,0)</f>
        <v>18</v>
      </c>
      <c r="O50" s="361">
        <f>VLOOKUP(B50,대학별점수!$B$3:$T$73,19,0)</f>
        <v>9</v>
      </c>
      <c r="P50" s="361">
        <f>VLOOKUP(B50,대학별점수!$B$3:$V$74,18,0)</f>
        <v>10</v>
      </c>
      <c r="Q50" s="169">
        <f>VLOOKUP(B50,대학별점수!$B$3:$V$74,17,0)</f>
        <v>4</v>
      </c>
      <c r="R50" s="137">
        <f>VLOOKUP(B50,대학별점수!$B$3:$V$74,16,0)</f>
        <v>4</v>
      </c>
      <c r="S50" s="137" t="str">
        <f>VLOOKUP(B50,대학별점수!$B$3:$V$74,20,0)</f>
        <v>16.44</v>
      </c>
      <c r="T50" s="137" t="str">
        <f>VLOOKUP(B50,대학별점수!$B$3:$V$74,21,0)</f>
        <v>15.56</v>
      </c>
      <c r="U50" s="164" t="s">
        <v>847</v>
      </c>
    </row>
    <row r="51" spans="1:22" ht="29.25" customHeight="1" thickBot="1">
      <c r="A51" s="399" t="s">
        <v>425</v>
      </c>
      <c r="B51" s="400" t="str">
        <f>대학별점수!B52</f>
        <v>을지대 스포츠아웃도어</v>
      </c>
      <c r="C51" s="333">
        <f>'내신(남)'!B50</f>
        <v>300</v>
      </c>
      <c r="D51" s="334">
        <f>VLOOKUP(B51,대학별점수!$B$3:$C$74,2,FALSE)</f>
        <v>255.7</v>
      </c>
      <c r="E51" s="335">
        <f>VLOOKUP(B51,대학별점수!$B$3:$D$74,3,FALSE)</f>
        <v>185.1</v>
      </c>
      <c r="F51" s="336">
        <f t="shared" si="0"/>
        <v>44.300000000000011</v>
      </c>
      <c r="G51" s="337">
        <f>'실기환산(남)'!AV2</f>
        <v>700</v>
      </c>
      <c r="H51" s="338">
        <f t="shared" si="1"/>
        <v>1000</v>
      </c>
      <c r="I51" s="339">
        <f>VLOOKUP(B51,대학별점수!$B$3:$M$74,4,0)</f>
        <v>916</v>
      </c>
      <c r="J51" s="343">
        <f>VLOOKUP(B51,대학별점수!$B$3:$M$74,5,0)</f>
        <v>892</v>
      </c>
      <c r="K51" s="405" t="str">
        <f>VLOOKUP(B51,대학별점수!$B$3:$T$73,6,0)</f>
        <v>-</v>
      </c>
      <c r="L51" s="215">
        <f>VLOOKUP(B51,대학별점수!$B$3:$M$74,7,0)</f>
        <v>0</v>
      </c>
      <c r="M51" s="217">
        <f>VLOOKUP(B51,대학별점수!$B$3:$M$74,8,0)</f>
        <v>25</v>
      </c>
      <c r="N51" s="218">
        <f>VLOOKUP(B51,대학별점수!$B$3:$M$74,9,0)</f>
        <v>27</v>
      </c>
      <c r="O51" s="361">
        <f>VLOOKUP(B51,대학별점수!$B$3:$T$73,19,0)</f>
        <v>0</v>
      </c>
      <c r="P51" s="361">
        <f>VLOOKUP(B51,대학별점수!$B$3:$V$74,18,0)</f>
        <v>0</v>
      </c>
      <c r="Q51" s="169">
        <f>VLOOKUP(B51,대학별점수!$B$3:$V$74,17,0)</f>
        <v>26</v>
      </c>
      <c r="R51" s="137">
        <f>VLOOKUP(B51,대학별점수!$B$3:$V$74,16,0)</f>
        <v>27</v>
      </c>
      <c r="S51" s="137">
        <f>VLOOKUP(B51,대학별점수!$B$3:$V$74,20,0)</f>
        <v>0</v>
      </c>
      <c r="T51" s="137">
        <f>VLOOKUP(B51,대학별점수!$B$3:$V$74,21,0)</f>
        <v>0</v>
      </c>
      <c r="U51" s="164" t="s">
        <v>848</v>
      </c>
    </row>
    <row r="52" spans="1:22" ht="29.25" customHeight="1" thickBot="1">
      <c r="A52" s="174" t="s">
        <v>421</v>
      </c>
      <c r="B52" s="219" t="str">
        <f>대학별점수!B53</f>
        <v>인천대 운동건강</v>
      </c>
      <c r="C52" s="265">
        <f>'내신(남)'!B51</f>
        <v>200</v>
      </c>
      <c r="D52" s="266">
        <f>VLOOKUP(B52,대학별점수!$B$3:$C$74,2,FALSE)</f>
        <v>194.6</v>
      </c>
      <c r="E52" s="267">
        <f>VLOOKUP(B52,대학별점수!$B$3:$D$74,3,FALSE)</f>
        <v>190.1</v>
      </c>
      <c r="F52" s="264">
        <f t="shared" si="0"/>
        <v>5.4000000000000057</v>
      </c>
      <c r="G52" s="272">
        <f>'실기환산(남)'!AX2</f>
        <v>300</v>
      </c>
      <c r="H52" s="269">
        <f t="shared" si="1"/>
        <v>500</v>
      </c>
      <c r="I52" s="270">
        <f>VLOOKUP(B52,대학별점수!$B$3:$M$74,4,0)</f>
        <v>487.6</v>
      </c>
      <c r="J52" s="275">
        <f>VLOOKUP(B52,대학별점수!$B$3:$M$74,5,0)</f>
        <v>483.1</v>
      </c>
      <c r="K52" s="405">
        <f>VLOOKUP(B52,대학별점수!$B$3:$T$73,6,0)</f>
        <v>20</v>
      </c>
      <c r="L52" s="215">
        <f>VLOOKUP(B52,대학별점수!$B$3:$M$74,7,0)</f>
        <v>20</v>
      </c>
      <c r="M52" s="217">
        <f>VLOOKUP(B52,대학별점수!$B$3:$M$74,8,0)</f>
        <v>20</v>
      </c>
      <c r="N52" s="218">
        <f>VLOOKUP(B52,대학별점수!$B$3:$M$74,9,0)</f>
        <v>24</v>
      </c>
      <c r="O52" s="361">
        <f>VLOOKUP(B52,대학별점수!$B$3:$T$73,19,0)</f>
        <v>1</v>
      </c>
      <c r="P52" s="361">
        <f>VLOOKUP(B52,대학별점수!$B$3:$V$74,18,0)</f>
        <v>4</v>
      </c>
      <c r="Q52" s="169">
        <f>VLOOKUP(B52,대학별점수!$B$3:$V$74,17,0)</f>
        <v>7</v>
      </c>
      <c r="R52" s="137">
        <f>VLOOKUP(B52,대학별점수!$B$3:$V$74,16,0)</f>
        <v>5</v>
      </c>
      <c r="S52" s="137" t="str">
        <f>VLOOKUP(B52,대학별점수!$B$3:$V$74,20,0)</f>
        <v>16.05</v>
      </c>
      <c r="T52" s="137" t="str">
        <f>VLOOKUP(B52,대학별점수!$B$3:$V$74,21,0)</f>
        <v>18.35</v>
      </c>
      <c r="U52" s="164" t="s">
        <v>834</v>
      </c>
    </row>
    <row r="53" spans="1:22" ht="29.25" customHeight="1" thickBot="1">
      <c r="A53" s="174" t="s">
        <v>421</v>
      </c>
      <c r="B53" s="219" t="str">
        <f>대학별점수!B54</f>
        <v>인천대 스포츠과학</v>
      </c>
      <c r="C53" s="265">
        <f>'내신(남)'!B52</f>
        <v>200</v>
      </c>
      <c r="D53" s="266">
        <f>VLOOKUP(B53,대학별점수!$B$3:$C$74,2,FALSE)</f>
        <v>195.4</v>
      </c>
      <c r="E53" s="267">
        <f>VLOOKUP(B53,대학별점수!$B$3:$D$74,3,FALSE)</f>
        <v>192.1</v>
      </c>
      <c r="F53" s="264">
        <f t="shared" si="0"/>
        <v>4.5999999999999943</v>
      </c>
      <c r="G53" s="272">
        <f>'실기환산(남)'!AY2</f>
        <v>300</v>
      </c>
      <c r="H53" s="269">
        <f t="shared" si="1"/>
        <v>500</v>
      </c>
      <c r="I53" s="270">
        <f>VLOOKUP(B53,대학별점수!$B$3:$M$74,4,0)</f>
        <v>488.4</v>
      </c>
      <c r="J53" s="275">
        <f>VLOOKUP(B53,대학별점수!$B$3:$M$74,5,0)</f>
        <v>485.1</v>
      </c>
      <c r="K53" s="405">
        <f>VLOOKUP(B53,대학별점수!$B$3:$T$73,6,0)</f>
        <v>27</v>
      </c>
      <c r="L53" s="215">
        <f>VLOOKUP(B53,대학별점수!$B$3:$M$74,7,0)</f>
        <v>27</v>
      </c>
      <c r="M53" s="217">
        <f>VLOOKUP(B53,대학별점수!$B$3:$M$74,8,0)</f>
        <v>27</v>
      </c>
      <c r="N53" s="218">
        <f>VLOOKUP(B53,대학별점수!$B$3:$M$74,9,0)</f>
        <v>27</v>
      </c>
      <c r="O53" s="361">
        <f>VLOOKUP(B53,대학별점수!$B$3:$T$73,19,0)</f>
        <v>4</v>
      </c>
      <c r="P53" s="361">
        <f>VLOOKUP(B53,대학별점수!$B$3:$V$74,18,0)</f>
        <v>3</v>
      </c>
      <c r="Q53" s="169">
        <f>VLOOKUP(B53,대학별점수!$B$3:$V$74,17,0)</f>
        <v>3</v>
      </c>
      <c r="R53" s="137">
        <f>VLOOKUP(B53,대학별점수!$B$3:$V$74,16,0)</f>
        <v>6</v>
      </c>
      <c r="S53" s="137" t="str">
        <f>VLOOKUP(B53,대학별점수!$B$3:$V$74,20,0)</f>
        <v>7.74</v>
      </c>
      <c r="T53" s="137" t="str">
        <f>VLOOKUP(B53,대학별점수!$B$3:$V$74,21,0)</f>
        <v>8.37</v>
      </c>
      <c r="U53" s="161" t="s">
        <v>481</v>
      </c>
    </row>
    <row r="54" spans="1:22" ht="29.25" customHeight="1" thickBot="1">
      <c r="A54" s="174" t="s">
        <v>421</v>
      </c>
      <c r="B54" s="219" t="str">
        <f>대학별점수!B55</f>
        <v>인천대 체육교육</v>
      </c>
      <c r="C54" s="265">
        <f>'내신(남)'!B53</f>
        <v>200</v>
      </c>
      <c r="D54" s="266">
        <f>VLOOKUP(B54,대학별점수!$B$3:$C$74,2,FALSE)</f>
        <v>198.4</v>
      </c>
      <c r="E54" s="267">
        <f>VLOOKUP(B54,대학별점수!$B$3:$D$74,3,FALSE)</f>
        <v>197.1</v>
      </c>
      <c r="F54" s="264">
        <f t="shared" si="0"/>
        <v>1.5999999999999943</v>
      </c>
      <c r="G54" s="272">
        <f>'실기환산(남)'!AW2</f>
        <v>200</v>
      </c>
      <c r="H54" s="269">
        <f t="shared" si="1"/>
        <v>400</v>
      </c>
      <c r="I54" s="270">
        <f>VLOOKUP(B54,대학별점수!$B$3:$M$74,4,0)</f>
        <v>395.4</v>
      </c>
      <c r="J54" s="275">
        <f>VLOOKUP(B54,대학별점수!$B$3:$M$74,5,0)</f>
        <v>392.4</v>
      </c>
      <c r="K54" s="405">
        <f>VLOOKUP(B54,대학별점수!$B$3:$T$73,6,0)</f>
        <v>8</v>
      </c>
      <c r="L54" s="215">
        <f>VLOOKUP(B54,대학별점수!$B$3:$M$74,7,0)</f>
        <v>7</v>
      </c>
      <c r="M54" s="217">
        <f>VLOOKUP(B54,대학별점수!$B$3:$M$74,8,0)</f>
        <v>7</v>
      </c>
      <c r="N54" s="218">
        <f>VLOOKUP(B54,대학별점수!$B$3:$M$74,9,0)</f>
        <v>6</v>
      </c>
      <c r="O54" s="361">
        <f>VLOOKUP(B54,대학별점수!$B$3:$T$73,19,0)</f>
        <v>3</v>
      </c>
      <c r="P54" s="361">
        <f>VLOOKUP(B54,대학별점수!$B$3:$V$74,18,0)</f>
        <v>0</v>
      </c>
      <c r="Q54" s="169">
        <f>VLOOKUP(B54,대학별점수!$B$3:$V$74,17,0)</f>
        <v>1</v>
      </c>
      <c r="R54" s="137">
        <f>VLOOKUP(B54,대학별점수!$B$3:$V$74,16,0)</f>
        <v>6</v>
      </c>
      <c r="S54" s="137" t="str">
        <f>VLOOKUP(B54,대학별점수!$B$3:$V$74,20,0)</f>
        <v>15.29</v>
      </c>
      <c r="T54" s="137" t="str">
        <f>VLOOKUP(B54,대학별점수!$B$3:$V$74,21,0)</f>
        <v>11.14</v>
      </c>
      <c r="U54" s="164" t="s">
        <v>849</v>
      </c>
    </row>
    <row r="55" spans="1:22" ht="29.25" customHeight="1" thickBot="1">
      <c r="A55" s="174" t="s">
        <v>418</v>
      </c>
      <c r="B55" s="219" t="str">
        <f>대학별점수!B56</f>
        <v>중부대 스포츠재활복지</v>
      </c>
      <c r="C55" s="265">
        <f>'내신(남)'!B54</f>
        <v>300</v>
      </c>
      <c r="D55" s="266">
        <f>VLOOKUP(B55,대학별점수!$B$3:$C$74,2,FALSE)</f>
        <v>235</v>
      </c>
      <c r="E55" s="267">
        <f>VLOOKUP(B55,대학별점수!$B$3:$D$74,3,FALSE)</f>
        <v>160</v>
      </c>
      <c r="F55" s="264">
        <f t="shared" si="0"/>
        <v>65</v>
      </c>
      <c r="G55" s="272">
        <f>'실기환산(남)'!AZ2</f>
        <v>700</v>
      </c>
      <c r="H55" s="269">
        <f t="shared" si="1"/>
        <v>1000</v>
      </c>
      <c r="I55" s="270">
        <f>VLOOKUP(B55,대학별점수!$B$3:$M$74,4,0)</f>
        <v>882</v>
      </c>
      <c r="J55" s="275">
        <f>VLOOKUP(B55,대학별점수!$B$3:$M$74,5,0)</f>
        <v>836</v>
      </c>
      <c r="K55" s="405">
        <f>VLOOKUP(B55,대학별점수!$B$3:$T$73,6,0)</f>
        <v>10</v>
      </c>
      <c r="L55" s="215">
        <f>VLOOKUP(B55,대학별점수!$B$3:$M$74,7,0)</f>
        <v>10</v>
      </c>
      <c r="M55" s="217">
        <f>VLOOKUP(B55,대학별점수!$B$3:$M$74,8,0)</f>
        <v>26</v>
      </c>
      <c r="N55" s="218">
        <f>VLOOKUP(B55,대학별점수!$B$3:$M$74,9,0)</f>
        <v>22</v>
      </c>
      <c r="O55" s="361">
        <f>VLOOKUP(B55,대학별점수!$B$3:$T$73,19,0)</f>
        <v>25</v>
      </c>
      <c r="P55" s="361">
        <f>VLOOKUP(B55,대학별점수!$B$3:$V$74,18,0)</f>
        <v>22</v>
      </c>
      <c r="Q55" s="169">
        <f>VLOOKUP(B55,대학별점수!$B$3:$V$74,17,0)</f>
        <v>60</v>
      </c>
      <c r="R55" s="137">
        <f>VLOOKUP(B55,대학별점수!$B$3:$V$74,16,0)</f>
        <v>101</v>
      </c>
      <c r="S55" s="137" t="str">
        <f>VLOOKUP(B55,대학별점수!$B$3:$V$74,20,0)</f>
        <v>5.90</v>
      </c>
      <c r="T55" s="137" t="str">
        <f>VLOOKUP(B55,대학별점수!$B$3:$V$74,21,0)</f>
        <v>2.19</v>
      </c>
      <c r="U55" s="161" t="s">
        <v>341</v>
      </c>
    </row>
    <row r="56" spans="1:22" ht="29.25" customHeight="1" thickBot="1">
      <c r="A56" s="174" t="s">
        <v>418</v>
      </c>
      <c r="B56" s="219" t="str">
        <f>대학별점수!B57</f>
        <v>중부대 스포츠건강관리</v>
      </c>
      <c r="C56" s="265">
        <f>'내신(남)'!B55</f>
        <v>300</v>
      </c>
      <c r="D56" s="266">
        <f>VLOOKUP(B56,대학별점수!$B$3:$C$74,2,FALSE)</f>
        <v>220</v>
      </c>
      <c r="E56" s="267">
        <f>VLOOKUP(B56,대학별점수!$B$3:$D$74,3,FALSE)</f>
        <v>160</v>
      </c>
      <c r="F56" s="264">
        <f t="shared" si="0"/>
        <v>80</v>
      </c>
      <c r="G56" s="272">
        <f>'실기환산(남)'!BA2</f>
        <v>700</v>
      </c>
      <c r="H56" s="269">
        <f t="shared" si="1"/>
        <v>1000</v>
      </c>
      <c r="I56" s="270">
        <f>VLOOKUP(B56,대학별점수!$B$3:$M$74,4,0)</f>
        <v>848</v>
      </c>
      <c r="J56" s="275">
        <f>VLOOKUP(B56,대학별점수!$B$3:$M$74,5,0)</f>
        <v>808</v>
      </c>
      <c r="K56" s="405">
        <f>VLOOKUP(B56,대학별점수!$B$3:$T$73,6,0)</f>
        <v>12</v>
      </c>
      <c r="L56" s="215">
        <f>VLOOKUP(B56,대학별점수!$B$3:$M$74,7,0)</f>
        <v>10</v>
      </c>
      <c r="M56" s="217">
        <f>VLOOKUP(B56,대학별점수!$B$3:$M$74,8,0)</f>
        <v>21</v>
      </c>
      <c r="N56" s="218">
        <f>VLOOKUP(B56,대학별점수!$B$3:$M$74,9,0)</f>
        <v>25</v>
      </c>
      <c r="O56" s="361">
        <f>VLOOKUP(B56,대학별점수!$B$3:$T$73,19,0)</f>
        <v>35</v>
      </c>
      <c r="P56" s="361">
        <f>VLOOKUP(B56,대학별점수!$B$3:$V$74,18,0)</f>
        <v>67</v>
      </c>
      <c r="Q56" s="169">
        <f>VLOOKUP(B56,대학별점수!$B$3:$V$74,17,0)</f>
        <v>71</v>
      </c>
      <c r="R56" s="137">
        <f>VLOOKUP(B56,대학별점수!$B$3:$V$74,16,0)</f>
        <v>78</v>
      </c>
      <c r="S56" s="137" t="str">
        <f>VLOOKUP(B56,대학별점수!$B$3:$V$74,20,0)</f>
        <v>5.20</v>
      </c>
      <c r="T56" s="137" t="str">
        <f>VLOOKUP(B56,대학별점수!$B$3:$V$74,21,0)</f>
        <v>4.86</v>
      </c>
      <c r="U56" s="320" t="s">
        <v>341</v>
      </c>
      <c r="V56" s="6"/>
    </row>
    <row r="57" spans="1:22" ht="29.25" customHeight="1" thickBot="1">
      <c r="A57" s="174" t="s">
        <v>418</v>
      </c>
      <c r="B57" s="219" t="str">
        <f>대학별점수!B58</f>
        <v>중부대 특수체육교육</v>
      </c>
      <c r="C57" s="265">
        <f>'내신(남)'!B56</f>
        <v>600</v>
      </c>
      <c r="D57" s="266">
        <f>VLOOKUP(B57,대학별점수!$B$3:$C$74,2,FALSE)</f>
        <v>280</v>
      </c>
      <c r="E57" s="267">
        <f>VLOOKUP(B57,대학별점수!$B$3:$D$74,3,FALSE)</f>
        <v>225</v>
      </c>
      <c r="F57" s="264">
        <f t="shared" si="0"/>
        <v>320</v>
      </c>
      <c r="G57" s="272">
        <f>'실기환산(남)'!BB2</f>
        <v>700</v>
      </c>
      <c r="H57" s="269">
        <f t="shared" si="1"/>
        <v>1300</v>
      </c>
      <c r="I57" s="270">
        <f>VLOOKUP(B57,대학별점수!$B$3:$M$74,4,0)</f>
        <v>955</v>
      </c>
      <c r="J57" s="275">
        <f>VLOOKUP(B57,대학별점수!$B$3:$M$74,5,0)</f>
        <v>925</v>
      </c>
      <c r="K57" s="405">
        <f>VLOOKUP(B57,대학별점수!$B$3:$T$73,6,0)</f>
        <v>18</v>
      </c>
      <c r="L57" s="215">
        <f>VLOOKUP(B57,대학별점수!$B$3:$M$74,7,0)</f>
        <v>18</v>
      </c>
      <c r="M57" s="217">
        <f>VLOOKUP(B57,대학별점수!$B$3:$M$74,8,0)</f>
        <v>18</v>
      </c>
      <c r="N57" s="218">
        <f>VLOOKUP(B57,대학별점수!$B$3:$M$74,9,0)</f>
        <v>18</v>
      </c>
      <c r="O57" s="361">
        <f>VLOOKUP(B57,대학별점수!$B$3:$T$73,19,0)</f>
        <v>31</v>
      </c>
      <c r="P57" s="361">
        <f>VLOOKUP(B57,대학별점수!$B$3:$V$74,18,0)</f>
        <v>35</v>
      </c>
      <c r="Q57" s="169">
        <f>VLOOKUP(B57,대학별점수!$B$3:$V$74,17,0)</f>
        <v>44</v>
      </c>
      <c r="R57" s="137">
        <f>VLOOKUP(B57,대학별점수!$B$3:$V$74,16,0)</f>
        <v>29</v>
      </c>
      <c r="S57" s="137" t="str">
        <f>VLOOKUP(B57,대학별점수!$B$3:$V$74,20,0)</f>
        <v>7.44</v>
      </c>
      <c r="T57" s="137" t="str">
        <f>VLOOKUP(B57,대학별점수!$B$3:$V$74,21,0)</f>
        <v>8.67</v>
      </c>
      <c r="U57" s="321" t="s">
        <v>481</v>
      </c>
      <c r="V57" s="6"/>
    </row>
    <row r="58" spans="1:22" ht="25.5" customHeight="1" thickBot="1">
      <c r="A58" s="174" t="s">
        <v>415</v>
      </c>
      <c r="B58" s="219" t="str">
        <f>대학별점수!B59</f>
        <v>중원대 스포츠경영학부</v>
      </c>
      <c r="C58" s="265">
        <f>'내신(남)'!B57</f>
        <v>200</v>
      </c>
      <c r="D58" s="266">
        <f>VLOOKUP(B58,대학별점수!$B$3:$C$74,2,FALSE)</f>
        <v>134</v>
      </c>
      <c r="E58" s="267">
        <f>VLOOKUP(B58,대학별점수!$B$3:$D$74,3,FALSE)</f>
        <v>104</v>
      </c>
      <c r="F58" s="264">
        <f t="shared" si="0"/>
        <v>66</v>
      </c>
      <c r="G58" s="272">
        <f>'실기환산(남)'!BC2</f>
        <v>800</v>
      </c>
      <c r="H58" s="269">
        <f t="shared" si="1"/>
        <v>1000</v>
      </c>
      <c r="I58" s="270">
        <f>VLOOKUP(B58,대학별점수!$B$3:$M$74,4,0)</f>
        <v>0</v>
      </c>
      <c r="J58" s="275">
        <f>VLOOKUP(B58,대학별점수!$B$3:$M$74,5,0)</f>
        <v>0</v>
      </c>
      <c r="K58" s="405" t="str">
        <f>VLOOKUP(B58,대학별점수!$B$3:$T$73,6,0)</f>
        <v>-</v>
      </c>
      <c r="L58" s="215">
        <f>VLOOKUP(B58,대학별점수!$B$3:$M$74,7,0)</f>
        <v>19</v>
      </c>
      <c r="M58" s="217">
        <f>VLOOKUP(B58,대학별점수!$B$3:$M$74,8,0)</f>
        <v>15</v>
      </c>
      <c r="N58" s="218">
        <f>VLOOKUP(B58,대학별점수!$B$3:$M$74,9,0)</f>
        <v>15</v>
      </c>
      <c r="O58" s="361">
        <f>VLOOKUP(B58,대학별점수!$B$3:$T$73,19,0)</f>
        <v>0</v>
      </c>
      <c r="P58" s="361" t="str">
        <f>VLOOKUP(B58,대학별점수!$B$3:$V$74,18,0)</f>
        <v>-</v>
      </c>
      <c r="Q58" s="169">
        <f>VLOOKUP(B58,대학별점수!$B$3:$V$74,17,0)</f>
        <v>19</v>
      </c>
      <c r="R58" s="137">
        <f>VLOOKUP(B58,대학별점수!$B$3:$V$74,16,0)</f>
        <v>79</v>
      </c>
      <c r="S58" s="137" t="str">
        <f>VLOOKUP(B58,대학별점수!$B$3:$V$74,20,0)</f>
        <v>1.79</v>
      </c>
      <c r="T58" s="137" t="str">
        <f>VLOOKUP(B58,대학별점수!$B$3:$V$74,21,0)</f>
        <v>3.6</v>
      </c>
      <c r="U58" s="322" t="s">
        <v>621</v>
      </c>
      <c r="V58" s="6"/>
    </row>
    <row r="59" spans="1:22" ht="25.5" customHeight="1" thickBot="1">
      <c r="A59" s="174" t="s">
        <v>415</v>
      </c>
      <c r="B59" s="219" t="str">
        <f>대학별점수!B60</f>
        <v>한국교통대 스포츠의학</v>
      </c>
      <c r="C59" s="265">
        <f>'내신(남)'!B58</f>
        <v>600</v>
      </c>
      <c r="D59" s="266">
        <f>VLOOKUP(B59,대학별점수!$B$3:$C$74,2,FALSE)</f>
        <v>561</v>
      </c>
      <c r="E59" s="267">
        <f>VLOOKUP(B59,대학별점수!$B$3:$D$74,3,FALSE)</f>
        <v>500</v>
      </c>
      <c r="F59" s="264">
        <f t="shared" si="0"/>
        <v>39</v>
      </c>
      <c r="G59" s="272">
        <f>'실기환산(남)'!BD2</f>
        <v>400</v>
      </c>
      <c r="H59" s="269">
        <f t="shared" si="1"/>
        <v>1000</v>
      </c>
      <c r="I59" s="270">
        <f>VLOOKUP(B59,대학별점수!$B$3:$M$74,4,0)</f>
        <v>931</v>
      </c>
      <c r="J59" s="275">
        <f>VLOOKUP(B59,대학별점수!$B$3:$M$74,5,0)</f>
        <v>900</v>
      </c>
      <c r="K59" s="405">
        <f>VLOOKUP(B59,대학별점수!$B$3:$T$73,6,0)</f>
        <v>13</v>
      </c>
      <c r="L59" s="215">
        <f>VLOOKUP(B59,대학별점수!$B$3:$M$74,7,0)</f>
        <v>13</v>
      </c>
      <c r="M59" s="217">
        <f>VLOOKUP(B59,대학별점수!$B$3:$M$74,8,0)</f>
        <v>13</v>
      </c>
      <c r="N59" s="218">
        <f>VLOOKUP(B59,대학별점수!$B$3:$M$74,9,0)</f>
        <v>27</v>
      </c>
      <c r="O59" s="361">
        <f>VLOOKUP(B59,대학별점수!$B$3:$T$73,19,0)</f>
        <v>10</v>
      </c>
      <c r="P59" s="361">
        <f>VLOOKUP(B59,대학별점수!$B$3:$V$74,18,0)</f>
        <v>10</v>
      </c>
      <c r="Q59" s="169">
        <f>VLOOKUP(B59,대학별점수!$B$3:$V$74,17,0)</f>
        <v>34</v>
      </c>
      <c r="R59" s="137">
        <f>VLOOKUP(B59,대학별점수!$B$3:$V$74,16,0)</f>
        <v>28</v>
      </c>
      <c r="S59" s="137" t="str">
        <f>VLOOKUP(B59,대학별점수!$B$3:$V$74,20,0)</f>
        <v>5.54</v>
      </c>
      <c r="T59" s="137" t="str">
        <f>VLOOKUP(B59,대학별점수!$B$3:$V$74,21,0)</f>
        <v>7.69</v>
      </c>
      <c r="U59" s="356" t="s">
        <v>834</v>
      </c>
      <c r="V59" s="6"/>
    </row>
    <row r="60" spans="1:22" s="5" customFormat="1" ht="25.5" customHeight="1" thickBot="1">
      <c r="A60" s="174" t="s">
        <v>415</v>
      </c>
      <c r="B60" s="219" t="str">
        <f>대학별점수!B61</f>
        <v>한국교통대 스포츠산업</v>
      </c>
      <c r="C60" s="265">
        <f>'내신(남)'!B59</f>
        <v>270</v>
      </c>
      <c r="D60" s="266">
        <f>VLOOKUP(B60,대학별점수!$B$3:$C$74,2,FALSE)</f>
        <v>232</v>
      </c>
      <c r="E60" s="267">
        <f>VLOOKUP(B60,대학별점수!$B$3:$D$74,3,FALSE)</f>
        <v>195</v>
      </c>
      <c r="F60" s="264">
        <f t="shared" si="0"/>
        <v>38</v>
      </c>
      <c r="G60" s="272">
        <f>'실기환산(남)'!BE2</f>
        <v>700</v>
      </c>
      <c r="H60" s="269">
        <f t="shared" si="1"/>
        <v>970</v>
      </c>
      <c r="I60" s="270">
        <f>VLOOKUP(B60,대학별점수!$B$3:$M$74,4,0)</f>
        <v>897</v>
      </c>
      <c r="J60" s="275">
        <f>VLOOKUP(B60,대학별점수!$B$3:$M$74,5,0)</f>
        <v>875</v>
      </c>
      <c r="K60" s="405">
        <f>VLOOKUP(B60,대학별점수!$B$3:$T$73,6,0)</f>
        <v>10</v>
      </c>
      <c r="L60" s="215">
        <f>VLOOKUP(B60,대학별점수!$B$3:$M$74,7,0)</f>
        <v>10</v>
      </c>
      <c r="M60" s="217">
        <f>VLOOKUP(B60,대학별점수!$B$3:$M$74,8,0)</f>
        <v>11</v>
      </c>
      <c r="N60" s="218" t="str">
        <f>VLOOKUP(B60,대학별점수!$B$3:$M$74,9,0)</f>
        <v>_</v>
      </c>
      <c r="O60" s="361">
        <f>VLOOKUP(B60,대학별점수!$B$3:$T$73,19,0)</f>
        <v>10</v>
      </c>
      <c r="P60" s="361">
        <f>VLOOKUP(B60,대학별점수!$B$3:$V$74,18,0)</f>
        <v>10</v>
      </c>
      <c r="Q60" s="169" t="str">
        <f>VLOOKUP(B60,대학별점수!$B$3:$V$74,17,0)</f>
        <v>_</v>
      </c>
      <c r="R60" s="137" t="str">
        <f>VLOOKUP(B60,대학별점수!$B$3:$V$74,16,0)</f>
        <v>_</v>
      </c>
      <c r="S60" s="137" t="str">
        <f>VLOOKUP(B60,대학별점수!$B$3:$V$74,20,0)</f>
        <v>9.60</v>
      </c>
      <c r="T60" s="137" t="str">
        <f>VLOOKUP(B60,대학별점수!$B$3:$V$74,21,0)</f>
        <v>4.91</v>
      </c>
      <c r="U60" s="356" t="s">
        <v>834</v>
      </c>
      <c r="V60" s="6"/>
    </row>
    <row r="61" spans="1:22" ht="25.5" customHeight="1" thickBot="1">
      <c r="A61" s="174" t="s">
        <v>420</v>
      </c>
      <c r="B61" s="219" t="str">
        <f>대학별점수!B68</f>
        <v>한남대 스포츠과학</v>
      </c>
      <c r="C61" s="265">
        <f>'내신(남)'!B66</f>
        <v>400</v>
      </c>
      <c r="D61" s="266">
        <f>VLOOKUP(B61,대학별점수!$B$3:$C$74,2,FALSE)</f>
        <v>352</v>
      </c>
      <c r="E61" s="267">
        <f>VLOOKUP(B61,대학별점수!$B$3:$D$74,3,FALSE)</f>
        <v>312</v>
      </c>
      <c r="F61" s="264">
        <f t="shared" si="0"/>
        <v>48</v>
      </c>
      <c r="G61" s="272">
        <f>'실기환산(남)'!BL2</f>
        <v>600</v>
      </c>
      <c r="H61" s="269">
        <f t="shared" si="1"/>
        <v>1000</v>
      </c>
      <c r="I61" s="270">
        <f>VLOOKUP(B61,대학별점수!$B$3:$M$74,4,0)</f>
        <v>940</v>
      </c>
      <c r="J61" s="275">
        <f>VLOOKUP(B61,대학별점수!$B$3:$M$74,5,0)</f>
        <v>912</v>
      </c>
      <c r="K61" s="405">
        <f>VLOOKUP(B61,대학별점수!$B$3:$T$73,6,0)</f>
        <v>30</v>
      </c>
      <c r="L61" s="215">
        <f>VLOOKUP(B61,대학별점수!$B$3:$M$74,7,0)</f>
        <v>30</v>
      </c>
      <c r="M61" s="217">
        <f>VLOOKUP(B61,대학별점수!$B$3:$M$74,8,0)</f>
        <v>30</v>
      </c>
      <c r="N61" s="218">
        <f>VLOOKUP(B61,대학별점수!$B$3:$M$74,9,0)</f>
        <v>30</v>
      </c>
      <c r="O61" s="361">
        <f>VLOOKUP(B61,대학별점수!$B$3:$T$73,19,0)</f>
        <v>31</v>
      </c>
      <c r="P61" s="361">
        <f>VLOOKUP(B61,대학별점수!$B$3:$V$74,18,0)</f>
        <v>55</v>
      </c>
      <c r="Q61" s="169">
        <f>VLOOKUP(B61,대학별점수!$B$3:$V$74,17,0)</f>
        <v>15</v>
      </c>
      <c r="R61" s="137">
        <f>VLOOKUP(B61,대학별점수!$B$3:$V$74,16,0)</f>
        <v>18</v>
      </c>
      <c r="S61" s="137" t="str">
        <f>VLOOKUP(B61,대학별점수!$B$3:$V$74,20,0)</f>
        <v>7.53</v>
      </c>
      <c r="T61" s="137" t="str">
        <f>VLOOKUP(B61,대학별점수!$B$3:$V$74,21,0)</f>
        <v>7.23</v>
      </c>
      <c r="U61" s="323" t="s">
        <v>481</v>
      </c>
      <c r="V61" s="6"/>
    </row>
    <row r="62" spans="1:22" ht="25.5" customHeight="1" thickBot="1">
      <c r="A62" s="174" t="s">
        <v>418</v>
      </c>
      <c r="B62" s="219" t="str">
        <f>대학별점수!B69</f>
        <v>한서대 경호비서</v>
      </c>
      <c r="C62" s="265">
        <f>'내신(남)'!B67</f>
        <v>200</v>
      </c>
      <c r="D62" s="266">
        <f>VLOOKUP(B62,대학별점수!$B$3:$C$74,2,FALSE)</f>
        <v>165</v>
      </c>
      <c r="E62" s="267">
        <f>VLOOKUP(B62,대학별점수!$B$3:$D$74,3,FALSE)</f>
        <v>100</v>
      </c>
      <c r="F62" s="264">
        <f t="shared" si="0"/>
        <v>35</v>
      </c>
      <c r="G62" s="272">
        <f>'실기환산(남)'!BN2</f>
        <v>500</v>
      </c>
      <c r="H62" s="269">
        <f t="shared" si="1"/>
        <v>700</v>
      </c>
      <c r="I62" s="270">
        <f>VLOOKUP(B62,대학별점수!$B$3:$M$74,4,0)</f>
        <v>580</v>
      </c>
      <c r="J62" s="275">
        <f>VLOOKUP(B62,대학별점수!$B$3:$M$74,5,0)</f>
        <v>490</v>
      </c>
      <c r="K62" s="405">
        <f>VLOOKUP(B62,대학별점수!$B$3:$T$73,6,0)</f>
        <v>25</v>
      </c>
      <c r="L62" s="215">
        <f>VLOOKUP(B62,대학별점수!$B$3:$M$74,7,0)</f>
        <v>25</v>
      </c>
      <c r="M62" s="217">
        <f>VLOOKUP(B62,대학별점수!$B$3:$M$74,8,0)</f>
        <v>20</v>
      </c>
      <c r="N62" s="218">
        <f>VLOOKUP(B62,대학별점수!$B$3:$M$74,9,0)</f>
        <v>20</v>
      </c>
      <c r="O62" s="361">
        <f>VLOOKUP(B62,대학별점수!$B$3:$T$73,19,0)</f>
        <v>15</v>
      </c>
      <c r="P62" s="361">
        <f>VLOOKUP(B62,대학별점수!$B$3:$V$74,18,0)</f>
        <v>26</v>
      </c>
      <c r="Q62" s="169">
        <f>VLOOKUP(B62,대학별점수!$B$3:$V$74,17,0)</f>
        <v>21</v>
      </c>
      <c r="R62" s="137">
        <f>VLOOKUP(B62,대학별점수!$B$3:$V$74,16,0)</f>
        <v>30</v>
      </c>
      <c r="S62" s="137" t="str">
        <f>VLOOKUP(B62,대학별점수!$B$3:$V$74,20,0)</f>
        <v>2.04</v>
      </c>
      <c r="T62" s="137" t="str">
        <f>VLOOKUP(B62,대학별점수!$B$3:$V$74,21,0)</f>
        <v>2.75</v>
      </c>
      <c r="U62" s="487" t="s">
        <v>547</v>
      </c>
      <c r="V62" s="6"/>
    </row>
    <row r="63" spans="1:22" ht="25.5" customHeight="1" thickBot="1">
      <c r="A63" s="174" t="s">
        <v>418</v>
      </c>
      <c r="B63" s="219" t="str">
        <f>대학별점수!B70</f>
        <v>한서대 레저해양스포츠</v>
      </c>
      <c r="C63" s="265">
        <f>'내신(남)'!B68</f>
        <v>200</v>
      </c>
      <c r="D63" s="266">
        <f>VLOOKUP(B63,대학별점수!$B$3:$C$74,2,FALSE)</f>
        <v>170</v>
      </c>
      <c r="E63" s="267">
        <f>VLOOKUP(B63,대학별점수!$B$3:$D$74,3,FALSE)</f>
        <v>100</v>
      </c>
      <c r="F63" s="264">
        <f t="shared" si="0"/>
        <v>30</v>
      </c>
      <c r="G63" s="272">
        <f>'실기환산(남)'!BM2</f>
        <v>800</v>
      </c>
      <c r="H63" s="269">
        <f t="shared" si="1"/>
        <v>1000</v>
      </c>
      <c r="I63" s="270">
        <f>VLOOKUP(B63,대학별점수!$B$3:$M$74,4,0)</f>
        <v>880</v>
      </c>
      <c r="J63" s="275">
        <f>VLOOKUP(B63,대학별점수!$B$3:$M$74,5,0)</f>
        <v>745</v>
      </c>
      <c r="K63" s="405">
        <f>VLOOKUP(B63,대학별점수!$B$3:$T$73,6,0)</f>
        <v>45</v>
      </c>
      <c r="L63" s="215">
        <f>VLOOKUP(B63,대학별점수!$B$3:$M$74,7,0)</f>
        <v>45</v>
      </c>
      <c r="M63" s="217">
        <f>VLOOKUP(B63,대학별점수!$B$3:$M$74,8,0)</f>
        <v>40</v>
      </c>
      <c r="N63" s="218">
        <f>VLOOKUP(B63,대학별점수!$B$3:$M$74,9,0)</f>
        <v>45</v>
      </c>
      <c r="O63" s="361">
        <f>VLOOKUP(B63,대학별점수!$B$3:$T$73,19,0)</f>
        <v>72</v>
      </c>
      <c r="P63" s="361">
        <f>VLOOKUP(B63,대학별점수!$B$3:$V$74,18,0)</f>
        <v>76</v>
      </c>
      <c r="Q63" s="169">
        <f>VLOOKUP(B63,대학별점수!$B$3:$V$74,17,0)</f>
        <v>53</v>
      </c>
      <c r="R63" s="137">
        <f>VLOOKUP(B63,대학별점수!$B$3:$V$74,16,0)</f>
        <v>72</v>
      </c>
      <c r="S63" s="137" t="str">
        <f>VLOOKUP(B63,대학별점수!$B$3:$V$74,20,0)</f>
        <v>2.78</v>
      </c>
      <c r="T63" s="137" t="str">
        <f>VLOOKUP(B63,대학별점수!$B$3:$V$74,21,0)</f>
        <v>2.98</v>
      </c>
      <c r="U63" s="322" t="s">
        <v>850</v>
      </c>
      <c r="V63" s="6"/>
    </row>
    <row r="64" spans="1:22" ht="25.5" customHeight="1" thickBot="1">
      <c r="A64" s="174" t="s">
        <v>425</v>
      </c>
      <c r="B64" s="219" t="str">
        <f>대학별점수!B71</f>
        <v>한신대 특수체육</v>
      </c>
      <c r="C64" s="265">
        <f>'내신(남)'!B69</f>
        <v>600</v>
      </c>
      <c r="D64" s="266">
        <f>VLOOKUP(B64,대학별점수!$B$3:$C$74,2,FALSE)</f>
        <v>583</v>
      </c>
      <c r="E64" s="267">
        <f>VLOOKUP(B64,대학별점수!$B$3:$D$74,3,FALSE)</f>
        <v>573</v>
      </c>
      <c r="F64" s="264">
        <f t="shared" si="0"/>
        <v>17</v>
      </c>
      <c r="G64" s="272">
        <f>'실기환산(남)'!BO2</f>
        <v>400</v>
      </c>
      <c r="H64" s="269">
        <f t="shared" si="1"/>
        <v>1000</v>
      </c>
      <c r="I64" s="270">
        <f>VLOOKUP(B64,대학별점수!$B$3:$M$74,4,0)</f>
        <v>980</v>
      </c>
      <c r="J64" s="275">
        <f>VLOOKUP(B64,대학별점수!$B$3:$M$74,5,0)</f>
        <v>973</v>
      </c>
      <c r="K64" s="405">
        <f>VLOOKUP(B64,대학별점수!$B$3:$T$73,6,0)</f>
        <v>22</v>
      </c>
      <c r="L64" s="215">
        <f>VLOOKUP(B64,대학별점수!$B$3:$M$74,7,0)</f>
        <v>22</v>
      </c>
      <c r="M64" s="217">
        <f>VLOOKUP(B64,대학별점수!$B$3:$M$74,8,0)</f>
        <v>22</v>
      </c>
      <c r="N64" s="218">
        <f>VLOOKUP(B64,대학별점수!$B$3:$M$74,9,0)</f>
        <v>22</v>
      </c>
      <c r="O64" s="361">
        <f>VLOOKUP(B64,대학별점수!$B$3:$T$73,19,0)</f>
        <v>27</v>
      </c>
      <c r="P64" s="361">
        <f>VLOOKUP(B64,대학별점수!$B$3:$V$74,18,0)</f>
        <v>17</v>
      </c>
      <c r="Q64" s="169">
        <f>VLOOKUP(B64,대학별점수!$B$3:$V$74,17,0)</f>
        <v>30</v>
      </c>
      <c r="R64" s="137">
        <f>VLOOKUP(B64,대학별점수!$B$3:$V$74,16,0)</f>
        <v>17</v>
      </c>
      <c r="S64" s="137" t="str">
        <f>VLOOKUP(B64,대학별점수!$B$3:$V$74,20,0)</f>
        <v>19.95</v>
      </c>
      <c r="T64" s="137" t="str">
        <f>VLOOKUP(B64,대학별점수!$B$3:$V$74,21,0)</f>
        <v>15.09</v>
      </c>
      <c r="U64" s="324" t="s">
        <v>851</v>
      </c>
      <c r="V64" s="6"/>
    </row>
    <row r="65" spans="1:22" ht="25.5" customHeight="1" thickBot="1">
      <c r="A65" s="174" t="s">
        <v>425</v>
      </c>
      <c r="B65" s="220" t="str">
        <f>대학별점수!B72</f>
        <v>한양대(에) 스포츠과학</v>
      </c>
      <c r="C65" s="265">
        <f>'내신(남)'!B70</f>
        <v>0</v>
      </c>
      <c r="D65" s="266">
        <f>VLOOKUP(B65,대학별점수!$B$3:$C$74,2,FALSE)</f>
        <v>0</v>
      </c>
      <c r="E65" s="267">
        <f>VLOOKUP(B65,대학별점수!$B$3:$D$74,3,FALSE)</f>
        <v>0</v>
      </c>
      <c r="F65" s="264">
        <f t="shared" si="0"/>
        <v>0</v>
      </c>
      <c r="G65" s="272">
        <f>'실기환산(남)'!BP2</f>
        <v>400</v>
      </c>
      <c r="H65" s="269">
        <f t="shared" si="1"/>
        <v>400</v>
      </c>
      <c r="I65" s="270">
        <f>VLOOKUP(B65,대학별점수!$B$3:$M$74,4,0)</f>
        <v>0</v>
      </c>
      <c r="J65" s="275">
        <f>VLOOKUP(B65,대학별점수!$B$3:$M$74,5,0)</f>
        <v>0</v>
      </c>
      <c r="K65" s="405" t="str">
        <f>VLOOKUP(B65,대학별점수!$B$3:$T$73,6,0)</f>
        <v>미선발</v>
      </c>
      <c r="L65" s="215">
        <f>VLOOKUP(B65,대학별점수!$B$3:$M$74,7,0)</f>
        <v>32</v>
      </c>
      <c r="M65" s="217">
        <f>VLOOKUP(B65,대학별점수!$B$3:$M$74,8,0)</f>
        <v>15</v>
      </c>
      <c r="N65" s="218">
        <f>VLOOKUP(B65,대학별점수!$B$3:$M$74,9,0)</f>
        <v>15</v>
      </c>
      <c r="O65" s="361">
        <f>VLOOKUP(B65,대학별점수!$B$3:$T$73,19,0)</f>
        <v>0</v>
      </c>
      <c r="P65" s="361">
        <f>VLOOKUP(B65,대학별점수!$B$3:$V$74,18,0)</f>
        <v>2</v>
      </c>
      <c r="Q65" s="169">
        <f>VLOOKUP(B65,대학별점수!$B$3:$V$74,17,0)</f>
        <v>1</v>
      </c>
      <c r="R65" s="137">
        <f>VLOOKUP(B65,대학별점수!$B$3:$V$74,16,0)</f>
        <v>0</v>
      </c>
      <c r="S65" s="137" t="str">
        <f>VLOOKUP(B65,대학별점수!$B$3:$V$74,20,0)</f>
        <v>146.07</v>
      </c>
      <c r="T65" s="137" t="str">
        <f>VLOOKUP(B65,대학별점수!$B$3:$V$74,21,0)</f>
        <v>115.73</v>
      </c>
      <c r="U65" s="325" t="s">
        <v>852</v>
      </c>
      <c r="V65" s="6"/>
    </row>
    <row r="66" spans="1:22" ht="25.5" customHeight="1" thickBot="1">
      <c r="A66" s="174" t="s">
        <v>418</v>
      </c>
      <c r="B66" s="219" t="str">
        <f>대학별점수!B73</f>
        <v>호서대 사회체육</v>
      </c>
      <c r="C66" s="265">
        <f>'내신(남)'!B71</f>
        <v>200</v>
      </c>
      <c r="D66" s="266">
        <f>VLOOKUP(B66,대학별점수!$B$3:$C$74,2,FALSE)</f>
        <v>156</v>
      </c>
      <c r="E66" s="267">
        <f>VLOOKUP(B66,대학별점수!$B$3:$D$74,3,FALSE)</f>
        <v>124</v>
      </c>
      <c r="F66" s="264">
        <f t="shared" si="0"/>
        <v>44</v>
      </c>
      <c r="G66" s="272">
        <f>'실기환산(남)'!BQ2</f>
        <v>800</v>
      </c>
      <c r="H66" s="269">
        <f t="shared" si="1"/>
        <v>1000</v>
      </c>
      <c r="I66" s="270">
        <f>VLOOKUP(B66,대학별점수!$B$3:$M$74,4,0)</f>
        <v>940</v>
      </c>
      <c r="J66" s="275">
        <f>VLOOKUP(B66,대학별점수!$B$3:$M$74,5,0)</f>
        <v>924</v>
      </c>
      <c r="K66" s="405">
        <f>VLOOKUP(B66,대학별점수!$B$3:$T$73,6,0)</f>
        <v>19</v>
      </c>
      <c r="L66" s="215">
        <f>VLOOKUP(B66,대학별점수!$B$3:$M$74,7,0)</f>
        <v>19</v>
      </c>
      <c r="M66" s="217">
        <f>VLOOKUP(B66,대학별점수!$B$3:$M$74,8,0)</f>
        <v>19</v>
      </c>
      <c r="N66" s="218">
        <f>VLOOKUP(B66,대학별점수!$B$3:$M$74,9,0)</f>
        <v>19</v>
      </c>
      <c r="O66" s="406">
        <f>VLOOKUP(B66,대학별점수!$B$3:$T$73,19,0)</f>
        <v>37</v>
      </c>
      <c r="P66" s="361">
        <f>VLOOKUP(B66,대학별점수!$B$3:$V$74,18,0)</f>
        <v>64</v>
      </c>
      <c r="Q66" s="169">
        <f>VLOOKUP(B66,대학별점수!$B$3:$V$74,17,0)</f>
        <v>27</v>
      </c>
      <c r="R66" s="137">
        <f>VLOOKUP(B66,대학별점수!$B$3:$V$74,16,0)</f>
        <v>30</v>
      </c>
      <c r="S66" s="137" t="str">
        <f>VLOOKUP(B66,대학별점수!$B$3:$V$74,20,0)</f>
        <v>24.53</v>
      </c>
      <c r="T66" s="137" t="str">
        <f>VLOOKUP(B66,대학별점수!$B$3:$V$74,21,0)</f>
        <v>15.09</v>
      </c>
      <c r="U66" s="488" t="s">
        <v>850</v>
      </c>
      <c r="V66" s="6"/>
    </row>
    <row r="67" spans="1:22" s="7" customFormat="1" ht="46.9" customHeight="1" thickBot="1">
      <c r="A67" s="170" t="s">
        <v>419</v>
      </c>
      <c r="B67" s="170" t="s">
        <v>477</v>
      </c>
      <c r="C67" s="170" t="s">
        <v>232</v>
      </c>
      <c r="D67" s="285" t="s">
        <v>372</v>
      </c>
      <c r="E67" s="285" t="s">
        <v>63</v>
      </c>
      <c r="F67" s="171" t="s">
        <v>360</v>
      </c>
      <c r="G67" s="170" t="s">
        <v>234</v>
      </c>
      <c r="H67" s="285"/>
      <c r="I67" s="285" t="s">
        <v>82</v>
      </c>
      <c r="J67" s="285" t="s">
        <v>79</v>
      </c>
      <c r="K67" s="172" t="s">
        <v>614</v>
      </c>
      <c r="L67" s="172" t="s">
        <v>47</v>
      </c>
      <c r="M67" s="177" t="s">
        <v>348</v>
      </c>
      <c r="N67" s="404" t="s">
        <v>64</v>
      </c>
      <c r="O67" s="289" t="s">
        <v>615</v>
      </c>
      <c r="P67" s="289" t="s">
        <v>50</v>
      </c>
      <c r="Q67" s="178" t="s">
        <v>104</v>
      </c>
      <c r="R67" s="289" t="s">
        <v>362</v>
      </c>
      <c r="S67" s="289" t="s">
        <v>691</v>
      </c>
      <c r="T67" s="289" t="s">
        <v>692</v>
      </c>
      <c r="U67" s="171" t="s">
        <v>309</v>
      </c>
      <c r="V67" s="8"/>
    </row>
    <row r="68" spans="1:22" s="14" customFormat="1" ht="25.5" customHeight="1" thickBot="1">
      <c r="A68" s="174" t="s">
        <v>416</v>
      </c>
      <c r="B68" s="220" t="str">
        <f>대학별점수!B62</f>
        <v>한국체대 노인체육복지</v>
      </c>
      <c r="C68" s="265">
        <f>'내신(남)'!B60</f>
        <v>800</v>
      </c>
      <c r="D68" s="266">
        <f>VLOOKUP(B68,대학별점수!$B$3:$C$74,2,FALSE)</f>
        <v>991.03</v>
      </c>
      <c r="E68" s="267">
        <f>VLOOKUP(B68,대학별점수!$B$3:$D$74,3,FALSE)</f>
        <v>989.5</v>
      </c>
      <c r="F68" s="264">
        <f t="shared" si="0"/>
        <v>-191.02999999999997</v>
      </c>
      <c r="G68" s="272">
        <f>'실기환산(남)'!BH2</f>
        <v>200</v>
      </c>
      <c r="H68" s="269"/>
      <c r="I68" s="276">
        <f>VLOOKUP(B68,대학별점수!$B$3:$M$73,4,0)</f>
        <v>173.68</v>
      </c>
      <c r="J68" s="277">
        <f>VLOOKUP(B68,대학별점수!$B$3:$M$73,5,0)</f>
        <v>157.88999999999999</v>
      </c>
      <c r="K68" s="405">
        <f>VLOOKUP(B68,대학별점수!$B$3:$T$73,6,0)</f>
        <v>7</v>
      </c>
      <c r="L68" s="215">
        <f>VLOOKUP(B68,대학별점수!$B$3:$M$73,7,0)</f>
        <v>7</v>
      </c>
      <c r="M68" s="217">
        <f>VLOOKUP(B68,대학별점수!$B$3:$M$73,8,0)</f>
        <v>7</v>
      </c>
      <c r="N68" s="218">
        <f>VLOOKUP(B68,대학별점수!$B$3:$M$73,9,0)</f>
        <v>7</v>
      </c>
      <c r="O68" s="361">
        <f>VLOOKUP(B68,대학별점수!$B$3:$V$73,19,0)</f>
        <v>0</v>
      </c>
      <c r="P68" s="169">
        <f>VLOOKUP(B68,대학별점수!$B$3:$V$73,18,0)</f>
        <v>0</v>
      </c>
      <c r="Q68" s="169" t="str">
        <f>VLOOKUP(B68,대학별점수!$B$3:$V$73,17,0)</f>
        <v>_</v>
      </c>
      <c r="R68" s="169" t="str">
        <f>VLOOKUP(B68,대학별점수!$B$3:$V$73,16,0)</f>
        <v>_</v>
      </c>
      <c r="S68" s="137" t="str">
        <f>VLOOKUP(B68,대학별점수!$B$3:$V$74,20,0)</f>
        <v>9.57</v>
      </c>
      <c r="T68" s="137" t="str">
        <f>VLOOKUP(B68,대학별점수!$B$3:$V$74,21,0)</f>
        <v>13.14</v>
      </c>
      <c r="U68" s="323" t="s">
        <v>481</v>
      </c>
    </row>
    <row r="69" spans="1:22" ht="25.5" customHeight="1" thickBot="1">
      <c r="A69" s="174" t="s">
        <v>416</v>
      </c>
      <c r="B69" s="220" t="str">
        <f>대학별점수!B63</f>
        <v>한국체대 스포츠산업</v>
      </c>
      <c r="C69" s="265">
        <f>'내신(남)'!B61</f>
        <v>1000</v>
      </c>
      <c r="D69" s="266">
        <f>VLOOKUP(B69,대학별점수!$B$3:$C$74,2,FALSE)</f>
        <v>991.2</v>
      </c>
      <c r="E69" s="267">
        <f>VLOOKUP(B69,대학별점수!$B$3:$D$74,3,FALSE)</f>
        <v>989.4</v>
      </c>
      <c r="F69" s="264">
        <f t="shared" si="0"/>
        <v>8.7999999999999545</v>
      </c>
      <c r="G69" s="272">
        <f>'실기환산(남)'!BI2</f>
        <v>300</v>
      </c>
      <c r="H69" s="269"/>
      <c r="I69" s="276">
        <f>VLOOKUP(B69,대학별점수!$B$3:$M$73,4,0)</f>
        <v>175.96</v>
      </c>
      <c r="J69" s="277">
        <f>VLOOKUP(B69,대학별점수!$B$3:$M$73,5,0)</f>
        <v>157.02000000000001</v>
      </c>
      <c r="K69" s="405">
        <f>VLOOKUP(B69,대학별점수!$B$3:$T$73,6,0)</f>
        <v>5</v>
      </c>
      <c r="L69" s="215">
        <f>VLOOKUP(B69,대학별점수!$B$3:$M$73,7,0)</f>
        <v>10</v>
      </c>
      <c r="M69" s="217">
        <f>VLOOKUP(B69,대학별점수!$B$3:$M$73,8,0)</f>
        <v>10</v>
      </c>
      <c r="N69" s="218">
        <f>VLOOKUP(B69,대학별점수!$B$3:$M$73,9,0)</f>
        <v>10</v>
      </c>
      <c r="O69" s="361">
        <f>VLOOKUP(B69,대학별점수!$B$3:$V$73,19,0)</f>
        <v>3</v>
      </c>
      <c r="P69" s="169">
        <f>VLOOKUP(B69,대학별점수!$B$3:$V$73,18,0)</f>
        <v>1</v>
      </c>
      <c r="Q69" s="169" t="str">
        <f>VLOOKUP(B69,대학별점수!$B$3:$V$73,17,0)</f>
        <v>_</v>
      </c>
      <c r="R69" s="169" t="str">
        <f>VLOOKUP(B69,대학별점수!$B$3:$V$73,16,0)</f>
        <v>_</v>
      </c>
      <c r="S69" s="137" t="str">
        <f>VLOOKUP(B69,대학별점수!$B$3:$V$74,20,0)</f>
        <v>19.60</v>
      </c>
      <c r="T69" s="137" t="str">
        <f>VLOOKUP(B69,대학별점수!$B$3:$V$74,21,0)</f>
        <v>21.0</v>
      </c>
      <c r="U69" s="323" t="s">
        <v>481</v>
      </c>
    </row>
    <row r="70" spans="1:22" ht="25.5" customHeight="1" thickBot="1">
      <c r="A70" s="174" t="s">
        <v>416</v>
      </c>
      <c r="B70" s="220" t="str">
        <f>대학별점수!B64</f>
        <v>한국체대 사회체육</v>
      </c>
      <c r="C70" s="265">
        <f>'내신(남)'!B62</f>
        <v>1000</v>
      </c>
      <c r="D70" s="266">
        <f>VLOOKUP(B70,대학별점수!$B$3:$C$74,2,FALSE)</f>
        <v>990.32</v>
      </c>
      <c r="E70" s="267">
        <f>VLOOKUP(B70,대학별점수!$B$3:$D$74,3,FALSE)</f>
        <v>988.85</v>
      </c>
      <c r="F70" s="264">
        <f t="shared" si="0"/>
        <v>9.67999999999995</v>
      </c>
      <c r="G70" s="272">
        <f>'실기환산(남)'!BK2</f>
        <v>400</v>
      </c>
      <c r="H70" s="269"/>
      <c r="I70" s="276">
        <f>VLOOKUP(B70,대학별점수!$B$3:$M$73,4,0)</f>
        <v>355.95</v>
      </c>
      <c r="J70" s="277">
        <f>VLOOKUP(B70,대학별점수!$B$3:$M$73,5,0)</f>
        <v>311.18</v>
      </c>
      <c r="K70" s="405">
        <f>VLOOKUP(B70,대학별점수!$B$3:$T$73,6,0)</f>
        <v>10</v>
      </c>
      <c r="L70" s="215">
        <f>VLOOKUP(B70,대학별점수!$B$3:$M$73,7,0)</f>
        <v>5</v>
      </c>
      <c r="M70" s="217">
        <f>VLOOKUP(B70,대학별점수!$B$3:$M$73,8,0)</f>
        <v>5</v>
      </c>
      <c r="N70" s="218">
        <f>VLOOKUP(B70,대학별점수!$B$3:$M$73,9,0)</f>
        <v>5</v>
      </c>
      <c r="O70" s="361">
        <f>VLOOKUP(B70,대학별점수!$B$3:$V$73,19,0)</f>
        <v>0</v>
      </c>
      <c r="P70" s="169">
        <f>VLOOKUP(B70,대학별점수!$B$3:$V$73,18,0)</f>
        <v>2</v>
      </c>
      <c r="Q70" s="169" t="str">
        <f>VLOOKUP(B70,대학별점수!$B$3:$V$73,17,0)</f>
        <v>_</v>
      </c>
      <c r="R70" s="169" t="str">
        <f>VLOOKUP(B70,대학별점수!$B$3:$V$73,16,0)</f>
        <v>_</v>
      </c>
      <c r="S70" s="137" t="str">
        <f>VLOOKUP(B70,대학별점수!$B$3:$V$74,20,0)</f>
        <v>13.20</v>
      </c>
      <c r="T70" s="137" t="str">
        <f>VLOOKUP(B70,대학별점수!$B$3:$V$74,21,0)</f>
        <v>11.6</v>
      </c>
      <c r="U70" s="323" t="s">
        <v>481</v>
      </c>
    </row>
    <row r="71" spans="1:22" ht="25.5" customHeight="1" thickBot="1">
      <c r="A71" s="174" t="s">
        <v>416</v>
      </c>
      <c r="B71" s="220" t="str">
        <f>대학별점수!B65</f>
        <v>한국체대 스포츠청소년지도</v>
      </c>
      <c r="C71" s="265">
        <f>'내신(남)'!B63</f>
        <v>999</v>
      </c>
      <c r="D71" s="266">
        <f>VLOOKUP(B71,대학별점수!$B$3:$C$74,2,FALSE)</f>
        <v>991.45</v>
      </c>
      <c r="E71" s="267">
        <f>VLOOKUP(B71,대학별점수!$B$3:$D$74,3,FALSE)</f>
        <v>990.15</v>
      </c>
      <c r="F71" s="264">
        <f t="shared" si="0"/>
        <v>7.5499999999999545</v>
      </c>
      <c r="G71" s="272">
        <f>'실기환산(남)'!BG2</f>
        <v>200</v>
      </c>
      <c r="H71" s="269"/>
      <c r="I71" s="276">
        <f>VLOOKUP(B71,대학별점수!$B$3:$M$73,4,0)</f>
        <v>169.86</v>
      </c>
      <c r="J71" s="277">
        <f>VLOOKUP(B71,대학별점수!$B$3:$M$73,5,0)</f>
        <v>145.62</v>
      </c>
      <c r="K71" s="405">
        <f>VLOOKUP(B71,대학별점수!$B$3:$T$73,6,0)</f>
        <v>11</v>
      </c>
      <c r="L71" s="215">
        <f>VLOOKUP(B71,대학별점수!$B$3:$M$73,7,0)</f>
        <v>11</v>
      </c>
      <c r="M71" s="217">
        <f>VLOOKUP(B71,대학별점수!$B$3:$M$73,8,0)</f>
        <v>11</v>
      </c>
      <c r="N71" s="218">
        <f>VLOOKUP(B71,대학별점수!$B$3:$M$73,9,0)</f>
        <v>11</v>
      </c>
      <c r="O71" s="361">
        <f>VLOOKUP(B71,대학별점수!$B$3:$V$73,19,0)</f>
        <v>5</v>
      </c>
      <c r="P71" s="169">
        <f>VLOOKUP(B71,대학별점수!$B$3:$V$73,18,0)</f>
        <v>0</v>
      </c>
      <c r="Q71" s="169" t="str">
        <f>VLOOKUP(B71,대학별점수!$B$3:$V$73,17,0)</f>
        <v>_</v>
      </c>
      <c r="R71" s="169" t="str">
        <f>VLOOKUP(B71,대학별점수!$B$3:$V$73,16,0)</f>
        <v>_</v>
      </c>
      <c r="S71" s="137" t="str">
        <f>VLOOKUP(B71,대학별점수!$B$3:$V$74,20,0)</f>
        <v>10.45</v>
      </c>
      <c r="T71" s="137" t="str">
        <f>VLOOKUP(B71,대학별점수!$B$3:$V$74,21,0)</f>
        <v>13.0</v>
      </c>
      <c r="U71" s="323" t="s">
        <v>481</v>
      </c>
    </row>
    <row r="72" spans="1:22" ht="25.5" customHeight="1" thickBot="1">
      <c r="A72" s="174" t="s">
        <v>416</v>
      </c>
      <c r="B72" s="220" t="str">
        <f>대학별점수!B66</f>
        <v>한국체대 운동건강</v>
      </c>
      <c r="C72" s="265">
        <f>'내신(남)'!B64</f>
        <v>990</v>
      </c>
      <c r="D72" s="266">
        <f>VLOOKUP(B72,대학별점수!$B$3:$C$74,2,FALSE)</f>
        <v>995.31</v>
      </c>
      <c r="E72" s="267">
        <f>VLOOKUP(B72,대학별점수!$B$3:$D$74,3,FALSE)</f>
        <v>992.85</v>
      </c>
      <c r="F72" s="264">
        <f t="shared" si="0"/>
        <v>-5.3099999999999454</v>
      </c>
      <c r="G72" s="272">
        <f>'실기환산(남)'!BF2</f>
        <v>300</v>
      </c>
      <c r="H72" s="269"/>
      <c r="I72" s="276">
        <f>VLOOKUP(B72,대학별점수!$B$3:$M$73,4,0)</f>
        <v>261.95</v>
      </c>
      <c r="J72" s="277">
        <f>VLOOKUP(B72,대학별점수!$B$3:$M$73,5,0)</f>
        <v>242.11</v>
      </c>
      <c r="K72" s="405">
        <f>VLOOKUP(B72,대학별점수!$B$3:$T$73,6,0)</f>
        <v>5</v>
      </c>
      <c r="L72" s="215">
        <f>VLOOKUP(B72,대학별점수!$B$3:$M$73,7,0)</f>
        <v>10</v>
      </c>
      <c r="M72" s="217">
        <f>VLOOKUP(B72,대학별점수!$B$3:$M$73,8,0)</f>
        <v>10</v>
      </c>
      <c r="N72" s="218">
        <f>VLOOKUP(B72,대학별점수!$B$3:$M$73,9,0)</f>
        <v>10</v>
      </c>
      <c r="O72" s="361">
        <f>VLOOKUP(B72,대학별점수!$B$3:$V$73,19,0)</f>
        <v>1</v>
      </c>
      <c r="P72" s="169">
        <f>VLOOKUP(B72,대학별점수!$B$3:$V$73,18,0)</f>
        <v>0</v>
      </c>
      <c r="Q72" s="169" t="str">
        <f>VLOOKUP(B72,대학별점수!$B$3:$V$73,17,0)</f>
        <v>_</v>
      </c>
      <c r="R72" s="169" t="str">
        <f>VLOOKUP(B72,대학별점수!$B$3:$V$73,16,0)</f>
        <v>_</v>
      </c>
      <c r="S72" s="137" t="str">
        <f>VLOOKUP(B72,대학별점수!$B$3:$V$74,20,0)</f>
        <v>7.70</v>
      </c>
      <c r="T72" s="137" t="str">
        <f>VLOOKUP(B72,대학별점수!$B$3:$V$74,21,0)</f>
        <v>10.5</v>
      </c>
      <c r="U72" s="323" t="s">
        <v>481</v>
      </c>
    </row>
    <row r="73" spans="1:22" ht="25.5" customHeight="1" thickBot="1">
      <c r="A73" s="174" t="s">
        <v>416</v>
      </c>
      <c r="B73" s="220" t="str">
        <f>대학별점수!B67</f>
        <v>한국체대 특수체육교육</v>
      </c>
      <c r="C73" s="265">
        <f>'내신(남)'!B65</f>
        <v>989</v>
      </c>
      <c r="D73" s="266">
        <f>VLOOKUP(B73,대학별점수!$B$3:$C$74,2,FALSE)</f>
        <v>994.61</v>
      </c>
      <c r="E73" s="267">
        <f>VLOOKUP(B73,대학별점수!$B$3:$D$74,3,FALSE)</f>
        <v>992.4</v>
      </c>
      <c r="F73" s="264">
        <f t="shared" si="0"/>
        <v>-5.6100000000000136</v>
      </c>
      <c r="G73" s="272">
        <f>'실기환산(남)'!BJ2</f>
        <v>300</v>
      </c>
      <c r="H73" s="269"/>
      <c r="I73" s="276">
        <f>VLOOKUP(B73,대학별점수!$B$3:$M$73,4,0)</f>
        <v>253.05</v>
      </c>
      <c r="J73" s="277">
        <f>VLOOKUP(B73,대학별점수!$B$3:$M$73,5,0)</f>
        <v>226.32</v>
      </c>
      <c r="K73" s="405">
        <f>VLOOKUP(B73,대학별점수!$B$3:$T$73,6,0)</f>
        <v>19</v>
      </c>
      <c r="L73" s="215">
        <f>VLOOKUP(B73,대학별점수!$B$3:$M$73,7,0)</f>
        <v>19</v>
      </c>
      <c r="M73" s="217">
        <f>VLOOKUP(B73,대학별점수!$B$3:$M$73,8,0)</f>
        <v>19</v>
      </c>
      <c r="N73" s="218">
        <f>VLOOKUP(B73,대학별점수!$B$3:$M$73,9,0)</f>
        <v>19</v>
      </c>
      <c r="O73" s="361">
        <f>VLOOKUP(B73,대학별점수!$B$3:$V$73,19,0)</f>
        <v>6</v>
      </c>
      <c r="P73" s="169">
        <f>VLOOKUP(B73,대학별점수!$B$3:$V$73,18,0)</f>
        <v>4</v>
      </c>
      <c r="Q73" s="169" t="str">
        <f>VLOOKUP(B73,대학별점수!$B$3:$V$73,17,0)</f>
        <v>_</v>
      </c>
      <c r="R73" s="169" t="str">
        <f>VLOOKUP(B73,대학별점수!$B$3:$V$73,16,0)</f>
        <v>_</v>
      </c>
      <c r="S73" s="137" t="str">
        <f>VLOOKUP(B73,대학별점수!$B$3:$V$74,20,0)</f>
        <v>5.21</v>
      </c>
      <c r="T73" s="137" t="str">
        <f>VLOOKUP(B73,대학별점수!$B$3:$V$74,21,0)</f>
        <v>5.63</v>
      </c>
      <c r="U73" s="165" t="s">
        <v>32</v>
      </c>
    </row>
    <row r="74" spans="1:22" ht="25.5" customHeight="1">
      <c r="E74" s="10"/>
      <c r="F74" s="10"/>
      <c r="G74" s="10"/>
      <c r="L74" s="216"/>
    </row>
    <row r="75" spans="1:22" ht="25.5" customHeight="1">
      <c r="L75" s="216"/>
    </row>
    <row r="76" spans="1:22" ht="25.5" customHeight="1">
      <c r="L76" s="216"/>
    </row>
    <row r="77" spans="1:22" ht="25.5" customHeight="1">
      <c r="L77" s="216"/>
    </row>
    <row r="78" spans="1:22" ht="25.5" customHeight="1">
      <c r="L78" s="216"/>
    </row>
    <row r="79" spans="1:22" ht="25.5" customHeight="1">
      <c r="L79" s="216"/>
    </row>
    <row r="80" spans="1:22" ht="25.5" customHeight="1">
      <c r="L80" s="216"/>
    </row>
    <row r="81" spans="12:12" ht="25.5" customHeight="1">
      <c r="L81" s="216"/>
    </row>
    <row r="82" spans="12:12" ht="25.5" customHeight="1">
      <c r="L82" s="216"/>
    </row>
    <row r="83" spans="12:12" ht="25.5" customHeight="1">
      <c r="L83" s="216"/>
    </row>
    <row r="84" spans="12:12" ht="25.5" customHeight="1">
      <c r="L84" s="216"/>
    </row>
    <row r="85" spans="12:12" ht="24" customHeight="1">
      <c r="L85" s="216"/>
    </row>
    <row r="86" spans="12:12" ht="24" customHeight="1">
      <c r="L86" s="216"/>
    </row>
    <row r="87" spans="12:12" ht="21.75" customHeight="1"/>
    <row r="88" spans="12:12" ht="24.75" customHeight="1"/>
  </sheetData>
  <autoFilter ref="A4:U66" xr:uid="{00000000-0009-0000-0000-000003000000}"/>
  <mergeCells count="2">
    <mergeCell ref="C2:D2"/>
    <mergeCell ref="E2:F2"/>
  </mergeCells>
  <phoneticPr fontId="81" type="noConversion"/>
  <pageMargins left="0.69972223043441772" right="0.69972223043441772" top="0.75" bottom="0.75" header="0.30000001192092896" footer="0.30000001192092896"/>
  <pageSetup paperSize="9" scale="2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개인별상담_여_">
    <tabColor rgb="FFF6DFAA"/>
    <pageSetUpPr fitToPage="1"/>
  </sheetPr>
  <dimension ref="A1:V77"/>
  <sheetViews>
    <sheetView view="pageBreakPreview" zoomScale="75" zoomScaleNormal="100" zoomScaleSheetLayoutView="75" workbookViewId="0">
      <pane ySplit="4" topLeftCell="A5" activePane="bottomLeft" state="frozen"/>
      <selection activeCell="S54" sqref="S54"/>
      <selection pane="bottomLeft" activeCell="I12" sqref="I12"/>
    </sheetView>
  </sheetViews>
  <sheetFormatPr defaultColWidth="8.75" defaultRowHeight="16.5"/>
  <cols>
    <col min="1" max="1" width="7.25" style="25" customWidth="1"/>
    <col min="2" max="2" width="27.25" style="25" customWidth="1"/>
    <col min="3" max="10" width="13" style="25" customWidth="1"/>
    <col min="11" max="11" width="13" style="292" customWidth="1"/>
    <col min="12" max="14" width="10.25" style="14" customWidth="1"/>
    <col min="15" max="15" width="10.25" style="292" customWidth="1"/>
    <col min="16" max="16" width="10.25" style="15" customWidth="1"/>
    <col min="17" max="17" width="10.25" style="24" customWidth="1"/>
    <col min="18" max="18" width="10.25" style="25" customWidth="1"/>
    <col min="19" max="20" width="10.25" style="292" customWidth="1"/>
    <col min="21" max="21" width="46.875" style="25" customWidth="1"/>
    <col min="22" max="22" width="8.875" style="25" bestFit="1" customWidth="1"/>
  </cols>
  <sheetData>
    <row r="1" spans="1:22">
      <c r="B1" s="13"/>
      <c r="C1" s="13"/>
      <c r="D1" s="13"/>
      <c r="E1" s="13"/>
      <c r="F1" s="20"/>
    </row>
    <row r="2" spans="1:22" ht="45.6" customHeight="1">
      <c r="B2" s="26"/>
      <c r="C2" s="520" t="s">
        <v>252</v>
      </c>
      <c r="D2" s="520"/>
      <c r="E2" s="524" t="str">
        <f>'학생상담(여)'!E2</f>
        <v>고춘자</v>
      </c>
      <c r="F2" s="523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22" ht="15" customHeight="1" thickTop="1" thickBot="1">
      <c r="B3" s="26"/>
      <c r="C3" s="26"/>
      <c r="D3" s="92"/>
      <c r="E3" s="92"/>
      <c r="F3" s="27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14"/>
      <c r="U3" s="14"/>
      <c r="V3" s="14"/>
    </row>
    <row r="4" spans="1:22" ht="45" customHeight="1" thickBot="1">
      <c r="A4" s="170" t="s">
        <v>419</v>
      </c>
      <c r="B4" s="170" t="s">
        <v>477</v>
      </c>
      <c r="C4" s="170" t="s">
        <v>440</v>
      </c>
      <c r="D4" s="171" t="s">
        <v>378</v>
      </c>
      <c r="E4" s="171" t="s">
        <v>195</v>
      </c>
      <c r="F4" s="289" t="s">
        <v>360</v>
      </c>
      <c r="G4" s="170" t="s">
        <v>234</v>
      </c>
      <c r="H4" s="170" t="s">
        <v>437</v>
      </c>
      <c r="I4" s="171" t="s">
        <v>322</v>
      </c>
      <c r="J4" s="172" t="s">
        <v>279</v>
      </c>
      <c r="K4" s="172" t="s">
        <v>614</v>
      </c>
      <c r="L4" s="172" t="s">
        <v>47</v>
      </c>
      <c r="M4" s="177" t="s">
        <v>348</v>
      </c>
      <c r="N4" s="404" t="s">
        <v>64</v>
      </c>
      <c r="O4" s="289" t="s">
        <v>615</v>
      </c>
      <c r="P4" s="178" t="s">
        <v>50</v>
      </c>
      <c r="Q4" s="171" t="s">
        <v>104</v>
      </c>
      <c r="R4" s="289" t="s">
        <v>362</v>
      </c>
      <c r="S4" s="289" t="s">
        <v>691</v>
      </c>
      <c r="T4" s="289" t="s">
        <v>692</v>
      </c>
      <c r="U4" s="170" t="s">
        <v>309</v>
      </c>
    </row>
    <row r="5" spans="1:22" ht="29.25" customHeight="1" thickBot="1">
      <c r="A5" s="173" t="s">
        <v>425</v>
      </c>
      <c r="B5" s="159" t="str">
        <f>대학별점수!B3</f>
        <v>가천대 체육</v>
      </c>
      <c r="C5" s="265">
        <f>'내신(여)'!B4</f>
        <v>300</v>
      </c>
      <c r="D5" s="266">
        <f>VLOOKUP(B5,대학별점수!$B$3:$C$74,2,FALSE)</f>
        <v>294</v>
      </c>
      <c r="E5" s="267">
        <f>VLOOKUP(B5,대학별점수!$B$3:$D$74,3,FALSE)</f>
        <v>273</v>
      </c>
      <c r="F5" s="263">
        <f t="shared" ref="F5:F59" si="0">C5-D5</f>
        <v>6</v>
      </c>
      <c r="G5" s="268">
        <f>'실기환산(여)'!C2</f>
        <v>700</v>
      </c>
      <c r="H5" s="269">
        <f>C5+G5</f>
        <v>1000</v>
      </c>
      <c r="I5" s="270">
        <f>VLOOKUP(B5,대학별점수!$B$3:$M$73,4,0)</f>
        <v>984</v>
      </c>
      <c r="J5" s="271">
        <f>VLOOKUP(B5,대학별점수!$B$3:$M$73,5,0)</f>
        <v>973</v>
      </c>
      <c r="K5" s="211">
        <f>VLOOKUP(B5,대학별점수!$B$3:$V$73,6,0)</f>
        <v>40</v>
      </c>
      <c r="L5" s="208">
        <f>VLOOKUP(B5,대학별점수!$B$3:$V$73,7,0)</f>
        <v>40</v>
      </c>
      <c r="M5" s="209">
        <f>VLOOKUP(B5,대학별점수!$B$3:$V$73,8,0)</f>
        <v>30</v>
      </c>
      <c r="N5" s="211">
        <f>VLOOKUP(B5,대학별점수!$B$3:$V$73,9,0)</f>
        <v>20</v>
      </c>
      <c r="O5" s="211">
        <f>VLOOKUP(B5,대학별점수!$B$3:$V$73,19,0)</f>
        <v>20</v>
      </c>
      <c r="P5" s="208">
        <f>VLOOKUP(B5,대학별점수!$B$3:$V$73,18,0)</f>
        <v>37</v>
      </c>
      <c r="Q5" s="209">
        <f>VLOOKUP(B5,대학별점수!$B$3:$V$73,17,0)</f>
        <v>3</v>
      </c>
      <c r="R5" s="211">
        <f>VLOOKUP(B5,대학별점수!$B$3:$V$73,16,0)</f>
        <v>3</v>
      </c>
      <c r="S5" s="211" t="str">
        <f>VLOOKUP(B5,대학별점수!$B$3:$V$73,20,0)</f>
        <v>49.18</v>
      </c>
      <c r="T5" s="211" t="str">
        <f>VLOOKUP(B5,대학별점수!$B$3:$V$73,21,0)</f>
        <v>66.7</v>
      </c>
      <c r="U5" s="209" t="str">
        <f>'상담(남)'!U5</f>
        <v>.</v>
      </c>
    </row>
    <row r="6" spans="1:22" ht="29.25" customHeight="1" thickBot="1">
      <c r="A6" s="174" t="s">
        <v>417</v>
      </c>
      <c r="B6" s="159" t="str">
        <f>대학별점수!B4</f>
        <v>가톨릭관동대 체육교육</v>
      </c>
      <c r="C6" s="265">
        <f>'내신(여)'!B5</f>
        <v>700</v>
      </c>
      <c r="D6" s="266">
        <f>VLOOKUP(B6,대학별점수!$B$3:$C$74,2,FALSE)</f>
        <v>661</v>
      </c>
      <c r="E6" s="267">
        <f>VLOOKUP(B6,대학별점수!$B$3:$D$74,3,FALSE)</f>
        <v>621</v>
      </c>
      <c r="F6" s="264">
        <f t="shared" si="0"/>
        <v>39</v>
      </c>
      <c r="G6" s="272">
        <f>'실기환산(여)'!D2</f>
        <v>300</v>
      </c>
      <c r="H6" s="269">
        <f t="shared" ref="H6:H69" si="1">C6+G6</f>
        <v>1000</v>
      </c>
      <c r="I6" s="270">
        <f>VLOOKUP(B6,대학별점수!$B$3:$M$73,4,0)</f>
        <v>945</v>
      </c>
      <c r="J6" s="271">
        <f>VLOOKUP(B6,대학별점수!$B$3:$M$73,5,0)</f>
        <v>921</v>
      </c>
      <c r="K6" s="211">
        <f>VLOOKUP(B6,대학별점수!$B$3:$V$73,6,0)</f>
        <v>20</v>
      </c>
      <c r="L6" s="208">
        <f>VLOOKUP(B6,대학별점수!$B$3:$V$73,7,0)</f>
        <v>20</v>
      </c>
      <c r="M6" s="209">
        <f>VLOOKUP(B6,대학별점수!$B$3:$V$73,8,0)</f>
        <v>20</v>
      </c>
      <c r="N6" s="211">
        <f>VLOOKUP(B6,대학별점수!$B$3:$V$73,9,0)</f>
        <v>20</v>
      </c>
      <c r="O6" s="211">
        <f>VLOOKUP(B6,대학별점수!$B$3:$V$73,19,0)</f>
        <v>20</v>
      </c>
      <c r="P6" s="208">
        <f>VLOOKUP(B6,대학별점수!$B$3:$V$73,18,0)</f>
        <v>27</v>
      </c>
      <c r="Q6" s="209">
        <f>VLOOKUP(B6,대학별점수!$B$3:$V$73,17,0)</f>
        <v>32</v>
      </c>
      <c r="R6" s="211">
        <f>VLOOKUP(B6,대학별점수!$B$3:$V$73,16,0)</f>
        <v>34</v>
      </c>
      <c r="S6" s="211" t="str">
        <f>VLOOKUP(B6,대학별점수!$B$3:$V$73,20,0)</f>
        <v>8.05</v>
      </c>
      <c r="T6" s="211" t="str">
        <f>VLOOKUP(B6,대학별점수!$B$3:$V$73,21,0)</f>
        <v>6.45</v>
      </c>
      <c r="U6" s="209" t="str">
        <f>'상담(남)'!U6</f>
        <v>내신8과목에서 12과목 반영</v>
      </c>
    </row>
    <row r="7" spans="1:22" ht="29.25" customHeight="1" thickBot="1">
      <c r="A7" s="174" t="s">
        <v>417</v>
      </c>
      <c r="B7" s="159" t="str">
        <f>대학별점수!B5</f>
        <v>가톨릭관동대 스포츠레저</v>
      </c>
      <c r="C7" s="265">
        <f>'내신(여)'!B6</f>
        <v>600</v>
      </c>
      <c r="D7" s="266">
        <f>VLOOKUP(B7,대학별점수!$B$3:$C$74,2,FALSE)</f>
        <v>485</v>
      </c>
      <c r="E7" s="267">
        <f>VLOOKUP(B7,대학별점수!$B$3:$D$74,3,FALSE)</f>
        <v>414</v>
      </c>
      <c r="F7" s="264">
        <f t="shared" si="0"/>
        <v>115</v>
      </c>
      <c r="G7" s="272">
        <f>'실기환산(여)'!E2</f>
        <v>400</v>
      </c>
      <c r="H7" s="269">
        <f t="shared" si="1"/>
        <v>1000</v>
      </c>
      <c r="I7" s="270">
        <f>VLOOKUP(B7,대학별점수!$B$3:$M$73,4,0)</f>
        <v>835</v>
      </c>
      <c r="J7" s="271">
        <f>VLOOKUP(B7,대학별점수!$B$3:$M$73,5,0)</f>
        <v>814</v>
      </c>
      <c r="K7" s="211">
        <f>VLOOKUP(B7,대학별점수!$B$3:$V$73,6,0)</f>
        <v>41</v>
      </c>
      <c r="L7" s="208">
        <f>VLOOKUP(B7,대학별점수!$B$3:$V$73,7,0)</f>
        <v>40</v>
      </c>
      <c r="M7" s="209">
        <f>VLOOKUP(B7,대학별점수!$B$3:$V$73,8,0)</f>
        <v>40</v>
      </c>
      <c r="N7" s="211">
        <f>VLOOKUP(B7,대학별점수!$B$3:$V$73,9,0)</f>
        <v>96</v>
      </c>
      <c r="O7" s="211">
        <f>VLOOKUP(B7,대학별점수!$B$3:$V$73,19,0)</f>
        <v>59</v>
      </c>
      <c r="P7" s="208">
        <f>VLOOKUP(B7,대학별점수!$B$3:$V$73,18,0)</f>
        <v>7</v>
      </c>
      <c r="Q7" s="209" t="str">
        <f>VLOOKUP(B7,대학별점수!$B$3:$V$73,17,0)</f>
        <v>_</v>
      </c>
      <c r="R7" s="211">
        <f>VLOOKUP(B7,대학별점수!$B$3:$V$73,16,0)</f>
        <v>64</v>
      </c>
      <c r="S7" s="211" t="str">
        <f>VLOOKUP(B7,대학별점수!$B$3:$V$73,20,0)</f>
        <v>2.68</v>
      </c>
      <c r="T7" s="211" t="str">
        <f>VLOOKUP(B7,대학별점수!$B$3:$V$73,21,0)</f>
        <v>1.3</v>
      </c>
      <c r="U7" s="209" t="str">
        <f>'상담(남)'!U7</f>
        <v>내신8과목에서 12과목 반영</v>
      </c>
    </row>
    <row r="8" spans="1:22" ht="29.25" customHeight="1" thickBot="1">
      <c r="A8" s="174" t="s">
        <v>417</v>
      </c>
      <c r="B8" s="159" t="str">
        <f>대학별점수!B6</f>
        <v>가톨릭관동대  스포츠재활의학</v>
      </c>
      <c r="C8" s="265">
        <f>'내신(여)'!B7</f>
        <v>600</v>
      </c>
      <c r="D8" s="266">
        <f>VLOOKUP(B8,대학별점수!$B$3:$C$74,2,FALSE)</f>
        <v>500</v>
      </c>
      <c r="E8" s="267">
        <f>VLOOKUP(B8,대학별점수!$B$3:$D$74,3,FALSE)</f>
        <v>455</v>
      </c>
      <c r="F8" s="264">
        <f t="shared" si="0"/>
        <v>100</v>
      </c>
      <c r="G8" s="272">
        <f>'실기환산(여)'!F2</f>
        <v>400</v>
      </c>
      <c r="H8" s="269">
        <f t="shared" si="1"/>
        <v>1000</v>
      </c>
      <c r="I8" s="270">
        <f>VLOOKUP(B8,대학별점수!$B$3:$M$73,4,0)</f>
        <v>878</v>
      </c>
      <c r="J8" s="271">
        <f>VLOOKUP(B8,대학별점수!$B$3:$M$73,5,0)</f>
        <v>855</v>
      </c>
      <c r="K8" s="211">
        <f>VLOOKUP(B8,대학별점수!$B$3:$V$73,6,0)</f>
        <v>40</v>
      </c>
      <c r="L8" s="208">
        <f>VLOOKUP(B8,대학별점수!$B$3:$V$73,7,0)</f>
        <v>40</v>
      </c>
      <c r="M8" s="209">
        <f>VLOOKUP(B8,대학별점수!$B$3:$V$73,8,0)</f>
        <v>31</v>
      </c>
      <c r="N8" s="211">
        <f>VLOOKUP(B8,대학별점수!$B$3:$V$73,9,0)</f>
        <v>0</v>
      </c>
      <c r="O8" s="211">
        <f>VLOOKUP(B8,대학별점수!$B$3:$V$73,19,0)</f>
        <v>46</v>
      </c>
      <c r="P8" s="208">
        <f>VLOOKUP(B8,대학별점수!$B$3:$V$73,18,0)</f>
        <v>49</v>
      </c>
      <c r="Q8" s="209" t="str">
        <f>VLOOKUP(B8,대학별점수!$B$3:$V$73,17,0)</f>
        <v>_</v>
      </c>
      <c r="R8" s="211">
        <f>VLOOKUP(B8,대학별점수!$B$3:$V$73,16,0)</f>
        <v>57</v>
      </c>
      <c r="S8" s="211" t="str">
        <f>VLOOKUP(B8,대학별점수!$B$3:$V$73,20,0)</f>
        <v>5.28</v>
      </c>
      <c r="T8" s="211" t="str">
        <f>VLOOKUP(B8,대학별점수!$B$3:$V$73,21,0)</f>
        <v>3.6</v>
      </c>
      <c r="U8" s="209" t="str">
        <f>'상담(남)'!U8</f>
        <v>실기만점기준 상향 조정</v>
      </c>
    </row>
    <row r="9" spans="1:22" ht="29.25" customHeight="1" thickBot="1">
      <c r="A9" s="174" t="s">
        <v>425</v>
      </c>
      <c r="B9" s="159" t="str">
        <f>대학별점수!B7</f>
        <v>강남대 체육</v>
      </c>
      <c r="C9" s="265">
        <f>'내신(여)'!B8</f>
        <v>300</v>
      </c>
      <c r="D9" s="266">
        <f>VLOOKUP(B9,대학별점수!$B$3:$C$74,2,FALSE)</f>
        <v>291</v>
      </c>
      <c r="E9" s="267">
        <f>VLOOKUP(B9,대학별점수!$B$3:$D$74,3,FALSE)</f>
        <v>271</v>
      </c>
      <c r="F9" s="264">
        <f t="shared" si="0"/>
        <v>9</v>
      </c>
      <c r="G9" s="273">
        <f>'실기환산(여)'!G2</f>
        <v>688</v>
      </c>
      <c r="H9" s="269">
        <f t="shared" si="1"/>
        <v>988</v>
      </c>
      <c r="I9" s="270">
        <f>VLOOKUP(B9,대학별점수!$B$3:$M$73,4,0)</f>
        <v>979</v>
      </c>
      <c r="J9" s="271">
        <f>VLOOKUP(B9,대학별점수!$B$3:$M$73,5,0)</f>
        <v>971</v>
      </c>
      <c r="K9" s="211">
        <f>VLOOKUP(B9,대학별점수!$B$3:$V$73,6,0)</f>
        <v>29</v>
      </c>
      <c r="L9" s="208">
        <f>VLOOKUP(B9,대학별점수!$B$3:$V$73,7,0)</f>
        <v>29</v>
      </c>
      <c r="M9" s="209">
        <f>VLOOKUP(B9,대학별점수!$B$3:$V$73,8,0)</f>
        <v>29</v>
      </c>
      <c r="N9" s="211">
        <f>VLOOKUP(B9,대학별점수!$B$3:$V$73,9,0)</f>
        <v>29</v>
      </c>
      <c r="O9" s="211">
        <f>VLOOKUP(B9,대학별점수!$B$3:$V$73,19,0)</f>
        <v>36</v>
      </c>
      <c r="P9" s="208">
        <f>VLOOKUP(B9,대학별점수!$B$3:$V$73,18,0)</f>
        <v>38</v>
      </c>
      <c r="Q9" s="209">
        <f>VLOOKUP(B9,대학별점수!$B$3:$V$73,17,0)</f>
        <v>38</v>
      </c>
      <c r="R9" s="211">
        <f>VLOOKUP(B9,대학별점수!$B$3:$V$73,16,0)</f>
        <v>19</v>
      </c>
      <c r="S9" s="211" t="str">
        <f>VLOOKUP(B9,대학별점수!$B$3:$V$73,20,0)</f>
        <v>23.62</v>
      </c>
      <c r="T9" s="211" t="str">
        <f>VLOOKUP(B9,대학별점수!$B$3:$V$73,21,0)</f>
        <v>16.79</v>
      </c>
      <c r="U9" s="209" t="str">
        <f>'상담(남)'!U9</f>
        <v>내신반영변경,실기급간점수 변경</v>
      </c>
    </row>
    <row r="10" spans="1:22" ht="29.25" customHeight="1" thickBot="1">
      <c r="A10" s="174" t="s">
        <v>415</v>
      </c>
      <c r="B10" s="159" t="str">
        <f>대학별점수!B8</f>
        <v>건국대(글) 스포츠건강</v>
      </c>
      <c r="C10" s="265">
        <f>'내신(여)'!B9</f>
        <v>200</v>
      </c>
      <c r="D10" s="266">
        <f>VLOOKUP(B10,대학별점수!$B$3:$C$74,2,FALSE)</f>
        <v>165</v>
      </c>
      <c r="E10" s="267">
        <f>VLOOKUP(B10,대학별점수!$B$3:$D$74,3,FALSE)</f>
        <v>121</v>
      </c>
      <c r="F10" s="264">
        <f t="shared" si="0"/>
        <v>35</v>
      </c>
      <c r="G10" s="272">
        <f>'실기환산(여)'!H2</f>
        <v>720</v>
      </c>
      <c r="H10" s="269">
        <f t="shared" si="1"/>
        <v>920</v>
      </c>
      <c r="I10" s="270">
        <f>VLOOKUP(B10,대학별점수!$B$3:$M$73,4,0)</f>
        <v>951</v>
      </c>
      <c r="J10" s="271">
        <f>VLOOKUP(B10,대학별점수!$B$3:$M$73,5,0)</f>
        <v>921</v>
      </c>
      <c r="K10" s="211">
        <f>VLOOKUP(B10,대학별점수!$B$3:$V$73,6,0)</f>
        <v>20</v>
      </c>
      <c r="L10" s="208">
        <f>VLOOKUP(B10,대학별점수!$B$3:$V$73,7,0)</f>
        <v>20</v>
      </c>
      <c r="M10" s="209">
        <f>VLOOKUP(B10,대학별점수!$B$3:$V$73,8,0)</f>
        <v>22</v>
      </c>
      <c r="N10" s="211">
        <f>VLOOKUP(B10,대학별점수!$B$3:$V$73,9,0)</f>
        <v>18</v>
      </c>
      <c r="O10" s="211">
        <f>VLOOKUP(B10,대학별점수!$B$3:$V$73,19,0)</f>
        <v>15</v>
      </c>
      <c r="P10" s="208">
        <f>VLOOKUP(B10,대학별점수!$B$3:$V$73,18,0)</f>
        <v>15</v>
      </c>
      <c r="Q10" s="209">
        <f>VLOOKUP(B10,대학별점수!$B$3:$V$73,17,0)</f>
        <v>9</v>
      </c>
      <c r="R10" s="211">
        <f>VLOOKUP(B10,대학별점수!$B$3:$V$73,16,0)</f>
        <v>8</v>
      </c>
      <c r="S10" s="211" t="str">
        <f>VLOOKUP(B10,대학별점수!$B$3:$V$73,20,0)</f>
        <v>28.35</v>
      </c>
      <c r="T10" s="211" t="str">
        <f>VLOOKUP(B10,대학별점수!$B$3:$V$73,21,0)</f>
        <v>17.09</v>
      </c>
      <c r="U10" s="209" t="str">
        <f>'상담(남)'!U10</f>
        <v>여자제멀, 남녀 농구 만점상향 조정</v>
      </c>
    </row>
    <row r="11" spans="1:22" s="6" customFormat="1" ht="29.25" customHeight="1" thickBot="1">
      <c r="A11" s="174" t="s">
        <v>425</v>
      </c>
      <c r="B11" s="159" t="str">
        <f>대학별점수!B9</f>
        <v>경기대 스포츠과학</v>
      </c>
      <c r="C11" s="265">
        <f>'내신(여)'!B10</f>
        <v>39.799999999999997</v>
      </c>
      <c r="D11" s="266">
        <f>VLOOKUP(B11,대학별점수!$B$3:$C$74,2,FALSE)</f>
        <v>29.49</v>
      </c>
      <c r="E11" s="267">
        <f>VLOOKUP(B11,대학별점수!$B$3:$D$74,3,FALSE)</f>
        <v>29.17</v>
      </c>
      <c r="F11" s="264">
        <f t="shared" si="0"/>
        <v>10.309999999999999</v>
      </c>
      <c r="G11" s="272">
        <f>'실기환산(여)'!I2</f>
        <v>70</v>
      </c>
      <c r="H11" s="269">
        <f t="shared" si="1"/>
        <v>109.8</v>
      </c>
      <c r="I11" s="270">
        <f>VLOOKUP(B11,대학별점수!$B$3:$M$73,4,0)</f>
        <v>99.3</v>
      </c>
      <c r="J11" s="271">
        <f>VLOOKUP(B11,대학별점수!$B$3:$M$73,5,0)</f>
        <v>99.17</v>
      </c>
      <c r="K11" s="211">
        <f>VLOOKUP(B11,대학별점수!$B$3:$V$73,6,0)</f>
        <v>19</v>
      </c>
      <c r="L11" s="208">
        <f>VLOOKUP(B11,대학별점수!$B$3:$V$73,7,0)</f>
        <v>10</v>
      </c>
      <c r="M11" s="209">
        <f>VLOOKUP(B11,대학별점수!$B$3:$V$73,8,0)</f>
        <v>10</v>
      </c>
      <c r="N11" s="211">
        <f>VLOOKUP(B11,대학별점수!$B$3:$V$73,9,0)</f>
        <v>10</v>
      </c>
      <c r="O11" s="211">
        <f>VLOOKUP(B11,대학별점수!$B$3:$V$73,19,0)</f>
        <v>13</v>
      </c>
      <c r="P11" s="208">
        <f>VLOOKUP(B11,대학별점수!$B$3:$V$73,18,0)</f>
        <v>4</v>
      </c>
      <c r="Q11" s="209">
        <f>VLOOKUP(B11,대학별점수!$B$3:$V$73,17,0)</f>
        <v>15</v>
      </c>
      <c r="R11" s="211" t="str">
        <f>VLOOKUP(B11,대학별점수!$B$3:$V$73,16,0)</f>
        <v>23신설</v>
      </c>
      <c r="S11" s="211" t="str">
        <f>VLOOKUP(B11,대학별점수!$B$3:$V$73,20,0)</f>
        <v>62.00</v>
      </c>
      <c r="T11" s="211" t="str">
        <f>VLOOKUP(B11,대학별점수!$B$3:$V$73,21,0)</f>
        <v>20.1</v>
      </c>
      <c r="U11" s="209" t="str">
        <f>'상담(남)'!U11</f>
        <v>만점기준 강화 실기반영(10%) 증가</v>
      </c>
    </row>
    <row r="12" spans="1:22" s="6" customFormat="1" ht="29.25" customHeight="1" thickBot="1">
      <c r="A12" s="399" t="s">
        <v>425</v>
      </c>
      <c r="B12" s="355" t="str">
        <f>대학별점수!B10</f>
        <v>경기대 체육</v>
      </c>
      <c r="C12" s="333">
        <f>'내신(여)'!B11</f>
        <v>36.549999999999997</v>
      </c>
      <c r="D12" s="334">
        <f>VLOOKUP(B12,대학별점수!$B$3:$C$74,2,FALSE)</f>
        <v>0</v>
      </c>
      <c r="E12" s="335">
        <f>VLOOKUP(B12,대학별점수!$B$3:$D$74,3,FALSE)</f>
        <v>0</v>
      </c>
      <c r="F12" s="336">
        <f t="shared" si="0"/>
        <v>36.549999999999997</v>
      </c>
      <c r="G12" s="337">
        <f>'실기환산(여)'!J2</f>
        <v>60</v>
      </c>
      <c r="H12" s="338">
        <f t="shared" si="1"/>
        <v>96.55</v>
      </c>
      <c r="I12" s="339">
        <f>VLOOKUP(B12,대학별점수!$B$3:$M$73,4,0)</f>
        <v>0</v>
      </c>
      <c r="J12" s="340">
        <f>VLOOKUP(B12,대학별점수!$B$3:$M$73,5,0)</f>
        <v>0</v>
      </c>
      <c r="K12" s="211" t="str">
        <f>VLOOKUP(B12,대학별점수!$B$3:$V$73,6,0)</f>
        <v>미선발</v>
      </c>
      <c r="L12" s="208">
        <f>VLOOKUP(B12,대학별점수!$B$3:$V$73,7,0)</f>
        <v>0</v>
      </c>
      <c r="M12" s="209">
        <f>VLOOKUP(B12,대학별점수!$B$3:$V$73,8,0)</f>
        <v>5</v>
      </c>
      <c r="N12" s="211">
        <f>VLOOKUP(B12,대학별점수!$B$3:$V$73,9,0)</f>
        <v>5</v>
      </c>
      <c r="O12" s="211" t="str">
        <f>VLOOKUP(B12,대학별점수!$B$3:$V$73,19,0)</f>
        <v>미선발</v>
      </c>
      <c r="P12" s="208">
        <f>VLOOKUP(B12,대학별점수!$B$3:$V$73,18,0)</f>
        <v>3</v>
      </c>
      <c r="Q12" s="209">
        <f>VLOOKUP(B12,대학별점수!$B$3:$V$73,17,0)</f>
        <v>3</v>
      </c>
      <c r="R12" s="211" t="str">
        <f>VLOOKUP(B12,대학별점수!$B$3:$V$73,16,0)</f>
        <v>23신설</v>
      </c>
      <c r="S12" s="211">
        <f>VLOOKUP(B12,대학별점수!$B$3:$V$73,20,0)</f>
        <v>0</v>
      </c>
      <c r="T12" s="211" t="str">
        <f>VLOOKUP(B12,대학별점수!$B$3:$V$73,21,0)</f>
        <v>9.0</v>
      </c>
      <c r="U12" s="209" t="str">
        <f>'상담(남)'!U12</f>
        <v>수시 폐지 2027 모집정원 전원 수시선발</v>
      </c>
    </row>
    <row r="13" spans="1:22" ht="29.25" customHeight="1" thickBot="1">
      <c r="A13" s="174" t="s">
        <v>415</v>
      </c>
      <c r="B13" s="159" t="str">
        <f>대학별점수!B11</f>
        <v>극동대 스포츠재활</v>
      </c>
      <c r="C13" s="265">
        <f>'내신(여)'!B12</f>
        <v>200</v>
      </c>
      <c r="D13" s="266">
        <f>VLOOKUP(B13,대학별점수!$B$3:$C$74,2,FALSE)</f>
        <v>160</v>
      </c>
      <c r="E13" s="267">
        <f>VLOOKUP(B13,대학별점수!$B$3:$D$74,3,FALSE)</f>
        <v>116</v>
      </c>
      <c r="F13" s="264">
        <f t="shared" si="0"/>
        <v>40</v>
      </c>
      <c r="G13" s="272">
        <f>'실기환산(여)'!K2</f>
        <v>800</v>
      </c>
      <c r="H13" s="269">
        <f t="shared" si="1"/>
        <v>1000</v>
      </c>
      <c r="I13" s="270">
        <f>VLOOKUP(B13,대학별점수!$B$3:$M$73,4,0)</f>
        <v>920</v>
      </c>
      <c r="J13" s="271">
        <f>VLOOKUP(B13,대학별점수!$B$3:$M$73,5,0)</f>
        <v>889.33</v>
      </c>
      <c r="K13" s="211">
        <f>VLOOKUP(B13,대학별점수!$B$3:$V$73,6,0)</f>
        <v>29</v>
      </c>
      <c r="L13" s="208">
        <f>VLOOKUP(B13,대학별점수!$B$3:$V$73,7,0)</f>
        <v>16</v>
      </c>
      <c r="M13" s="209">
        <f>VLOOKUP(B13,대학별점수!$B$3:$V$73,8,0)</f>
        <v>26</v>
      </c>
      <c r="N13" s="211">
        <f>VLOOKUP(B13,대학별점수!$B$3:$V$73,9,0)</f>
        <v>30</v>
      </c>
      <c r="O13" s="211">
        <f>VLOOKUP(B13,대학별점수!$B$3:$V$73,19,0)</f>
        <v>1</v>
      </c>
      <c r="P13" s="208" t="str">
        <f>VLOOKUP(B13,대학별점수!$B$3:$V$73,18,0)</f>
        <v>미달</v>
      </c>
      <c r="Q13" s="209" t="str">
        <f>VLOOKUP(B13,대학별점수!$B$3:$V$73,17,0)</f>
        <v>_</v>
      </c>
      <c r="R13" s="211">
        <f>VLOOKUP(B13,대학별점수!$B$3:$V$73,16,0)</f>
        <v>12</v>
      </c>
      <c r="S13" s="211" t="str">
        <f>VLOOKUP(B13,대학별점수!$B$3:$V$73,20,0)</f>
        <v>2.44</v>
      </c>
      <c r="T13" s="211" t="str">
        <f>VLOOKUP(B13,대학별점수!$B$3:$V$73,21,0)</f>
        <v>0.92</v>
      </c>
      <c r="U13" s="209" t="str">
        <f>'상담(남)'!U13</f>
        <v>실기 4종목 중 3종목 반영/ 경쟁률에 따른 컷라인 예측 불가</v>
      </c>
    </row>
    <row r="14" spans="1:22" ht="29.25" customHeight="1" thickBot="1">
      <c r="A14" s="174" t="s">
        <v>418</v>
      </c>
      <c r="B14" s="159" t="str">
        <f>대학별점수!B12</f>
        <v>나사렛대 재활스포츠</v>
      </c>
      <c r="C14" s="265">
        <f>'내신(여)'!B13</f>
        <v>100</v>
      </c>
      <c r="D14" s="266">
        <f>VLOOKUP(B14,대학별점수!$B$3:$C$74,2,FALSE)</f>
        <v>85</v>
      </c>
      <c r="E14" s="267">
        <f>VLOOKUP(B14,대학별점수!$B$3:$D$74,3,FALSE)</f>
        <v>72</v>
      </c>
      <c r="F14" s="264">
        <f t="shared" si="0"/>
        <v>15</v>
      </c>
      <c r="G14" s="272">
        <f>'실기환산(여)'!L2</f>
        <v>900</v>
      </c>
      <c r="H14" s="269">
        <f t="shared" si="1"/>
        <v>1000</v>
      </c>
      <c r="I14" s="270">
        <f>VLOOKUP(B14,대학별점수!$B$3:$M$73,4,0)</f>
        <v>965</v>
      </c>
      <c r="J14" s="271">
        <f>VLOOKUP(B14,대학별점수!$B$3:$M$73,5,0)</f>
        <v>923</v>
      </c>
      <c r="K14" s="211">
        <f>VLOOKUP(B14,대학별점수!$B$3:$V$73,6,0)</f>
        <v>55</v>
      </c>
      <c r="L14" s="208">
        <f>VLOOKUP(B14,대학별점수!$B$3:$V$73,7,0)</f>
        <v>30</v>
      </c>
      <c r="M14" s="209">
        <f>VLOOKUP(B14,대학별점수!$B$3:$V$73,8,0)</f>
        <v>30</v>
      </c>
      <c r="N14" s="211">
        <f>VLOOKUP(B14,대학별점수!$B$3:$V$73,9,0)</f>
        <v>30</v>
      </c>
      <c r="O14" s="211">
        <f>VLOOKUP(B14,대학별점수!$B$3:$V$73,19,0)</f>
        <v>39</v>
      </c>
      <c r="P14" s="208">
        <f>VLOOKUP(B14,대학별점수!$B$3:$V$73,18,0)</f>
        <v>48</v>
      </c>
      <c r="Q14" s="209">
        <f>VLOOKUP(B14,대학별점수!$B$3:$V$73,17,0)</f>
        <v>26</v>
      </c>
      <c r="R14" s="211">
        <f>VLOOKUP(B14,대학별점수!$B$3:$V$73,16,0)</f>
        <v>17</v>
      </c>
      <c r="S14" s="211" t="str">
        <f>VLOOKUP(B14,대학별점수!$B$3:$V$73,20,0)</f>
        <v>13.20</v>
      </c>
      <c r="T14" s="211" t="str">
        <f>VLOOKUP(B14,대학별점수!$B$3:$V$73,21,0)</f>
        <v>12.67</v>
      </c>
      <c r="U14" s="209" t="str">
        <f>'상담(남)'!U14</f>
        <v>모집정원 대폭증가 컷라인 내려가라~</v>
      </c>
    </row>
    <row r="15" spans="1:22" ht="29.25" customHeight="1" thickBot="1">
      <c r="A15" s="174" t="s">
        <v>418</v>
      </c>
      <c r="B15" s="159" t="str">
        <f>대학별점수!B13</f>
        <v>남서울대 스포츠건강관리</v>
      </c>
      <c r="C15" s="265">
        <f>'내신(여)'!B14</f>
        <v>300</v>
      </c>
      <c r="D15" s="266">
        <f>VLOOKUP(B15,대학별점수!$B$3:$C$74,2,FALSE)</f>
        <v>210</v>
      </c>
      <c r="E15" s="267">
        <f>VLOOKUP(B15,대학별점수!$B$3:$D$74,3,FALSE)</f>
        <v>154</v>
      </c>
      <c r="F15" s="264">
        <f t="shared" si="0"/>
        <v>90</v>
      </c>
      <c r="G15" s="272">
        <f>'실기환산(여)'!M2</f>
        <v>700</v>
      </c>
      <c r="H15" s="269">
        <f t="shared" si="1"/>
        <v>1000</v>
      </c>
      <c r="I15" s="270">
        <f>VLOOKUP(B15,대학별점수!$B$3:$M$73,4,0)</f>
        <v>851</v>
      </c>
      <c r="J15" s="271">
        <f>VLOOKUP(B15,대학별점수!$B$3:$M$73,5,0)</f>
        <v>805</v>
      </c>
      <c r="K15" s="211">
        <f>VLOOKUP(B15,대학별점수!$B$3:$V$73,6,0)</f>
        <v>42</v>
      </c>
      <c r="L15" s="208">
        <f>VLOOKUP(B15,대학별점수!$B$3:$V$73,7,0)</f>
        <v>41</v>
      </c>
      <c r="M15" s="209">
        <f>VLOOKUP(B15,대학별점수!$B$3:$V$73,8,0)</f>
        <v>36</v>
      </c>
      <c r="N15" s="211">
        <f>VLOOKUP(B15,대학별점수!$B$3:$V$73,9,0)</f>
        <v>38</v>
      </c>
      <c r="O15" s="211">
        <f>VLOOKUP(B15,대학별점수!$B$3:$V$73,19,0)</f>
        <v>52</v>
      </c>
      <c r="P15" s="208">
        <f>VLOOKUP(B15,대학별점수!$B$3:$V$73,18,0)</f>
        <v>86</v>
      </c>
      <c r="Q15" s="209">
        <f>VLOOKUP(B15,대학별점수!$B$3:$V$73,17,0)</f>
        <v>100</v>
      </c>
      <c r="R15" s="211">
        <f>VLOOKUP(B15,대학별점수!$B$3:$V$73,16,0)</f>
        <v>48</v>
      </c>
      <c r="S15" s="211" t="str">
        <f>VLOOKUP(B15,대학별점수!$B$3:$V$73,20,0)</f>
        <v>7.76</v>
      </c>
      <c r="T15" s="211" t="str">
        <f>VLOOKUP(B15,대학별점수!$B$3:$V$73,21,0)</f>
        <v>6.22</v>
      </c>
      <c r="U15" s="209" t="str">
        <f>'상담(남)'!U15</f>
        <v>좌전굴 폐지 매던 신설</v>
      </c>
    </row>
    <row r="16" spans="1:22" ht="29.25" customHeight="1" thickBot="1">
      <c r="A16" s="174" t="s">
        <v>418</v>
      </c>
      <c r="B16" s="159" t="str">
        <f>대학별점수!B14</f>
        <v>남서울대 스포츠비즈니스</v>
      </c>
      <c r="C16" s="265">
        <f>'내신(여)'!B15</f>
        <v>300</v>
      </c>
      <c r="D16" s="266">
        <f>VLOOKUP(B16,대학별점수!$B$3:$C$74,2,FALSE)</f>
        <v>210</v>
      </c>
      <c r="E16" s="267">
        <f>VLOOKUP(B16,대학별점수!$B$3:$D$74,3,FALSE)</f>
        <v>136</v>
      </c>
      <c r="F16" s="264">
        <f t="shared" si="0"/>
        <v>90</v>
      </c>
      <c r="G16" s="272">
        <f>'실기환산(여)'!N2</f>
        <v>700</v>
      </c>
      <c r="H16" s="269">
        <f t="shared" si="1"/>
        <v>1000</v>
      </c>
      <c r="I16" s="270">
        <f>VLOOKUP(B16,대학별점수!$B$3:$M$73,4,0)</f>
        <v>840</v>
      </c>
      <c r="J16" s="271">
        <f>VLOOKUP(B16,대학별점수!$B$3:$M$73,5,0)</f>
        <v>784</v>
      </c>
      <c r="K16" s="211">
        <f>VLOOKUP(B16,대학별점수!$B$3:$V$73,6,0)</f>
        <v>42</v>
      </c>
      <c r="L16" s="208">
        <f>VLOOKUP(B16,대학별점수!$B$3:$V$73,7,0)</f>
        <v>40</v>
      </c>
      <c r="M16" s="209">
        <f>VLOOKUP(B16,대학별점수!$B$3:$V$73,8,0)</f>
        <v>35</v>
      </c>
      <c r="N16" s="211">
        <f>VLOOKUP(B16,대학별점수!$B$3:$V$73,9,0)</f>
        <v>38</v>
      </c>
      <c r="O16" s="211">
        <f>VLOOKUP(B16,대학별점수!$B$3:$V$73,19,0)</f>
        <v>37</v>
      </c>
      <c r="P16" s="208">
        <f>VLOOKUP(B16,대학별점수!$B$3:$V$73,18,0)</f>
        <v>50</v>
      </c>
      <c r="Q16" s="209">
        <f>VLOOKUP(B16,대학별점수!$B$3:$V$73,17,0)</f>
        <v>74</v>
      </c>
      <c r="R16" s="211">
        <f>VLOOKUP(B16,대학별점수!$B$3:$V$73,16,0)</f>
        <v>43</v>
      </c>
      <c r="S16" s="211" t="str">
        <f>VLOOKUP(B16,대학별점수!$B$3:$V$73,20,0)</f>
        <v>4.93</v>
      </c>
      <c r="T16" s="211" t="str">
        <f>VLOOKUP(B16,대학별점수!$B$3:$V$73,21,0)</f>
        <v>4.74</v>
      </c>
      <c r="U16" s="209" t="str">
        <f>'상담(남)'!U16</f>
        <v>3종목 모두 반영으로 총점 하향???</v>
      </c>
    </row>
    <row r="17" spans="1:22" s="5" customFormat="1" ht="29.25" customHeight="1" thickBot="1">
      <c r="A17" s="174" t="s">
        <v>425</v>
      </c>
      <c r="B17" s="159" t="s">
        <v>43</v>
      </c>
      <c r="C17" s="265">
        <f>'내신(여)'!B16</f>
        <v>0</v>
      </c>
      <c r="D17" s="266">
        <f>VLOOKUP(B17,대학별점수!$B$3:$C$74,2,FALSE)</f>
        <v>686</v>
      </c>
      <c r="E17" s="267">
        <f>VLOOKUP(B17,대학별점수!$B$3:$D$74,3,FALSE)</f>
        <v>668</v>
      </c>
      <c r="F17" s="264">
        <f>C17-D17</f>
        <v>-686</v>
      </c>
      <c r="G17" s="272">
        <f>'실기환산(여)'!O2</f>
        <v>352</v>
      </c>
      <c r="H17" s="269">
        <f>C17+G17</f>
        <v>352</v>
      </c>
      <c r="I17" s="270">
        <f>VLOOKUP(B17,대학별점수!$B$3:$M$73,4,0)</f>
        <v>982</v>
      </c>
      <c r="J17" s="271">
        <f>VLOOKUP(B17,대학별점수!$B$3:$M$73,5,0)</f>
        <v>968</v>
      </c>
      <c r="K17" s="211">
        <f>VLOOKUP(B17,대학별점수!$B$3:$V$73,6,0)</f>
        <v>10</v>
      </c>
      <c r="L17" s="208">
        <f>VLOOKUP(B17,대학별점수!$B$3:$V$73,7,0)</f>
        <v>10</v>
      </c>
      <c r="M17" s="209">
        <f>VLOOKUP(B17,대학별점수!$B$3:$V$73,8,0)</f>
        <v>0</v>
      </c>
      <c r="N17" s="211">
        <f>VLOOKUP(B17,대학별점수!$B$3:$V$73,9,0)</f>
        <v>0</v>
      </c>
      <c r="O17" s="211">
        <f>VLOOKUP(B17,대학별점수!$B$3:$V$73,19,0)</f>
        <v>2</v>
      </c>
      <c r="P17" s="208">
        <f>VLOOKUP(B17,대학별점수!$B$3:$V$73,18,0)</f>
        <v>0</v>
      </c>
      <c r="Q17" s="209">
        <f>VLOOKUP(B17,대학별점수!$B$3:$V$73,17,0)</f>
        <v>0</v>
      </c>
      <c r="R17" s="211">
        <f>VLOOKUP(B17,대학별점수!$B$3:$V$73,16,0)</f>
        <v>0</v>
      </c>
      <c r="S17" s="211" t="str">
        <f>VLOOKUP(B17,대학별점수!$B$3:$V$73,20,0)</f>
        <v>42.50</v>
      </c>
      <c r="T17" s="211">
        <f>VLOOKUP(B17,대학별점수!$B$3:$V$73,21,0)</f>
        <v>0</v>
      </c>
      <c r="U17" s="209"/>
      <c r="V17" s="292"/>
    </row>
    <row r="18" spans="1:22" s="6" customFormat="1" ht="29.25" customHeight="1" thickBot="1">
      <c r="A18" s="174" t="s">
        <v>418</v>
      </c>
      <c r="B18" s="159" t="str">
        <f>대학별점수!B16</f>
        <v>단국대 생활체육</v>
      </c>
      <c r="C18" s="265">
        <f>'내신(여)'!B17</f>
        <v>197.5</v>
      </c>
      <c r="D18" s="266">
        <f>VLOOKUP(B18,대학별점수!$B$3:$C$74,2,FALSE)</f>
        <v>190</v>
      </c>
      <c r="E18" s="267">
        <f>VLOOKUP(B18,대학별점수!$B$3:$D$74,3,FALSE)</f>
        <v>180</v>
      </c>
      <c r="F18" s="264">
        <f t="shared" si="0"/>
        <v>7.5</v>
      </c>
      <c r="G18" s="272">
        <f>'실기환산(여)'!P2</f>
        <v>800</v>
      </c>
      <c r="H18" s="269">
        <f t="shared" si="1"/>
        <v>997.5</v>
      </c>
      <c r="I18" s="270">
        <f>VLOOKUP(B18,대학별점수!$B$3:$M$73,4,0)</f>
        <v>990</v>
      </c>
      <c r="J18" s="271">
        <f>VLOOKUP(B18,대학별점수!$B$3:$M$73,5,0)</f>
        <v>980</v>
      </c>
      <c r="K18" s="211">
        <f>VLOOKUP(B18,대학별점수!$B$3:$V$73,6,0)</f>
        <v>14</v>
      </c>
      <c r="L18" s="208">
        <f>VLOOKUP(B18,대학별점수!$B$3:$V$73,7,0)</f>
        <v>14</v>
      </c>
      <c r="M18" s="209">
        <f>VLOOKUP(B18,대학별점수!$B$3:$V$73,8,0)</f>
        <v>15</v>
      </c>
      <c r="N18" s="211">
        <f>VLOOKUP(B18,대학별점수!$B$3:$V$73,9,0)</f>
        <v>15</v>
      </c>
      <c r="O18" s="211">
        <f>VLOOKUP(B18,대학별점수!$B$3:$V$73,19,0)</f>
        <v>12</v>
      </c>
      <c r="P18" s="208">
        <f>VLOOKUP(B18,대학별점수!$B$3:$V$73,18,0)</f>
        <v>8</v>
      </c>
      <c r="Q18" s="209">
        <f>VLOOKUP(B18,대학별점수!$B$3:$V$73,17,0)</f>
        <v>3</v>
      </c>
      <c r="R18" s="211" t="str">
        <f>VLOOKUP(B18,대학별점수!$B$3:$V$73,16,0)</f>
        <v>23신설</v>
      </c>
      <c r="S18" s="211" t="str">
        <f>VLOOKUP(B18,대학별점수!$B$3:$V$73,20,0)</f>
        <v>42.36</v>
      </c>
      <c r="T18" s="211" t="str">
        <f>VLOOKUP(B18,대학별점수!$B$3:$V$73,21,0)</f>
        <v>34.6</v>
      </c>
      <c r="U18" s="209" t="str">
        <f>'상담(남)'!U18</f>
        <v>.</v>
      </c>
    </row>
    <row r="19" spans="1:22" s="6" customFormat="1" ht="29.25" customHeight="1" thickBot="1">
      <c r="A19" s="174" t="s">
        <v>418</v>
      </c>
      <c r="B19" s="159" t="str">
        <f>대학별점수!B17</f>
        <v>단국대 운동처방재활</v>
      </c>
      <c r="C19" s="265">
        <f>'내신(여)'!B18</f>
        <v>197.5</v>
      </c>
      <c r="D19" s="266">
        <f>VLOOKUP(B19,대학별점수!$B$3:$C$74,2,FALSE)</f>
        <v>194.8</v>
      </c>
      <c r="E19" s="267">
        <f>VLOOKUP(B19,대학별점수!$B$3:$D$74,3,FALSE)</f>
        <v>192.2</v>
      </c>
      <c r="F19" s="264">
        <f t="shared" si="0"/>
        <v>2.6999999999999886</v>
      </c>
      <c r="G19" s="272">
        <f>'실기환산(여)'!Q2</f>
        <v>800</v>
      </c>
      <c r="H19" s="269">
        <f t="shared" si="1"/>
        <v>997.5</v>
      </c>
      <c r="I19" s="270">
        <f>VLOOKUP(B19,대학별점수!$B$3:$M$73,4,0)</f>
        <v>0</v>
      </c>
      <c r="J19" s="271">
        <f>VLOOKUP(B19,대학별점수!$B$3:$M$73,5,0)</f>
        <v>0</v>
      </c>
      <c r="K19" s="211" t="str">
        <f>VLOOKUP(B19,대학별점수!$B$3:$V$73,6,0)</f>
        <v>미선발</v>
      </c>
      <c r="L19" s="208">
        <f>VLOOKUP(B19,대학별점수!$B$3:$V$73,7,0)</f>
        <v>5</v>
      </c>
      <c r="M19" s="209">
        <f>VLOOKUP(B19,대학별점수!$B$3:$V$73,8,0)</f>
        <v>5</v>
      </c>
      <c r="N19" s="211">
        <f>VLOOKUP(B19,대학별점수!$B$3:$V$73,9,0)</f>
        <v>6</v>
      </c>
      <c r="O19" s="211">
        <f>VLOOKUP(B19,대학별점수!$B$3:$V$73,19,0)</f>
        <v>5</v>
      </c>
      <c r="P19" s="208">
        <f>VLOOKUP(B19,대학별점수!$B$3:$V$73,18,0)</f>
        <v>4</v>
      </c>
      <c r="Q19" s="209">
        <f>VLOOKUP(B19,대학별점수!$B$3:$V$73,17,0)</f>
        <v>1</v>
      </c>
      <c r="R19" s="211" t="str">
        <f>VLOOKUP(B19,대학별점수!$B$3:$V$73,16,0)</f>
        <v>23신설</v>
      </c>
      <c r="S19" s="211" t="str">
        <f>VLOOKUP(B19,대학별점수!$B$3:$V$73,20,0)</f>
        <v>36.20</v>
      </c>
      <c r="T19" s="211" t="str">
        <f>VLOOKUP(B19,대학별점수!$B$3:$V$73,21,0)</f>
        <v>27.4</v>
      </c>
      <c r="U19" s="209" t="str">
        <f>'상담(남)'!U19</f>
        <v>실기전형 미선발/교과전형 선발</v>
      </c>
    </row>
    <row r="20" spans="1:22" ht="29.25" customHeight="1" thickBot="1">
      <c r="A20" s="174" t="s">
        <v>420</v>
      </c>
      <c r="B20" s="159" t="str">
        <f>대학별점수!B18</f>
        <v>대전대 스포츠건강재활</v>
      </c>
      <c r="C20" s="265">
        <f>'내신(여)'!B19</f>
        <v>400</v>
      </c>
      <c r="D20" s="266">
        <f>VLOOKUP(B20,대학별점수!$B$3:$C$74,2,FALSE)</f>
        <v>352</v>
      </c>
      <c r="E20" s="267">
        <f>VLOOKUP(B20,대학별점수!$B$3:$D$74,3,FALSE)</f>
        <v>330</v>
      </c>
      <c r="F20" s="264">
        <f t="shared" si="0"/>
        <v>48</v>
      </c>
      <c r="G20" s="272">
        <f>'실기환산(여)'!R2</f>
        <v>600</v>
      </c>
      <c r="H20" s="269">
        <f t="shared" si="1"/>
        <v>1000</v>
      </c>
      <c r="I20" s="270">
        <f>VLOOKUP(B20,대학별점수!$B$3:$M$73,4,0)</f>
        <v>942</v>
      </c>
      <c r="J20" s="271">
        <f>VLOOKUP(B20,대학별점수!$B$3:$M$73,5,0)</f>
        <v>930</v>
      </c>
      <c r="K20" s="211">
        <f>VLOOKUP(B20,대학별점수!$B$3:$V$73,6,0)</f>
        <v>27</v>
      </c>
      <c r="L20" s="208">
        <f>VLOOKUP(B20,대학별점수!$B$3:$V$73,7,0)</f>
        <v>25</v>
      </c>
      <c r="M20" s="209">
        <f>VLOOKUP(B20,대학별점수!$B$3:$V$73,8,0)</f>
        <v>25</v>
      </c>
      <c r="N20" s="211">
        <f>VLOOKUP(B20,대학별점수!$B$3:$V$73,9,0)</f>
        <v>25</v>
      </c>
      <c r="O20" s="211">
        <f>VLOOKUP(B20,대학별점수!$B$3:$V$73,19,0)</f>
        <v>28</v>
      </c>
      <c r="P20" s="208">
        <f>VLOOKUP(B20,대학별점수!$B$3:$V$73,18,0)</f>
        <v>37</v>
      </c>
      <c r="Q20" s="209">
        <f>VLOOKUP(B20,대학별점수!$B$3:$V$73,17,0)</f>
        <v>54</v>
      </c>
      <c r="R20" s="211">
        <f>VLOOKUP(B20,대학별점수!$B$3:$V$73,16,0)</f>
        <v>42</v>
      </c>
      <c r="S20" s="211" t="str">
        <f>VLOOKUP(B20,대학별점수!$B$3:$V$73,20,0)</f>
        <v>8.88</v>
      </c>
      <c r="T20" s="211" t="str">
        <f>VLOOKUP(B20,대학별점수!$B$3:$V$73,21,0)</f>
        <v>7.96</v>
      </c>
      <c r="U20" s="209" t="str">
        <f>'상담(남)'!U20</f>
        <v>.</v>
      </c>
    </row>
    <row r="21" spans="1:22" ht="29.25" customHeight="1" thickBot="1">
      <c r="A21" s="174" t="s">
        <v>420</v>
      </c>
      <c r="B21" s="159" t="str">
        <f>대학별점수!B19</f>
        <v>대전대 스포츠운동과학</v>
      </c>
      <c r="C21" s="265">
        <f>'내신(여)'!B20</f>
        <v>400</v>
      </c>
      <c r="D21" s="266">
        <f>VLOOKUP(B21,대학별점수!$B$3:$C$74,2,FALSE)</f>
        <v>348</v>
      </c>
      <c r="E21" s="267">
        <f>VLOOKUP(B21,대학별점수!$B$3:$D$74,3,FALSE)</f>
        <v>320</v>
      </c>
      <c r="F21" s="264">
        <f t="shared" si="0"/>
        <v>52</v>
      </c>
      <c r="G21" s="272">
        <f>'실기환산(여)'!S2</f>
        <v>600</v>
      </c>
      <c r="H21" s="269">
        <f t="shared" si="1"/>
        <v>1000</v>
      </c>
      <c r="I21" s="270">
        <f>VLOOKUP(B21,대학별점수!$B$3:$M$73,4,0)</f>
        <v>938</v>
      </c>
      <c r="J21" s="271">
        <f>VLOOKUP(B21,대학별점수!$B$3:$M$73,5,0)</f>
        <v>920</v>
      </c>
      <c r="K21" s="211">
        <f>VLOOKUP(B21,대학별점수!$B$3:$V$73,6,0)</f>
        <v>32</v>
      </c>
      <c r="L21" s="208">
        <f>VLOOKUP(B21,대학별점수!$B$3:$V$73,7,0)</f>
        <v>32</v>
      </c>
      <c r="M21" s="209">
        <f>VLOOKUP(B21,대학별점수!$B$3:$V$73,8,0)</f>
        <v>23</v>
      </c>
      <c r="N21" s="211">
        <f>VLOOKUP(B21,대학별점수!$B$3:$V$73,9,0)</f>
        <v>20</v>
      </c>
      <c r="O21" s="211">
        <f>VLOOKUP(B21,대학별점수!$B$3:$V$73,19,0)</f>
        <v>22</v>
      </c>
      <c r="P21" s="208">
        <f>VLOOKUP(B21,대학별점수!$B$3:$V$73,18,0)</f>
        <v>35</v>
      </c>
      <c r="Q21" s="209">
        <f>VLOOKUP(B21,대학별점수!$B$3:$V$73,17,0)</f>
        <v>30</v>
      </c>
      <c r="R21" s="211">
        <f>VLOOKUP(B21,대학별점수!$B$3:$V$73,16,0)</f>
        <v>37</v>
      </c>
      <c r="S21" s="211" t="str">
        <f>VLOOKUP(B21,대학별점수!$B$3:$V$73,20,0)</f>
        <v>3.81</v>
      </c>
      <c r="T21" s="211" t="str">
        <f>VLOOKUP(B21,대학별점수!$B$3:$V$73,21,0)</f>
        <v>4.52</v>
      </c>
      <c r="U21" s="209" t="str">
        <f>'상담(남)'!U21</f>
        <v>.</v>
      </c>
    </row>
    <row r="22" spans="1:22" ht="29.25" customHeight="1" thickBot="1">
      <c r="A22" s="174" t="s">
        <v>425</v>
      </c>
      <c r="B22" s="159" t="str">
        <f>대학별점수!B20</f>
        <v>대진대 스포츠겅강과학</v>
      </c>
      <c r="C22" s="265">
        <f>'내신(여)'!B21</f>
        <v>200</v>
      </c>
      <c r="D22" s="266">
        <f>VLOOKUP(B22,대학별점수!$B$3:$C$74,2,FALSE)</f>
        <v>184</v>
      </c>
      <c r="E22" s="267">
        <f>VLOOKUP(B22,대학별점수!$B$3:$D$74,3,FALSE)</f>
        <v>179.3</v>
      </c>
      <c r="F22" s="264">
        <f t="shared" si="0"/>
        <v>16</v>
      </c>
      <c r="G22" s="272">
        <f>'실기환산(여)'!T2</f>
        <v>800</v>
      </c>
      <c r="H22" s="269">
        <f t="shared" si="1"/>
        <v>1000</v>
      </c>
      <c r="I22" s="270">
        <f>VLOOKUP(B22,대학별점수!$B$3:$M$73,4,0)</f>
        <v>984</v>
      </c>
      <c r="J22" s="271">
        <f>VLOOKUP(B22,대학별점수!$B$3:$M$73,5,0)</f>
        <v>979.3</v>
      </c>
      <c r="K22" s="211">
        <f>VLOOKUP(B22,대학별점수!$B$3:$V$73,6,0)</f>
        <v>25</v>
      </c>
      <c r="L22" s="208">
        <f>VLOOKUP(B22,대학별점수!$B$3:$V$73,7,0)</f>
        <v>25</v>
      </c>
      <c r="M22" s="209">
        <f>VLOOKUP(B22,대학별점수!$B$3:$V$73,8,0)</f>
        <v>25</v>
      </c>
      <c r="N22" s="211">
        <f>VLOOKUP(B22,대학별점수!$B$3:$V$73,9,0)</f>
        <v>22</v>
      </c>
      <c r="O22" s="211">
        <f>VLOOKUP(B22,대학별점수!$B$3:$V$73,19,0)</f>
        <v>22</v>
      </c>
      <c r="P22" s="208">
        <f>VLOOKUP(B22,대학별점수!$B$3:$V$73,18,0)</f>
        <v>32</v>
      </c>
      <c r="Q22" s="209">
        <f>VLOOKUP(B22,대학별점수!$B$3:$V$73,17,0)</f>
        <v>33</v>
      </c>
      <c r="R22" s="211">
        <f>VLOOKUP(B22,대학별점수!$B$3:$V$73,16,0)</f>
        <v>21</v>
      </c>
      <c r="S22" s="211" t="str">
        <f>VLOOKUP(B22,대학별점수!$B$3:$V$73,20,0)</f>
        <v>10.48</v>
      </c>
      <c r="T22" s="211" t="str">
        <f>VLOOKUP(B22,대학별점수!$B$3:$V$73,21,0)</f>
        <v>6.88</v>
      </c>
      <c r="U22" s="209" t="str">
        <f>'상담(남)'!U22</f>
        <v>진로선택3과목 반영에서 5과목 반영</v>
      </c>
    </row>
    <row r="23" spans="1:22" ht="29.25" customHeight="1" thickBot="1">
      <c r="A23" s="174" t="s">
        <v>416</v>
      </c>
      <c r="B23" s="159" t="str">
        <f>대학별점수!B21</f>
        <v>동국대 체육교육</v>
      </c>
      <c r="C23" s="265">
        <f>'내신(여)'!B22</f>
        <v>300</v>
      </c>
      <c r="D23" s="266">
        <f>VLOOKUP(B23,대학별점수!$B$3:$C$74,2,FALSE)</f>
        <v>298.39999999999998</v>
      </c>
      <c r="E23" s="267">
        <f>VLOOKUP(B23,대학별점수!$B$3:$D$74,3,FALSE)</f>
        <v>294.3</v>
      </c>
      <c r="F23" s="264">
        <f t="shared" si="0"/>
        <v>1.6000000000000227</v>
      </c>
      <c r="G23" s="272">
        <f>'실기환산(여)'!U2</f>
        <v>700</v>
      </c>
      <c r="H23" s="269">
        <f t="shared" si="1"/>
        <v>1000</v>
      </c>
      <c r="I23" s="270">
        <f>VLOOKUP(B23,대학별점수!$B$3:$M$73,4,0)</f>
        <v>996.5</v>
      </c>
      <c r="J23" s="271">
        <f>VLOOKUP(B23,대학별점수!$B$3:$M$73,5,0)</f>
        <v>994.3</v>
      </c>
      <c r="K23" s="211">
        <f>VLOOKUP(B23,대학별점수!$B$3:$V$73,6,0)</f>
        <v>22</v>
      </c>
      <c r="L23" s="208">
        <f>VLOOKUP(B23,대학별점수!$B$3:$V$73,7,0)</f>
        <v>23</v>
      </c>
      <c r="M23" s="209">
        <f>VLOOKUP(B23,대학별점수!$B$3:$V$73,8,0)</f>
        <v>23</v>
      </c>
      <c r="N23" s="211">
        <f>VLOOKUP(B23,대학별점수!$B$3:$V$73,9,0)</f>
        <v>23</v>
      </c>
      <c r="O23" s="211">
        <f>VLOOKUP(B23,대학별점수!$B$3:$V$73,19,0)</f>
        <v>0</v>
      </c>
      <c r="P23" s="208">
        <f>VLOOKUP(B23,대학별점수!$B$3:$V$73,18,0)</f>
        <v>0</v>
      </c>
      <c r="Q23" s="209">
        <f>VLOOKUP(B23,대학별점수!$B$3:$V$73,17,0)</f>
        <v>0</v>
      </c>
      <c r="R23" s="211" t="str">
        <f>VLOOKUP(B23,대학별점수!$B$3:$V$73,16,0)</f>
        <v>_</v>
      </c>
      <c r="S23" s="211" t="str">
        <f>VLOOKUP(B23,대학별점수!$B$3:$V$73,20,0)</f>
        <v>30.17</v>
      </c>
      <c r="T23" s="211" t="str">
        <f>VLOOKUP(B23,대학별점수!$B$3:$V$73,21,0)</f>
        <v>27.22</v>
      </c>
      <c r="U23" s="209" t="str">
        <f>'상담(남)'!U23</f>
        <v>실기기본점수 50점</v>
      </c>
    </row>
    <row r="24" spans="1:22" ht="29.25" customHeight="1" thickBot="1">
      <c r="A24" s="174" t="s">
        <v>416</v>
      </c>
      <c r="B24" s="159" t="str">
        <f>대학별점수!B22</f>
        <v>동덕여대 체육</v>
      </c>
      <c r="C24" s="333">
        <f>'내신(여)'!B23</f>
        <v>199.99</v>
      </c>
      <c r="D24" s="334">
        <f>VLOOKUP(B24,대학별점수!$B$3:$C$74,2,FALSE)</f>
        <v>396.8</v>
      </c>
      <c r="E24" s="335">
        <f>VLOOKUP(B24,대학별점수!$B$3:$D$74,3,FALSE)</f>
        <v>392.8</v>
      </c>
      <c r="F24" s="336">
        <f t="shared" si="0"/>
        <v>-196.81</v>
      </c>
      <c r="G24" s="337">
        <f>'실기환산(여)'!V2</f>
        <v>528</v>
      </c>
      <c r="H24" s="338">
        <f t="shared" si="1"/>
        <v>727.99</v>
      </c>
      <c r="I24" s="339">
        <f>VLOOKUP(B24,대학별점수!$B$3:$M$73,4,0)</f>
        <v>0</v>
      </c>
      <c r="J24" s="340">
        <f>VLOOKUP(B24,대학별점수!$B$3:$M$73,5,0)</f>
        <v>0</v>
      </c>
      <c r="K24" s="211" t="str">
        <f>VLOOKUP(B24,대학별점수!$B$3:$V$73,6,0)</f>
        <v>일반학생미선발</v>
      </c>
      <c r="L24" s="208">
        <f>VLOOKUP(B24,대학별점수!$B$3:$V$73,7,0)</f>
        <v>0</v>
      </c>
      <c r="M24" s="209">
        <f>VLOOKUP(B24,대학별점수!$B$3:$V$73,8,0)</f>
        <v>0</v>
      </c>
      <c r="N24" s="211">
        <f>VLOOKUP(B24,대학별점수!$B$3:$V$73,9,0)</f>
        <v>0</v>
      </c>
      <c r="O24" s="211">
        <f>VLOOKUP(B24,대학별점수!$B$3:$V$73,19,0)</f>
        <v>0</v>
      </c>
      <c r="P24" s="208">
        <f>VLOOKUP(B24,대학별점수!$B$3:$V$73,18,0)</f>
        <v>0</v>
      </c>
      <c r="Q24" s="209" t="str">
        <f>VLOOKUP(B24,대학별점수!$B$3:$V$73,17,0)</f>
        <v>_</v>
      </c>
      <c r="R24" s="211" t="str">
        <f>VLOOKUP(B24,대학별점수!$B$3:$V$73,16,0)</f>
        <v>_</v>
      </c>
      <c r="S24" s="211">
        <f>VLOOKUP(B24,대학별점수!$B$3:$V$73,20,0)</f>
        <v>0</v>
      </c>
      <c r="T24" s="211">
        <f>VLOOKUP(B24,대학별점수!$B$3:$V$73,21,0)</f>
        <v>0</v>
      </c>
      <c r="U24" s="212" t="s">
        <v>359</v>
      </c>
    </row>
    <row r="25" spans="1:22" ht="29.25" customHeight="1" thickBot="1">
      <c r="A25" s="174" t="s">
        <v>420</v>
      </c>
      <c r="B25" s="159" t="str">
        <f>대학별점수!B23</f>
        <v>목원대 스포츠건강관리</v>
      </c>
      <c r="C25" s="265">
        <f>'내신(여)'!B24</f>
        <v>99.85</v>
      </c>
      <c r="D25" s="266">
        <f>VLOOKUP(B25,대학별점수!$B$3:$C$74,2,FALSE)</f>
        <v>86</v>
      </c>
      <c r="E25" s="267">
        <f>VLOOKUP(B25,대학별점수!$B$3:$D$74,3,FALSE)</f>
        <v>50</v>
      </c>
      <c r="F25" s="264">
        <f t="shared" si="0"/>
        <v>13.849999999999994</v>
      </c>
      <c r="G25" s="272">
        <f>'실기환산(여)'!W2</f>
        <v>900</v>
      </c>
      <c r="H25" s="269">
        <f t="shared" si="1"/>
        <v>999.85</v>
      </c>
      <c r="I25" s="270">
        <f>VLOOKUP(B25,대학별점수!$B$3:$M$73,4,0)</f>
        <v>918</v>
      </c>
      <c r="J25" s="271">
        <f>VLOOKUP(B25,대학별점수!$B$3:$M$73,5,0)</f>
        <v>888</v>
      </c>
      <c r="K25" s="211">
        <f>VLOOKUP(B25,대학별점수!$B$3:$V$73,6,0)</f>
        <v>30</v>
      </c>
      <c r="L25" s="208">
        <f>VLOOKUP(B25,대학별점수!$B$3:$V$73,7,0)</f>
        <v>33</v>
      </c>
      <c r="M25" s="209">
        <f>VLOOKUP(B25,대학별점수!$B$3:$V$73,8,0)</f>
        <v>33</v>
      </c>
      <c r="N25" s="211">
        <f>VLOOKUP(B25,대학별점수!$B$3:$V$73,9,0)</f>
        <v>54</v>
      </c>
      <c r="O25" s="211">
        <f>VLOOKUP(B25,대학별점수!$B$3:$V$73,19,0)</f>
        <v>76</v>
      </c>
      <c r="P25" s="208">
        <f>VLOOKUP(B25,대학별점수!$B$3:$V$73,18,0)</f>
        <v>126</v>
      </c>
      <c r="Q25" s="209">
        <f>VLOOKUP(B25,대학별점수!$B$3:$V$73,17,0)</f>
        <v>149</v>
      </c>
      <c r="R25" s="211">
        <f>VLOOKUP(B25,대학별점수!$B$3:$V$73,16,0)</f>
        <v>129</v>
      </c>
      <c r="S25" s="211" t="str">
        <f>VLOOKUP(B25,대학별점수!$B$3:$V$73,20,0)</f>
        <v>6.90</v>
      </c>
      <c r="T25" s="211" t="str">
        <f>VLOOKUP(B25,대학별점수!$B$3:$V$73,21,0)</f>
        <v>5.73</v>
      </c>
      <c r="U25" s="210" t="str">
        <f>'상담(남)'!U24</f>
        <v>.</v>
      </c>
    </row>
    <row r="26" spans="1:22" ht="29.25" customHeight="1" thickBot="1">
      <c r="A26" s="174" t="s">
        <v>418</v>
      </c>
      <c r="B26" s="159" t="str">
        <f>대학별점수!B24</f>
        <v>백석대 특수체육교육</v>
      </c>
      <c r="C26" s="265">
        <f>'내신(여)'!B26</f>
        <v>400</v>
      </c>
      <c r="D26" s="266">
        <f>VLOOKUP(B26,대학별점수!$B$3:$C$74,2,FALSE)</f>
        <v>552</v>
      </c>
      <c r="E26" s="267">
        <f>VLOOKUP(B26,대학별점수!$B$3:$D$74,3,FALSE)</f>
        <v>516</v>
      </c>
      <c r="F26" s="264">
        <f t="shared" si="0"/>
        <v>-152</v>
      </c>
      <c r="G26" s="272">
        <f>'실기환산(여)'!X2</f>
        <v>400</v>
      </c>
      <c r="H26" s="269">
        <f t="shared" si="1"/>
        <v>800</v>
      </c>
      <c r="I26" s="270">
        <f>VLOOKUP(B26,대학별점수!$B$3:$M$73,4,0)</f>
        <v>930.67000000000007</v>
      </c>
      <c r="J26" s="271">
        <f>VLOOKUP(B26,대학별점수!$B$3:$M$73,5,0)</f>
        <v>916</v>
      </c>
      <c r="K26" s="211">
        <f>VLOOKUP(B26,대학별점수!$B$3:$V$73,6,0)</f>
        <v>27</v>
      </c>
      <c r="L26" s="208">
        <f>VLOOKUP(B26,대학별점수!$B$3:$V$73,7,0)</f>
        <v>27</v>
      </c>
      <c r="M26" s="209">
        <f>VLOOKUP(B26,대학별점수!$B$3:$V$73,8,0)</f>
        <v>27</v>
      </c>
      <c r="N26" s="211">
        <f>VLOOKUP(B26,대학별점수!$B$3:$V$73,9,0)</f>
        <v>26</v>
      </c>
      <c r="O26" s="211">
        <f>VLOOKUP(B26,대학별점수!$B$3:$V$73,19,0)</f>
        <v>16</v>
      </c>
      <c r="P26" s="208">
        <f>VLOOKUP(B26,대학별점수!$B$3:$V$73,18,0)</f>
        <v>28</v>
      </c>
      <c r="Q26" s="209">
        <f>VLOOKUP(B26,대학별점수!$B$3:$V$73,17,0)</f>
        <v>32</v>
      </c>
      <c r="R26" s="211">
        <f>VLOOKUP(B26,대학별점수!$B$3:$V$73,16,0)</f>
        <v>16</v>
      </c>
      <c r="S26" s="211" t="str">
        <f>VLOOKUP(B26,대학별점수!$B$3:$V$73,20,0)</f>
        <v>6.15</v>
      </c>
      <c r="T26" s="211" t="str">
        <f>VLOOKUP(B26,대학별점수!$B$3:$V$73,21,0)</f>
        <v>5.15</v>
      </c>
      <c r="U26" s="210" t="str">
        <f>'상담(남)'!U25</f>
        <v>.</v>
      </c>
    </row>
    <row r="27" spans="1:22" ht="29.25" customHeight="1" thickBot="1">
      <c r="A27" s="174" t="s">
        <v>418</v>
      </c>
      <c r="B27" s="159" t="str">
        <f>대학별점수!B25</f>
        <v>백석대 스포츠과학</v>
      </c>
      <c r="C27" s="265">
        <f>'내신(여)'!B25</f>
        <v>600</v>
      </c>
      <c r="D27" s="266">
        <f>VLOOKUP(B27,대학별점수!$B$3:$C$74,2,FALSE)</f>
        <v>349</v>
      </c>
      <c r="E27" s="267">
        <f>VLOOKUP(B27,대학별점수!$B$3:$D$74,3,FALSE)</f>
        <v>323</v>
      </c>
      <c r="F27" s="264">
        <f t="shared" si="0"/>
        <v>251</v>
      </c>
      <c r="G27" s="272">
        <f>'실기환산(여)'!Y2</f>
        <v>600</v>
      </c>
      <c r="H27" s="269">
        <f t="shared" si="1"/>
        <v>1200</v>
      </c>
      <c r="I27" s="270">
        <f>VLOOKUP(B27,대학별점수!$B$3:$M$73,4,0)</f>
        <v>941</v>
      </c>
      <c r="J27" s="271">
        <f>VLOOKUP(B27,대학별점수!$B$3:$M$73,5,0)</f>
        <v>923</v>
      </c>
      <c r="K27" s="211">
        <f>VLOOKUP(B27,대학별점수!$B$3:$V$73,6,0)</f>
        <v>73</v>
      </c>
      <c r="L27" s="208">
        <f>VLOOKUP(B27,대학별점수!$B$3:$V$73,7,0)</f>
        <v>73</v>
      </c>
      <c r="M27" s="209">
        <f>VLOOKUP(B27,대학별점수!$B$3:$V$73,8,0)</f>
        <v>75</v>
      </c>
      <c r="N27" s="211">
        <f>VLOOKUP(B27,대학별점수!$B$3:$V$73,9,0)</f>
        <v>46</v>
      </c>
      <c r="O27" s="211">
        <f>VLOOKUP(B27,대학별점수!$B$3:$V$73,19,0)</f>
        <v>36</v>
      </c>
      <c r="P27" s="208">
        <f>VLOOKUP(B27,대학별점수!$B$3:$V$73,18,0)</f>
        <v>42</v>
      </c>
      <c r="Q27" s="209">
        <f>VLOOKUP(B27,대학별점수!$B$3:$V$73,17,0)</f>
        <v>30</v>
      </c>
      <c r="R27" s="211">
        <f>VLOOKUP(B27,대학별점수!$B$3:$V$73,16,0)</f>
        <v>19</v>
      </c>
      <c r="S27" s="211" t="str">
        <f>VLOOKUP(B27,대학별점수!$B$3:$V$73,20,0)</f>
        <v>10.96</v>
      </c>
      <c r="T27" s="211" t="str">
        <f>VLOOKUP(B27,대학별점수!$B$3:$V$73,21,0)</f>
        <v>9.29</v>
      </c>
      <c r="U27" s="210" t="str">
        <f>'상담(남)'!U26</f>
        <v>.</v>
      </c>
    </row>
    <row r="28" spans="1:22" ht="29.25" customHeight="1" thickBot="1">
      <c r="A28" s="174" t="s">
        <v>416</v>
      </c>
      <c r="B28" s="159" t="str">
        <f>대학별점수!B26</f>
        <v>삼육대 체육</v>
      </c>
      <c r="C28" s="265">
        <f>'내신(여)'!B27</f>
        <v>395</v>
      </c>
      <c r="D28" s="266">
        <f>VLOOKUP(B28,대학별점수!$B$3:$C$74,2,FALSE)</f>
        <v>392</v>
      </c>
      <c r="E28" s="267">
        <f>VLOOKUP(B28,대학별점수!$B$3:$D$74,3,FALSE)</f>
        <v>386</v>
      </c>
      <c r="F28" s="264">
        <f t="shared" si="0"/>
        <v>3</v>
      </c>
      <c r="G28" s="272">
        <f>'실기환산(여)'!Z2</f>
        <v>600</v>
      </c>
      <c r="H28" s="269">
        <f t="shared" si="1"/>
        <v>995</v>
      </c>
      <c r="I28" s="270">
        <f>VLOOKUP(B28,대학별점수!$B$3:$M$73,4,0)</f>
        <v>990</v>
      </c>
      <c r="J28" s="271">
        <f>VLOOKUP(B28,대학별점수!$B$3:$M$73,5,0)</f>
        <v>986</v>
      </c>
      <c r="K28" s="211">
        <f>VLOOKUP(B28,대학별점수!$B$3:$V$73,6,0)</f>
        <v>12</v>
      </c>
      <c r="L28" s="208">
        <f>VLOOKUP(B28,대학별점수!$B$3:$V$73,7,0)</f>
        <v>10</v>
      </c>
      <c r="M28" s="209">
        <f>VLOOKUP(B28,대학별점수!$B$3:$V$73,8,0)</f>
        <v>11</v>
      </c>
      <c r="N28" s="211">
        <f>VLOOKUP(B28,대학별점수!$B$3:$V$73,9,0)</f>
        <v>9</v>
      </c>
      <c r="O28" s="211">
        <f>VLOOKUP(B28,대학별점수!$B$3:$V$73,19,0)</f>
        <v>4</v>
      </c>
      <c r="P28" s="208">
        <f>VLOOKUP(B28,대학별점수!$B$3:$V$73,18,0)</f>
        <v>4</v>
      </c>
      <c r="Q28" s="209">
        <f>VLOOKUP(B28,대학별점수!$B$3:$V$73,17,0)</f>
        <v>3</v>
      </c>
      <c r="R28" s="211">
        <f>VLOOKUP(B28,대학별점수!$B$3:$V$73,16,0)</f>
        <v>14</v>
      </c>
      <c r="S28" s="211" t="str">
        <f>VLOOKUP(B28,대학별점수!$B$3:$V$73,20,0)</f>
        <v>13.70</v>
      </c>
      <c r="T28" s="211" t="str">
        <f>VLOOKUP(B28,대학별점수!$B$3:$V$73,21,0)</f>
        <v>29.91</v>
      </c>
      <c r="U28" s="210" t="str">
        <f>'상담(남)'!U27</f>
        <v>진로선택3과목 반영에서 이수전과목 반영</v>
      </c>
    </row>
    <row r="29" spans="1:22" s="5" customFormat="1" ht="29.25" customHeight="1" thickBot="1">
      <c r="A29" s="174" t="s">
        <v>416</v>
      </c>
      <c r="B29" s="159" t="s">
        <v>42</v>
      </c>
      <c r="C29" s="265">
        <f>'내신(여)'!B28</f>
        <v>300</v>
      </c>
      <c r="D29" s="266">
        <f>VLOOKUP(B29,대학별점수!$B$3:$C$74,2,FALSE)</f>
        <v>282</v>
      </c>
      <c r="E29" s="267">
        <f>VLOOKUP(B29,대학별점수!$B$3:$D$74,3,FALSE)</f>
        <v>235</v>
      </c>
      <c r="F29" s="264">
        <f>C29-D29</f>
        <v>18</v>
      </c>
      <c r="G29" s="272">
        <f>'실기환산(여)'!AA2</f>
        <v>226.33333333333334</v>
      </c>
      <c r="H29" s="269">
        <f>C29+G29</f>
        <v>526.33333333333337</v>
      </c>
      <c r="I29" s="270">
        <f>VLOOKUP(B29,대학별점수!$B$3:$M$73,4,0)</f>
        <v>961</v>
      </c>
      <c r="J29" s="271">
        <f>VLOOKUP(B29,대학별점수!$B$3:$M$73,5,0)</f>
        <v>935</v>
      </c>
      <c r="K29" s="211">
        <f>VLOOKUP(B29,대학별점수!$B$3:$V$73,6,0)</f>
        <v>12</v>
      </c>
      <c r="L29" s="208">
        <f>VLOOKUP(B29,대학별점수!$B$3:$V$73,7,0)</f>
        <v>12</v>
      </c>
      <c r="M29" s="209">
        <f>VLOOKUP(B29,대학별점수!$B$3:$V$73,8,0)</f>
        <v>0</v>
      </c>
      <c r="N29" s="211">
        <f>VLOOKUP(B29,대학별점수!$B$3:$V$73,9,0)</f>
        <v>0</v>
      </c>
      <c r="O29" s="211">
        <f>VLOOKUP(B29,대학별점수!$B$3:$V$73,19,0)</f>
        <v>12</v>
      </c>
      <c r="P29" s="208">
        <f>VLOOKUP(B29,대학별점수!$B$3:$V$73,18,0)</f>
        <v>0</v>
      </c>
      <c r="Q29" s="209">
        <f>VLOOKUP(B29,대학별점수!$B$3:$V$73,17,0)</f>
        <v>0</v>
      </c>
      <c r="R29" s="211">
        <f>VLOOKUP(B29,대학별점수!$B$3:$V$73,16,0)</f>
        <v>0</v>
      </c>
      <c r="S29" s="211" t="str">
        <f>VLOOKUP(B29,대학별점수!$B$3:$V$73,20,0)</f>
        <v>65.92</v>
      </c>
      <c r="T29" s="211">
        <f>VLOOKUP(B29,대학별점수!$B$3:$V$73,21,0)</f>
        <v>0</v>
      </c>
      <c r="U29" s="210"/>
      <c r="V29" s="292"/>
    </row>
    <row r="30" spans="1:22" ht="29.25" customHeight="1" thickBot="1">
      <c r="A30" s="174" t="s">
        <v>418</v>
      </c>
      <c r="B30" s="159" t="str">
        <f>대학별점수!B28</f>
        <v>상명대(천안) 스포츠융합</v>
      </c>
      <c r="C30" s="265">
        <f>'내신(여)'!B29</f>
        <v>400</v>
      </c>
      <c r="D30" s="266">
        <f>VLOOKUP(B30,대학별점수!$B$3:$C$74,2,FALSE)</f>
        <v>357</v>
      </c>
      <c r="E30" s="267">
        <f>VLOOKUP(B30,대학별점수!$B$3:$D$74,3,FALSE)</f>
        <v>288</v>
      </c>
      <c r="F30" s="264">
        <f t="shared" si="0"/>
        <v>43</v>
      </c>
      <c r="G30" s="272">
        <f>'실기환산(여)'!AB2</f>
        <v>600</v>
      </c>
      <c r="H30" s="269">
        <f t="shared" si="1"/>
        <v>1000</v>
      </c>
      <c r="I30" s="270">
        <f>VLOOKUP(B30,대학별점수!$B$3:$M$73,4,0)</f>
        <v>910</v>
      </c>
      <c r="J30" s="271">
        <f>VLOOKUP(B30,대학별점수!$B$3:$M$73,5,0)</f>
        <v>888</v>
      </c>
      <c r="K30" s="211">
        <f>VLOOKUP(B30,대학별점수!$B$3:$V$73,6,0)</f>
        <v>38</v>
      </c>
      <c r="L30" s="208">
        <f>VLOOKUP(B30,대학별점수!$B$3:$V$73,7,0)</f>
        <v>38</v>
      </c>
      <c r="M30" s="209">
        <f>VLOOKUP(B30,대학별점수!$B$3:$V$73,8,0)</f>
        <v>38</v>
      </c>
      <c r="N30" s="211">
        <f>VLOOKUP(B30,대학별점수!$B$3:$V$73,9,0)</f>
        <v>43</v>
      </c>
      <c r="O30" s="211">
        <f>VLOOKUP(B30,대학별점수!$B$3:$V$73,19,0)</f>
        <v>23</v>
      </c>
      <c r="P30" s="208">
        <f>VLOOKUP(B30,대학별점수!$B$3:$V$73,18,0)</f>
        <v>37</v>
      </c>
      <c r="Q30" s="209">
        <f>VLOOKUP(B30,대학별점수!$B$3:$V$73,17,0)</f>
        <v>27</v>
      </c>
      <c r="R30" s="211">
        <f>VLOOKUP(B30,대학별점수!$B$3:$V$73,16,0)</f>
        <v>33</v>
      </c>
      <c r="S30" s="211" t="str">
        <f>VLOOKUP(B30,대학별점수!$B$3:$V$73,20,0)</f>
        <v>7.68</v>
      </c>
      <c r="T30" s="211" t="str">
        <f>VLOOKUP(B30,대학별점수!$B$3:$V$73,21,0)</f>
        <v>7.9</v>
      </c>
      <c r="U30" s="210" t="str">
        <f>'상담(남)'!U29</f>
        <v>.</v>
      </c>
    </row>
    <row r="31" spans="1:22" ht="29.25" customHeight="1" thickBot="1">
      <c r="A31" s="174" t="s">
        <v>417</v>
      </c>
      <c r="B31" s="159" t="str">
        <f>대학별점수!B29</f>
        <v>상지대 체육</v>
      </c>
      <c r="C31" s="265">
        <f>'내신(여)'!B30</f>
        <v>300</v>
      </c>
      <c r="D31" s="266">
        <f>VLOOKUP(B31,대학별점수!$B$3:$C$74,2,FALSE)</f>
        <v>233</v>
      </c>
      <c r="E31" s="267">
        <f>VLOOKUP(B31,대학별점수!$B$3:$D$74,3,FALSE)</f>
        <v>197</v>
      </c>
      <c r="F31" s="264">
        <f t="shared" si="0"/>
        <v>67</v>
      </c>
      <c r="G31" s="272">
        <f>'실기환산(여)'!AC2</f>
        <v>700</v>
      </c>
      <c r="H31" s="269">
        <f t="shared" si="1"/>
        <v>1000</v>
      </c>
      <c r="I31" s="270">
        <f>VLOOKUP(B31,대학별점수!$B$3:$M$73,4,0)</f>
        <v>920</v>
      </c>
      <c r="J31" s="271">
        <f>VLOOKUP(B31,대학별점수!$B$3:$M$73,5,0)</f>
        <v>897</v>
      </c>
      <c r="K31" s="211">
        <f>VLOOKUP(B31,대학별점수!$B$3:$V$73,6,0)</f>
        <v>40</v>
      </c>
      <c r="L31" s="208">
        <f>VLOOKUP(B31,대학별점수!$B$3:$V$73,7,0)</f>
        <v>40</v>
      </c>
      <c r="M31" s="209">
        <f>VLOOKUP(B31,대학별점수!$B$3:$V$73,8,0)</f>
        <v>55</v>
      </c>
      <c r="N31" s="211">
        <f>VLOOKUP(B31,대학별점수!$B$3:$V$73,9,0)</f>
        <v>60</v>
      </c>
      <c r="O31" s="211">
        <f>VLOOKUP(B31,대학별점수!$B$3:$V$73,19,0)</f>
        <v>56</v>
      </c>
      <c r="P31" s="208">
        <f>VLOOKUP(B31,대학별점수!$B$3:$V$73,18,0)</f>
        <v>40</v>
      </c>
      <c r="Q31" s="209">
        <f>VLOOKUP(B31,대학별점수!$B$3:$V$73,17,0)</f>
        <v>24</v>
      </c>
      <c r="R31" s="211">
        <f>VLOOKUP(B31,대학별점수!$B$3:$V$73,16,0)</f>
        <v>47</v>
      </c>
      <c r="S31" s="211" t="str">
        <f>VLOOKUP(B31,대학별점수!$B$3:$V$73,20,0)</f>
        <v>4.28</v>
      </c>
      <c r="T31" s="211" t="str">
        <f>VLOOKUP(B31,대학별점수!$B$3:$V$73,21,0)</f>
        <v>1.93</v>
      </c>
      <c r="U31" s="210" t="str">
        <f>'상담(남)'!U30</f>
        <v>.</v>
      </c>
    </row>
    <row r="32" spans="1:22" s="5" customFormat="1" ht="29.25" customHeight="1" thickBot="1">
      <c r="A32" s="174" t="s">
        <v>416</v>
      </c>
      <c r="B32" s="159" t="s">
        <v>595</v>
      </c>
      <c r="C32" s="265">
        <f>'내신(여)'!B31</f>
        <v>0</v>
      </c>
      <c r="D32" s="266">
        <f>VLOOKUP(B32,대학별점수!$B$3:$C$74,2,FALSE)</f>
        <v>294</v>
      </c>
      <c r="E32" s="267">
        <f>VLOOKUP(B32,대학별점수!$B$3:$D$74,3,FALSE)</f>
        <v>281</v>
      </c>
      <c r="F32" s="264">
        <f>C32-D32</f>
        <v>-294</v>
      </c>
      <c r="G32" s="272">
        <f>'실기환산(여)'!AD2</f>
        <v>400</v>
      </c>
      <c r="H32" s="269">
        <f>C32+G32</f>
        <v>400</v>
      </c>
      <c r="I32" s="270">
        <f>VLOOKUP(B32,대학별점수!$B$3:$M$73,4,0)</f>
        <v>687.33</v>
      </c>
      <c r="J32" s="271">
        <f>VLOOKUP(B32,대학별점수!$B$3:$M$73,5,0)</f>
        <v>680.67</v>
      </c>
      <c r="K32" s="211">
        <f>VLOOKUP(B32,대학별점수!$B$3:$V$73,6,0)</f>
        <v>30</v>
      </c>
      <c r="L32" s="208">
        <f>VLOOKUP(B32,대학별점수!$B$3:$V$73,7,0)</f>
        <v>30</v>
      </c>
      <c r="M32" s="209">
        <f>VLOOKUP(B32,대학별점수!$B$3:$V$73,8,0)</f>
        <v>0</v>
      </c>
      <c r="N32" s="211">
        <f>VLOOKUP(B32,대학별점수!$B$3:$V$73,9,0)</f>
        <v>0</v>
      </c>
      <c r="O32" s="211">
        <f>VLOOKUP(B32,대학별점수!$B$3:$V$73,19,0)</f>
        <v>2</v>
      </c>
      <c r="P32" s="208">
        <f>VLOOKUP(B32,대학별점수!$B$3:$V$73,18,0)</f>
        <v>7</v>
      </c>
      <c r="Q32" s="209">
        <f>VLOOKUP(B32,대학별점수!$B$3:$V$73,17,0)</f>
        <v>0</v>
      </c>
      <c r="R32" s="211">
        <f>VLOOKUP(B32,대학별점수!$B$3:$V$73,16,0)</f>
        <v>0</v>
      </c>
      <c r="S32" s="211" t="str">
        <f>VLOOKUP(B32,대학별점수!$B$3:$V$73,20,0)</f>
        <v>24.70</v>
      </c>
      <c r="T32" s="211" t="str">
        <f>VLOOKUP(B32,대학별점수!$B$3:$V$73,21,0)</f>
        <v>19.90</v>
      </c>
      <c r="U32" s="362"/>
      <c r="V32" s="292"/>
    </row>
    <row r="33" spans="1:22" ht="29.25" customHeight="1" thickBot="1">
      <c r="A33" s="174" t="s">
        <v>416</v>
      </c>
      <c r="B33" s="159" t="str">
        <f>대학별점수!B31</f>
        <v>서울여대 스포츠운동과학</v>
      </c>
      <c r="C33" s="265">
        <f>'내신(여)'!B32</f>
        <v>600</v>
      </c>
      <c r="D33" s="266">
        <f>VLOOKUP(B33,대학별점수!$B$3:$C$74,2,FALSE)</f>
        <v>58</v>
      </c>
      <c r="E33" s="267">
        <f>VLOOKUP(B33,대학별점수!$B$3:$D$74,3,FALSE)</f>
        <v>55.49</v>
      </c>
      <c r="F33" s="264">
        <f t="shared" si="0"/>
        <v>542</v>
      </c>
      <c r="G33" s="272">
        <f>'실기환산(여)'!AE2</f>
        <v>40</v>
      </c>
      <c r="H33" s="269">
        <f t="shared" si="1"/>
        <v>640</v>
      </c>
      <c r="I33" s="270">
        <f>VLOOKUP(B33,대학별점수!$B$3:$M$73,4,0)</f>
        <v>97.7</v>
      </c>
      <c r="J33" s="271">
        <f>VLOOKUP(B33,대학별점수!$B$3:$M$73,5,0)</f>
        <v>95.490000000000009</v>
      </c>
      <c r="K33" s="211">
        <f>VLOOKUP(B33,대학별점수!$B$3:$V$73,6,0)</f>
        <v>10</v>
      </c>
      <c r="L33" s="208">
        <f>VLOOKUP(B33,대학별점수!$B$3:$V$73,7,0)</f>
        <v>10</v>
      </c>
      <c r="M33" s="209">
        <f>VLOOKUP(B33,대학별점수!$B$3:$V$73,8,0)</f>
        <v>10</v>
      </c>
      <c r="N33" s="211">
        <f>VLOOKUP(B33,대학별점수!$B$3:$V$73,9,0)</f>
        <v>10</v>
      </c>
      <c r="O33" s="211">
        <f>VLOOKUP(B33,대학별점수!$B$3:$V$73,19,0)</f>
        <v>10</v>
      </c>
      <c r="P33" s="208">
        <f>VLOOKUP(B33,대학별점수!$B$3:$V$73,18,0)</f>
        <v>10</v>
      </c>
      <c r="Q33" s="209">
        <f>VLOOKUP(B33,대학별점수!$B$3:$V$73,17,0)</f>
        <v>6</v>
      </c>
      <c r="R33" s="211">
        <f>VLOOKUP(B33,대학별점수!$B$3:$V$73,16,0)</f>
        <v>3</v>
      </c>
      <c r="S33" s="211" t="str">
        <f>VLOOKUP(B33,대학별점수!$B$3:$V$73,20,0)</f>
        <v>17.30</v>
      </c>
      <c r="T33" s="211" t="str">
        <f>VLOOKUP(B33,대학별점수!$B$3:$V$73,21,0)</f>
        <v>15.2</v>
      </c>
      <c r="U33" s="213" t="s">
        <v>834</v>
      </c>
    </row>
    <row r="34" spans="1:22" ht="29.25" customHeight="1" thickBot="1">
      <c r="A34" s="174" t="s">
        <v>418</v>
      </c>
      <c r="B34" s="207" t="str">
        <f>대학별점수!B32</f>
        <v>서원대 체육교육</v>
      </c>
      <c r="C34" s="265">
        <f>'내신(여)'!B33</f>
        <v>600</v>
      </c>
      <c r="D34" s="266">
        <f>VLOOKUP(B34,대학별점수!$B$3:$C$74,2,FALSE)</f>
        <v>588</v>
      </c>
      <c r="E34" s="267">
        <f>VLOOKUP(B34,대학별점수!$B$3:$D$74,3,FALSE)</f>
        <v>576</v>
      </c>
      <c r="F34" s="264">
        <f t="shared" si="0"/>
        <v>12</v>
      </c>
      <c r="G34" s="272">
        <f>'실기환산(여)'!AF2</f>
        <v>400</v>
      </c>
      <c r="H34" s="269">
        <f t="shared" si="1"/>
        <v>1000</v>
      </c>
      <c r="I34" s="270">
        <f>VLOOKUP(B34,대학별점수!$B$3:$M$73,4,0)</f>
        <v>981.6</v>
      </c>
      <c r="J34" s="271">
        <f>VLOOKUP(B34,대학별점수!$B$3:$M$73,5,0)</f>
        <v>976</v>
      </c>
      <c r="K34" s="211">
        <f>VLOOKUP(B34,대학별점수!$B$3:$V$73,6,0)</f>
        <v>28</v>
      </c>
      <c r="L34" s="208">
        <f>VLOOKUP(B34,대학별점수!$B$3:$V$73,7,0)</f>
        <v>23</v>
      </c>
      <c r="M34" s="209">
        <f>VLOOKUP(B34,대학별점수!$B$3:$V$73,8,0)</f>
        <v>23</v>
      </c>
      <c r="N34" s="211">
        <f>VLOOKUP(B34,대학별점수!$B$3:$V$73,9,0)</f>
        <v>23</v>
      </c>
      <c r="O34" s="211">
        <f>VLOOKUP(B34,대학별점수!$B$3:$V$73,19,0)</f>
        <v>36</v>
      </c>
      <c r="P34" s="208">
        <f>VLOOKUP(B34,대학별점수!$B$3:$V$73,18,0)</f>
        <v>23</v>
      </c>
      <c r="Q34" s="209" t="str">
        <f>VLOOKUP(B34,대학별점수!$B$3:$V$73,17,0)</f>
        <v>_</v>
      </c>
      <c r="R34" s="211">
        <f>VLOOKUP(B34,대학별점수!$B$3:$V$73,16,0)</f>
        <v>13</v>
      </c>
      <c r="S34" s="211" t="str">
        <f>VLOOKUP(B34,대학별점수!$B$3:$V$73,20,0)</f>
        <v>6.74</v>
      </c>
      <c r="T34" s="211" t="str">
        <f>VLOOKUP(B34,대학별점수!$B$3:$V$73,21,0)</f>
        <v>11.52</v>
      </c>
      <c r="U34" s="210" t="str">
        <f>'상담(남)'!U32</f>
        <v>실기기본점수 80점/실기변경/변별력 상승</v>
      </c>
    </row>
    <row r="35" spans="1:22" ht="29.25" customHeight="1" thickBot="1">
      <c r="A35" s="174" t="s">
        <v>418</v>
      </c>
      <c r="B35" s="159" t="str">
        <f>대학별점수!B33</f>
        <v>서원대 레저스포츠</v>
      </c>
      <c r="C35" s="265">
        <f>'내신(여)'!B34</f>
        <v>185</v>
      </c>
      <c r="D35" s="266">
        <f>VLOOKUP(B35,대학별점수!$B$3:$C$74,2,FALSE)</f>
        <v>190.5</v>
      </c>
      <c r="E35" s="267">
        <f>VLOOKUP(B35,대학별점수!$B$3:$D$74,3,FALSE)</f>
        <v>170</v>
      </c>
      <c r="F35" s="264">
        <f t="shared" si="0"/>
        <v>-5.5</v>
      </c>
      <c r="G35" s="272">
        <f>'실기환산(여)'!AG2</f>
        <v>800</v>
      </c>
      <c r="H35" s="269">
        <f t="shared" si="1"/>
        <v>985</v>
      </c>
      <c r="I35" s="270">
        <f>VLOOKUP(B35,대학별점수!$B$3:$M$73,4,0)</f>
        <v>978.3</v>
      </c>
      <c r="J35" s="271">
        <f>VLOOKUP(B35,대학별점수!$B$3:$M$73,5,0)</f>
        <v>963.6</v>
      </c>
      <c r="K35" s="211">
        <f>VLOOKUP(B35,대학별점수!$B$3:$V$73,6,0)</f>
        <v>31</v>
      </c>
      <c r="L35" s="208">
        <f>VLOOKUP(B35,대학별점수!$B$3:$V$73,7,0)</f>
        <v>48</v>
      </c>
      <c r="M35" s="209">
        <f>VLOOKUP(B35,대학별점수!$B$3:$V$73,8,0)</f>
        <v>45</v>
      </c>
      <c r="N35" s="211">
        <f>VLOOKUP(B35,대학별점수!$B$3:$V$73,9,0)</f>
        <v>58</v>
      </c>
      <c r="O35" s="211">
        <f>VLOOKUP(B35,대학별점수!$B$3:$V$73,19,0)</f>
        <v>157</v>
      </c>
      <c r="P35" s="208">
        <f>VLOOKUP(B35,대학별점수!$B$3:$V$73,18,0)</f>
        <v>176</v>
      </c>
      <c r="Q35" s="209" t="str">
        <f>VLOOKUP(B35,대학별점수!$B$3:$V$73,17,0)</f>
        <v>_</v>
      </c>
      <c r="R35" s="211">
        <f>VLOOKUP(B35,대학별점수!$B$3:$V$73,16,0)</f>
        <v>48</v>
      </c>
      <c r="S35" s="211" t="str">
        <f>VLOOKUP(B35,대학별점수!$B$3:$V$73,20,0)</f>
        <v>6.44</v>
      </c>
      <c r="T35" s="211" t="str">
        <f>VLOOKUP(B35,대학별점수!$B$3:$V$73,21,0)</f>
        <v>6.69</v>
      </c>
      <c r="U35" s="210" t="str">
        <f>'상담(남)'!U33</f>
        <v>실기기본점수 160점/변별력 상승</v>
      </c>
    </row>
    <row r="36" spans="1:22" s="6" customFormat="1" ht="29.25" customHeight="1" thickBot="1">
      <c r="A36" s="174" t="s">
        <v>418</v>
      </c>
      <c r="B36" s="159" t="str">
        <f>대학별점수!B34</f>
        <v>서원대 헬스케어운동</v>
      </c>
      <c r="C36" s="265">
        <f>'내신(여)'!B35</f>
        <v>165</v>
      </c>
      <c r="D36" s="266">
        <f>VLOOKUP(B36,대학별점수!$B$3:$C$74,2,FALSE)</f>
        <v>193</v>
      </c>
      <c r="E36" s="267">
        <f>VLOOKUP(B36,대학별점수!$B$3:$D$74,3,FALSE)</f>
        <v>175</v>
      </c>
      <c r="F36" s="264">
        <f t="shared" si="0"/>
        <v>-28</v>
      </c>
      <c r="G36" s="272">
        <f>'실기환산(여)'!AH2</f>
        <v>800</v>
      </c>
      <c r="H36" s="269">
        <f t="shared" si="1"/>
        <v>965</v>
      </c>
      <c r="I36" s="270">
        <f>VLOOKUP(B36,대학별점수!$B$3:$M$73,4,0)</f>
        <v>986.6</v>
      </c>
      <c r="J36" s="271">
        <f>VLOOKUP(B36,대학별점수!$B$3:$M$73,5,0)</f>
        <v>971.4</v>
      </c>
      <c r="K36" s="211">
        <f>VLOOKUP(B36,대학별점수!$B$3:$V$73,6,0)</f>
        <v>25</v>
      </c>
      <c r="L36" s="208">
        <f>VLOOKUP(B36,대학별점수!$B$3:$V$73,7,0)</f>
        <v>25</v>
      </c>
      <c r="M36" s="209">
        <f>VLOOKUP(B36,대학별점수!$B$3:$V$73,8,0)</f>
        <v>25</v>
      </c>
      <c r="N36" s="211">
        <f>VLOOKUP(B36,대학별점수!$B$3:$V$73,9,0)</f>
        <v>30</v>
      </c>
      <c r="O36" s="211">
        <f>VLOOKUP(B36,대학별점수!$B$3:$V$73,19,0)</f>
        <v>46</v>
      </c>
      <c r="P36" s="208">
        <f>VLOOKUP(B36,대학별점수!$B$3:$V$73,18,0)</f>
        <v>60</v>
      </c>
      <c r="Q36" s="209" t="str">
        <f>VLOOKUP(B36,대학별점수!$B$3:$V$73,17,0)</f>
        <v>_</v>
      </c>
      <c r="R36" s="211" t="str">
        <f>VLOOKUP(B36,대학별점수!$B$3:$V$73,16,0)</f>
        <v>23신설</v>
      </c>
      <c r="S36" s="211" t="str">
        <f>VLOOKUP(B36,대학별점수!$B$3:$V$73,20,0)</f>
        <v>8.24</v>
      </c>
      <c r="T36" s="211" t="str">
        <f>VLOOKUP(B36,대학별점수!$B$3:$V$73,21,0)</f>
        <v>7.24</v>
      </c>
      <c r="U36" s="210" t="str">
        <f>'상담(남)'!U34</f>
        <v>실기기본점수 160점/변별력 상승</v>
      </c>
    </row>
    <row r="37" spans="1:22" ht="29.25" customHeight="1" thickBot="1">
      <c r="A37" s="174" t="s">
        <v>418</v>
      </c>
      <c r="B37" s="159" t="str">
        <f>대학별점수!B35</f>
        <v>선문대 스포츠과학</v>
      </c>
      <c r="C37" s="265">
        <f>'내신(여)'!B36</f>
        <v>180</v>
      </c>
      <c r="D37" s="266">
        <f>VLOOKUP(B37,대학별점수!$B$3:$C$74,2,FALSE)</f>
        <v>120</v>
      </c>
      <c r="E37" s="267">
        <f>VLOOKUP(B37,대학별점수!$B$3:$D$74,3,FALSE)</f>
        <v>40</v>
      </c>
      <c r="F37" s="264">
        <f t="shared" si="0"/>
        <v>60</v>
      </c>
      <c r="G37" s="272">
        <f>'실기환산(여)'!AI2</f>
        <v>800</v>
      </c>
      <c r="H37" s="269">
        <f t="shared" si="1"/>
        <v>980</v>
      </c>
      <c r="I37" s="270">
        <f>VLOOKUP(B37,대학별점수!$B$3:$M$73,4,0)</f>
        <v>830</v>
      </c>
      <c r="J37" s="271">
        <f>VLOOKUP(B37,대학별점수!$B$3:$M$73,5,0)</f>
        <v>795</v>
      </c>
      <c r="K37" s="211">
        <f>VLOOKUP(B37,대학별점수!$B$3:$V$73,6,0)</f>
        <v>27</v>
      </c>
      <c r="L37" s="208">
        <f>VLOOKUP(B37,대학별점수!$B$3:$V$73,7,0)</f>
        <v>26</v>
      </c>
      <c r="M37" s="209">
        <f>VLOOKUP(B37,대학별점수!$B$3:$V$73,8,0)</f>
        <v>24</v>
      </c>
      <c r="N37" s="211">
        <f>VLOOKUP(B37,대학별점수!$B$3:$V$73,9,0)</f>
        <v>25</v>
      </c>
      <c r="O37" s="211">
        <f>VLOOKUP(B37,대학별점수!$B$3:$V$73,19,0)</f>
        <v>16</v>
      </c>
      <c r="P37" s="208">
        <f>VLOOKUP(B37,대학별점수!$B$3:$V$73,18,0)</f>
        <v>33</v>
      </c>
      <c r="Q37" s="209">
        <f>VLOOKUP(B37,대학별점수!$B$3:$V$73,17,0)</f>
        <v>18</v>
      </c>
      <c r="R37" s="211">
        <f>VLOOKUP(B37,대학별점수!$B$3:$V$73,16,0)</f>
        <v>63</v>
      </c>
      <c r="S37" s="211" t="str">
        <f>VLOOKUP(B37,대학별점수!$B$3:$V$73,20,0)</f>
        <v>5.35</v>
      </c>
      <c r="T37" s="211" t="str">
        <f>VLOOKUP(B37,대학별점수!$B$3:$V$73,21,0)</f>
        <v>5.22</v>
      </c>
      <c r="U37" s="210" t="str">
        <f>'상담(남)'!U35</f>
        <v>.</v>
      </c>
    </row>
    <row r="38" spans="1:22" s="6" customFormat="1" ht="29.25" customHeight="1" thickBot="1">
      <c r="A38" s="174" t="s">
        <v>418</v>
      </c>
      <c r="B38" s="159" t="str">
        <f>대학별점수!B36</f>
        <v>선문대 피트니스재활</v>
      </c>
      <c r="C38" s="265">
        <f>'내신(여)'!B37</f>
        <v>170</v>
      </c>
      <c r="D38" s="266">
        <f>VLOOKUP(B38,대학별점수!$B$3:$C$74,2,FALSE)</f>
        <v>120</v>
      </c>
      <c r="E38" s="267">
        <f>VLOOKUP(B38,대학별점수!$B$3:$D$74,3,FALSE)</f>
        <v>40</v>
      </c>
      <c r="F38" s="264">
        <f t="shared" si="0"/>
        <v>50</v>
      </c>
      <c r="G38" s="272">
        <f>'실기환산(여)'!AJ2</f>
        <v>800</v>
      </c>
      <c r="H38" s="269">
        <f t="shared" si="1"/>
        <v>970</v>
      </c>
      <c r="I38" s="270">
        <f>VLOOKUP(B38,대학별점수!$B$3:$M$73,4,0)</f>
        <v>780</v>
      </c>
      <c r="J38" s="271">
        <f>VLOOKUP(B38,대학별점수!$B$3:$M$73,5,0)</f>
        <v>734</v>
      </c>
      <c r="K38" s="211">
        <f>VLOOKUP(B38,대학별점수!$B$3:$V$73,6,0)</f>
        <v>27</v>
      </c>
      <c r="L38" s="208">
        <f>VLOOKUP(B38,대학별점수!$B$3:$V$73,7,0)</f>
        <v>25</v>
      </c>
      <c r="M38" s="209">
        <f>VLOOKUP(B38,대학별점수!$B$3:$V$73,8,0)</f>
        <v>24</v>
      </c>
      <c r="N38" s="211">
        <f>VLOOKUP(B38,대학별점수!$B$3:$V$73,9,0)</f>
        <v>25</v>
      </c>
      <c r="O38" s="211">
        <f>VLOOKUP(B38,대학별점수!$B$3:$V$73,19,0)</f>
        <v>19</v>
      </c>
      <c r="P38" s="208">
        <f>VLOOKUP(B38,대학별점수!$B$3:$V$73,18,0)</f>
        <v>46</v>
      </c>
      <c r="Q38" s="209">
        <f>VLOOKUP(B38,대학별점수!$B$3:$V$73,17,0)</f>
        <v>31</v>
      </c>
      <c r="R38" s="211" t="str">
        <f>VLOOKUP(B38,대학별점수!$B$3:$V$73,16,0)</f>
        <v>_</v>
      </c>
      <c r="S38" s="211" t="str">
        <f>VLOOKUP(B38,대학별점수!$B$3:$V$73,20,0)</f>
        <v>4.08</v>
      </c>
      <c r="T38" s="211" t="str">
        <f>VLOOKUP(B38,대학별점수!$B$3:$V$73,21,0)</f>
        <v>5.25</v>
      </c>
      <c r="U38" s="210" t="str">
        <f>'상담(남)'!U36</f>
        <v>.</v>
      </c>
    </row>
    <row r="39" spans="1:22" ht="29.25" customHeight="1" thickBot="1">
      <c r="A39" s="174" t="s">
        <v>425</v>
      </c>
      <c r="B39" s="159" t="str">
        <f>대학별점수!B37</f>
        <v>성결대 체육교육</v>
      </c>
      <c r="C39" s="265">
        <f>'내신(여)'!B38</f>
        <v>400</v>
      </c>
      <c r="D39" s="266">
        <f>VLOOKUP(B39,대학별점수!$B$3:$C$74,2,FALSE)</f>
        <v>395</v>
      </c>
      <c r="E39" s="267">
        <f>VLOOKUP(B39,대학별점수!$B$3:$D$74,3,FALSE)</f>
        <v>385</v>
      </c>
      <c r="F39" s="264">
        <f t="shared" si="0"/>
        <v>5</v>
      </c>
      <c r="G39" s="272">
        <f>'실기환산(여)'!AK2</f>
        <v>600</v>
      </c>
      <c r="H39" s="269">
        <f t="shared" si="1"/>
        <v>1000</v>
      </c>
      <c r="I39" s="270">
        <f>VLOOKUP(B39,대학별점수!$B$3:$M$73,4,0)</f>
        <v>991</v>
      </c>
      <c r="J39" s="271">
        <f>VLOOKUP(B39,대학별점수!$B$3:$M$73,5,0)</f>
        <v>985</v>
      </c>
      <c r="K39" s="211">
        <f>VLOOKUP(B39,대학별점수!$B$3:$V$73,6,0)</f>
        <v>14</v>
      </c>
      <c r="L39" s="208">
        <f>VLOOKUP(B39,대학별점수!$B$3:$V$73,7,0)</f>
        <v>14</v>
      </c>
      <c r="M39" s="209">
        <f>VLOOKUP(B39,대학별점수!$B$3:$V$73,8,0)</f>
        <v>14</v>
      </c>
      <c r="N39" s="211">
        <f>VLOOKUP(B39,대학별점수!$B$3:$V$73,9,0)</f>
        <v>8</v>
      </c>
      <c r="O39" s="211">
        <f>VLOOKUP(B39,대학별점수!$B$3:$V$73,19,0)</f>
        <v>6</v>
      </c>
      <c r="P39" s="208">
        <f>VLOOKUP(B39,대학별점수!$B$3:$V$73,18,0)</f>
        <v>8</v>
      </c>
      <c r="Q39" s="209">
        <f>VLOOKUP(B39,대학별점수!$B$3:$V$73,17,0)</f>
        <v>3</v>
      </c>
      <c r="R39" s="211">
        <f>VLOOKUP(B39,대학별점수!$B$3:$V$73,16,0)</f>
        <v>6</v>
      </c>
      <c r="S39" s="211" t="str">
        <f>VLOOKUP(B39,대학별점수!$B$3:$V$73,20,0)</f>
        <v>16.93</v>
      </c>
      <c r="T39" s="211" t="str">
        <f>VLOOKUP(B39,대학별점수!$B$3:$V$73,21,0)</f>
        <v>23.36</v>
      </c>
      <c r="U39" s="210" t="str">
        <f>'상담(남)'!U37</f>
        <v>내신반영방법 변경/교과점수 상승</v>
      </c>
    </row>
    <row r="40" spans="1:22" ht="29.25" customHeight="1" thickBot="1">
      <c r="A40" s="174" t="s">
        <v>415</v>
      </c>
      <c r="B40" s="159" t="str">
        <f>대학별점수!B38</f>
        <v>세명대 생활체육</v>
      </c>
      <c r="C40" s="265">
        <f>'내신(여)'!B39</f>
        <v>200</v>
      </c>
      <c r="D40" s="266">
        <f>VLOOKUP(B40,대학별점수!$B$3:$C$74,2,FALSE)</f>
        <v>120</v>
      </c>
      <c r="E40" s="267">
        <f>VLOOKUP(B40,대학별점수!$B$3:$D$74,3,FALSE)</f>
        <v>40</v>
      </c>
      <c r="F40" s="264">
        <f t="shared" si="0"/>
        <v>80</v>
      </c>
      <c r="G40" s="272">
        <f>'실기환산(여)'!AL2</f>
        <v>800</v>
      </c>
      <c r="H40" s="269">
        <f t="shared" si="1"/>
        <v>1000</v>
      </c>
      <c r="I40" s="270">
        <f>VLOOKUP(B40,대학별점수!$B$3:$M$73,4,0)</f>
        <v>860</v>
      </c>
      <c r="J40" s="271">
        <f>VLOOKUP(B40,대학별점수!$B$3:$M$73,5,0)</f>
        <v>740</v>
      </c>
      <c r="K40" s="211">
        <f>VLOOKUP(B40,대학별점수!$B$3:$V$73,6,0)</f>
        <v>30</v>
      </c>
      <c r="L40" s="208">
        <f>VLOOKUP(B40,대학별점수!$B$3:$V$73,7,0)</f>
        <v>25</v>
      </c>
      <c r="M40" s="209">
        <f>VLOOKUP(B40,대학별점수!$B$3:$V$73,8,0)</f>
        <v>25</v>
      </c>
      <c r="N40" s="211">
        <f>VLOOKUP(B40,대학별점수!$B$3:$V$73,9,0)</f>
        <v>25</v>
      </c>
      <c r="O40" s="211">
        <f>VLOOKUP(B40,대학별점수!$B$3:$V$73,19,0)</f>
        <v>51</v>
      </c>
      <c r="P40" s="208">
        <f>VLOOKUP(B40,대학별점수!$B$3:$V$73,18,0)</f>
        <v>43</v>
      </c>
      <c r="Q40" s="209">
        <f>VLOOKUP(B40,대학별점수!$B$3:$V$73,17,0)</f>
        <v>116</v>
      </c>
      <c r="R40" s="211">
        <f>VLOOKUP(B40,대학별점수!$B$3:$V$73,16,0)</f>
        <v>53</v>
      </c>
      <c r="S40" s="211" t="str">
        <f>VLOOKUP(B40,대학별점수!$B$3:$V$73,20,0)</f>
        <v>3.44</v>
      </c>
      <c r="T40" s="211" t="str">
        <f>VLOOKUP(B40,대학별점수!$B$3:$V$73,21,0)</f>
        <v>3.2</v>
      </c>
      <c r="U40" s="210" t="str">
        <f>'상담(남)'!U38</f>
        <v>윗몸폐지 농구신설 실기반영비율 증가</v>
      </c>
    </row>
    <row r="41" spans="1:22" ht="31.9" customHeight="1" thickBot="1">
      <c r="A41" s="174" t="s">
        <v>425</v>
      </c>
      <c r="B41" s="159" t="str">
        <f>대학별점수!B39</f>
        <v>수원대 스포츠과학부</v>
      </c>
      <c r="C41" s="265">
        <f>'내신(여)'!B40</f>
        <v>400</v>
      </c>
      <c r="D41" s="266">
        <f>VLOOKUP(B41,대학별점수!$B$3:$C$74,2,FALSE)</f>
        <v>380</v>
      </c>
      <c r="E41" s="267">
        <f>VLOOKUP(B41,대학별점수!$B$3:$D$74,3,FALSE)</f>
        <v>367</v>
      </c>
      <c r="F41" s="264">
        <f t="shared" si="0"/>
        <v>20</v>
      </c>
      <c r="G41" s="272">
        <f>'실기환산(여)'!AM2</f>
        <v>600</v>
      </c>
      <c r="H41" s="269">
        <f t="shared" si="1"/>
        <v>1000</v>
      </c>
      <c r="I41" s="270">
        <f>VLOOKUP(B41,대학별점수!$B$3:$M$73,4,0)</f>
        <v>974</v>
      </c>
      <c r="J41" s="271">
        <f>VLOOKUP(B41,대학별점수!$B$3:$M$73,5,0)</f>
        <v>967</v>
      </c>
      <c r="K41" s="211" t="str">
        <f>VLOOKUP(B41,대학별점수!$B$3:$V$73,6,0)</f>
        <v>기초 20
축구 13
농구 7
체조 5</v>
      </c>
      <c r="L41" s="208" t="str">
        <f>VLOOKUP(B41,대학별점수!$B$3:$V$73,7,0)</f>
        <v>기초 20
축구 13
농구 7
체조 5</v>
      </c>
      <c r="M41" s="209">
        <f>VLOOKUP(B41,대학별점수!$B$3:$V$73,8,0)</f>
        <v>20</v>
      </c>
      <c r="N41" s="211">
        <f>VLOOKUP(B41,대학별점수!$B$3:$V$73,9,0)</f>
        <v>20</v>
      </c>
      <c r="O41" s="211">
        <f>VLOOKUP(B41,대학별점수!$B$3:$V$73,19,0)</f>
        <v>23</v>
      </c>
      <c r="P41" s="208" t="str">
        <f>VLOOKUP(B41,대학별점수!$B$3:$V$73,18,0)</f>
        <v>-</v>
      </c>
      <c r="Q41" s="209">
        <f>VLOOKUP(B41,대학별점수!$B$3:$V$73,17,0)</f>
        <v>16</v>
      </c>
      <c r="R41" s="211">
        <f>VLOOKUP(B41,대학별점수!$B$3:$V$73,16,0)</f>
        <v>9</v>
      </c>
      <c r="S41" s="211" t="str">
        <f>VLOOKUP(B41,대학별점수!$B$3:$V$73,20,0)</f>
        <v xml:space="preserve">27.85
</v>
      </c>
      <c r="T41" s="211" t="str">
        <f>VLOOKUP(B41,대학별점수!$B$3:$V$73,21,0)</f>
        <v xml:space="preserve">27.05
</v>
      </c>
      <c r="U41" s="210" t="str">
        <f>'상담(남)'!U39</f>
        <v>기초체력 기준</v>
      </c>
    </row>
    <row r="42" spans="1:22" ht="29.25" customHeight="1" thickBot="1">
      <c r="A42" s="174" t="s">
        <v>416</v>
      </c>
      <c r="B42" s="159" t="str">
        <f>대학별점수!B40</f>
        <v>숙명여대 체육교육</v>
      </c>
      <c r="C42" s="265">
        <f>'내신(여)'!B41</f>
        <v>400</v>
      </c>
      <c r="D42" s="266">
        <f>VLOOKUP(B42,대학별점수!$B$3:$C$74,2,FALSE)</f>
        <v>380</v>
      </c>
      <c r="E42" s="267">
        <f>VLOOKUP(B42,대학별점수!$B$3:$D$74,3,FALSE)</f>
        <v>354</v>
      </c>
      <c r="F42" s="264">
        <f t="shared" si="0"/>
        <v>20</v>
      </c>
      <c r="G42" s="272">
        <f>'실기환산(여)'!AN2</f>
        <v>90</v>
      </c>
      <c r="H42" s="269">
        <f t="shared" si="1"/>
        <v>490</v>
      </c>
      <c r="I42" s="270">
        <f>VLOOKUP(B42,대학별점수!$B$3:$M$73,4,0)</f>
        <v>0</v>
      </c>
      <c r="J42" s="271">
        <f>VLOOKUP(B42,대학별점수!$B$3:$M$73,5,0)</f>
        <v>0</v>
      </c>
      <c r="K42" s="211">
        <f>VLOOKUP(B42,대학별점수!$B$3:$V$73,6,0)</f>
        <v>6</v>
      </c>
      <c r="L42" s="208">
        <f>VLOOKUP(B42,대학별점수!$B$3:$V$73,7,0)</f>
        <v>6</v>
      </c>
      <c r="M42" s="209">
        <f>VLOOKUP(B42,대학별점수!$B$3:$V$73,8,0)</f>
        <v>6</v>
      </c>
      <c r="N42" s="211">
        <f>VLOOKUP(B42,대학별점수!$B$3:$V$73,9,0)</f>
        <v>5</v>
      </c>
      <c r="O42" s="211">
        <f>VLOOKUP(B42,대학별점수!$B$3:$V$73,19,0)</f>
        <v>0</v>
      </c>
      <c r="P42" s="208">
        <f>VLOOKUP(B42,대학별점수!$B$3:$V$73,18,0)</f>
        <v>0</v>
      </c>
      <c r="Q42" s="209">
        <f>VLOOKUP(B42,대학별점수!$B$3:$V$73,17,0)</f>
        <v>0</v>
      </c>
      <c r="R42" s="211">
        <f>VLOOKUP(B42,대학별점수!$B$3:$V$73,16,0)</f>
        <v>2</v>
      </c>
      <c r="S42" s="211" t="str">
        <f>VLOOKUP(B42,대학별점수!$B$3:$V$73,20,0)</f>
        <v>25.00</v>
      </c>
      <c r="T42" s="211" t="str">
        <f>VLOOKUP(B42,대학별점수!$B$3:$V$73,21,0)</f>
        <v>22.3</v>
      </c>
      <c r="U42" s="212" t="s">
        <v>853</v>
      </c>
    </row>
    <row r="43" spans="1:22" ht="29.25" customHeight="1" thickBot="1">
      <c r="A43" s="174" t="s">
        <v>418</v>
      </c>
      <c r="B43" s="159" t="str">
        <f>대학별점수!B41</f>
        <v>순천향대 스포츠과학</v>
      </c>
      <c r="C43" s="265">
        <f>'내신(여)'!B42</f>
        <v>300</v>
      </c>
      <c r="D43" s="266">
        <f>VLOOKUP(B43,대학별점수!$B$3:$C$74,2,FALSE)</f>
        <v>276</v>
      </c>
      <c r="E43" s="267">
        <f>VLOOKUP(B43,대학별점수!$B$3:$D$74,3,FALSE)</f>
        <v>252</v>
      </c>
      <c r="F43" s="264">
        <f t="shared" si="0"/>
        <v>24</v>
      </c>
      <c r="G43" s="272">
        <f>'실기환산(여)'!AQ2</f>
        <v>688.33333333333337</v>
      </c>
      <c r="H43" s="269">
        <f t="shared" si="1"/>
        <v>988.33333333333337</v>
      </c>
      <c r="I43" s="270">
        <f>VLOOKUP(B43,대학별점수!$B$3:$M$73,4,0)</f>
        <v>962</v>
      </c>
      <c r="J43" s="271">
        <f>VLOOKUP(B43,대학별점수!$B$3:$M$73,5,0)</f>
        <v>952</v>
      </c>
      <c r="K43" s="211">
        <f>VLOOKUP(B43,대학별점수!$B$3:$V$73,6,0)</f>
        <v>16</v>
      </c>
      <c r="L43" s="208">
        <f>VLOOKUP(B43,대학별점수!$B$3:$V$73,7,0)</f>
        <v>16</v>
      </c>
      <c r="M43" s="209">
        <f>VLOOKUP(B43,대학별점수!$B$3:$V$73,8,0)</f>
        <v>17</v>
      </c>
      <c r="N43" s="211">
        <f>VLOOKUP(B43,대학별점수!$B$3:$V$73,9,0)</f>
        <v>17</v>
      </c>
      <c r="O43" s="211">
        <f>VLOOKUP(B43,대학별점수!$B$3:$V$73,19,0)</f>
        <v>7</v>
      </c>
      <c r="P43" s="208">
        <f>VLOOKUP(B43,대학별점수!$B$3:$V$73,18,0)</f>
        <v>13</v>
      </c>
      <c r="Q43" s="209">
        <f>VLOOKUP(B43,대학별점수!$B$3:$V$73,17,0)</f>
        <v>7</v>
      </c>
      <c r="R43" s="211">
        <f>VLOOKUP(B43,대학별점수!$B$3:$V$73,16,0)</f>
        <v>7</v>
      </c>
      <c r="S43" s="211" t="str">
        <f>VLOOKUP(B43,대학별점수!$B$3:$V$73,20,0)</f>
        <v>27.94</v>
      </c>
      <c r="T43" s="211" t="str">
        <f>VLOOKUP(B43,대학별점수!$B$3:$V$73,21,0)</f>
        <v>18.47</v>
      </c>
      <c r="U43" s="210" t="str">
        <f>'상담(남)'!U40</f>
        <v>윗몸폐지 농구신설(45초)</v>
      </c>
    </row>
    <row r="44" spans="1:22" ht="29.25" customHeight="1" thickBot="1">
      <c r="A44" s="174" t="s">
        <v>418</v>
      </c>
      <c r="B44" s="159" t="str">
        <f>대학별점수!B42</f>
        <v>순천향대 스포츠의학</v>
      </c>
      <c r="C44" s="265">
        <f>'내신(여)'!B44</f>
        <v>400</v>
      </c>
      <c r="D44" s="266">
        <f>VLOOKUP(B44,대학별점수!$B$3:$C$74,2,FALSE)</f>
        <v>382</v>
      </c>
      <c r="E44" s="267">
        <f>VLOOKUP(B44,대학별점수!$B$3:$D$74,3,FALSE)</f>
        <v>369</v>
      </c>
      <c r="F44" s="264">
        <f t="shared" si="0"/>
        <v>18</v>
      </c>
      <c r="G44" s="272">
        <f>'실기환산(여)'!AO2</f>
        <v>600</v>
      </c>
      <c r="H44" s="269">
        <f t="shared" si="1"/>
        <v>1000</v>
      </c>
      <c r="I44" s="270">
        <f>VLOOKUP(B44,대학별점수!$B$3:$M$73,4,0)</f>
        <v>976</v>
      </c>
      <c r="J44" s="271">
        <f>VLOOKUP(B44,대학별점수!$B$3:$M$73,5,0)</f>
        <v>969</v>
      </c>
      <c r="K44" s="211">
        <f>VLOOKUP(B44,대학별점수!$B$3:$V$73,6,0)</f>
        <v>13</v>
      </c>
      <c r="L44" s="208">
        <f>VLOOKUP(B44,대학별점수!$B$3:$V$73,7,0)</f>
        <v>13</v>
      </c>
      <c r="M44" s="209">
        <f>VLOOKUP(B44,대학별점수!$B$3:$V$73,8,0)</f>
        <v>12</v>
      </c>
      <c r="N44" s="211">
        <f>VLOOKUP(B44,대학별점수!$B$3:$V$73,9,0)</f>
        <v>15</v>
      </c>
      <c r="O44" s="211">
        <f>VLOOKUP(B44,대학별점수!$B$3:$V$73,19,0)</f>
        <v>27</v>
      </c>
      <c r="P44" s="208">
        <f>VLOOKUP(B44,대학별점수!$B$3:$V$73,18,0)</f>
        <v>19</v>
      </c>
      <c r="Q44" s="209">
        <f>VLOOKUP(B44,대학별점수!$B$3:$V$73,17,0)</f>
        <v>18</v>
      </c>
      <c r="R44" s="211">
        <f>VLOOKUP(B44,대학별점수!$B$3:$V$73,16,0)</f>
        <v>25</v>
      </c>
      <c r="S44" s="211" t="str">
        <f>VLOOKUP(B44,대학별점수!$B$3:$V$73,20,0)</f>
        <v>11.23</v>
      </c>
      <c r="T44" s="211" t="str">
        <f>VLOOKUP(B44,대학별점수!$B$3:$V$73,21,0)</f>
        <v>13.0</v>
      </c>
      <c r="U44" s="210" t="str">
        <f>'상담(남)'!U41</f>
        <v>.</v>
      </c>
    </row>
    <row r="45" spans="1:22" ht="29.25" customHeight="1" thickBot="1">
      <c r="A45" s="174" t="s">
        <v>418</v>
      </c>
      <c r="B45" s="159" t="str">
        <f>대학별점수!B43</f>
        <v>순천향대 스포츠응용산업</v>
      </c>
      <c r="C45" s="265">
        <f>'내신(여)'!B43</f>
        <v>300</v>
      </c>
      <c r="D45" s="266">
        <f>VLOOKUP(B45,대학별점수!$B$3:$C$74,2,FALSE)</f>
        <v>276</v>
      </c>
      <c r="E45" s="267">
        <f>VLOOKUP(B45,대학별점수!$B$3:$D$74,3,FALSE)</f>
        <v>262</v>
      </c>
      <c r="F45" s="264">
        <f t="shared" si="0"/>
        <v>24</v>
      </c>
      <c r="G45" s="272">
        <f>'실기환산(여)'!AP2</f>
        <v>700</v>
      </c>
      <c r="H45" s="269">
        <f t="shared" si="1"/>
        <v>1000</v>
      </c>
      <c r="I45" s="270">
        <f>VLOOKUP(B45,대학별점수!$B$3:$M$73,4,0)</f>
        <v>968</v>
      </c>
      <c r="J45" s="271">
        <f>VLOOKUP(B45,대학별점수!$B$3:$M$73,5,0)</f>
        <v>962</v>
      </c>
      <c r="K45" s="211">
        <f>VLOOKUP(B45,대학별점수!$B$3:$V$73,6,0)</f>
        <v>20</v>
      </c>
      <c r="L45" s="208">
        <f>VLOOKUP(B45,대학별점수!$B$3:$V$73,7,0)</f>
        <v>20</v>
      </c>
      <c r="M45" s="209">
        <f>VLOOKUP(B45,대학별점수!$B$3:$V$73,8,0)</f>
        <v>19</v>
      </c>
      <c r="N45" s="211">
        <f>VLOOKUP(B45,대학별점수!$B$3:$V$73,9,0)</f>
        <v>19</v>
      </c>
      <c r="O45" s="211">
        <f>VLOOKUP(B45,대학별점수!$B$3:$V$73,19,0)</f>
        <v>6</v>
      </c>
      <c r="P45" s="208">
        <f>VLOOKUP(B45,대학별점수!$B$3:$V$73,18,0)</f>
        <v>26</v>
      </c>
      <c r="Q45" s="209">
        <f>VLOOKUP(B45,대학별점수!$B$3:$V$73,17,0)</f>
        <v>26</v>
      </c>
      <c r="R45" s="211">
        <f>VLOOKUP(B45,대학별점수!$B$3:$V$73,16,0)</f>
        <v>20</v>
      </c>
      <c r="S45" s="211" t="str">
        <f>VLOOKUP(B45,대학별점수!$B$3:$V$73,20,0)</f>
        <v>21.60</v>
      </c>
      <c r="T45" s="211" t="str">
        <f>VLOOKUP(B45,대학별점수!$B$3:$V$73,21,0)</f>
        <v>22.63</v>
      </c>
      <c r="U45" s="210" t="str">
        <f>'상담(남)'!U42</f>
        <v>학과명 변경</v>
      </c>
    </row>
    <row r="46" spans="1:22" s="9" customFormat="1" ht="29.25" customHeight="1" thickBot="1">
      <c r="A46" s="174" t="s">
        <v>421</v>
      </c>
      <c r="B46" s="159" t="str">
        <f>대학별점수!B44</f>
        <v>안양대 스포츠과학</v>
      </c>
      <c r="C46" s="265">
        <f>'내신(여)'!B45</f>
        <v>350</v>
      </c>
      <c r="D46" s="266">
        <f>VLOOKUP(B46,대학별점수!$B$3:$C$74,2,FALSE)</f>
        <v>282</v>
      </c>
      <c r="E46" s="267">
        <f>VLOOKUP(B46,대학별점수!$B$3:$D$74,3,FALSE)</f>
        <v>230</v>
      </c>
      <c r="F46" s="264">
        <f t="shared" si="0"/>
        <v>68</v>
      </c>
      <c r="G46" s="272">
        <f>'실기환산(여)'!AR2</f>
        <v>600</v>
      </c>
      <c r="H46" s="269">
        <f t="shared" si="1"/>
        <v>950</v>
      </c>
      <c r="I46" s="270">
        <f>VLOOKUP(B46,대학별점수!$B$3:$M$73,4,0)</f>
        <v>852</v>
      </c>
      <c r="J46" s="271">
        <f>VLOOKUP(B46,대학별점수!$B$3:$M$73,5,0)</f>
        <v>830</v>
      </c>
      <c r="K46" s="211">
        <f>VLOOKUP(B46,대학별점수!$B$3:$V$73,6,0)</f>
        <v>10</v>
      </c>
      <c r="L46" s="208">
        <f>VLOOKUP(B46,대학별점수!$B$3:$V$73,7,0)</f>
        <v>7</v>
      </c>
      <c r="M46" s="209">
        <f>VLOOKUP(B46,대학별점수!$B$3:$V$73,8,0)</f>
        <v>14</v>
      </c>
      <c r="N46" s="211">
        <f>VLOOKUP(B46,대학별점수!$B$3:$V$73,9,0)</f>
        <v>12</v>
      </c>
      <c r="O46" s="211">
        <f>VLOOKUP(B46,대학별점수!$B$3:$V$73,19,0)</f>
        <v>27</v>
      </c>
      <c r="P46" s="208">
        <f>VLOOKUP(B46,대학별점수!$B$3:$V$73,18,0)</f>
        <v>42</v>
      </c>
      <c r="Q46" s="209">
        <f>VLOOKUP(B46,대학별점수!$B$3:$V$73,17,0)</f>
        <v>20</v>
      </c>
      <c r="R46" s="211">
        <f>VLOOKUP(B46,대학별점수!$B$3:$V$73,16,0)</f>
        <v>64</v>
      </c>
      <c r="S46" s="211" t="str">
        <f>VLOOKUP(B46,대학별점수!$B$3:$V$73,20,0)</f>
        <v>7.57</v>
      </c>
      <c r="T46" s="211" t="str">
        <f>VLOOKUP(B46,대학별점수!$B$3:$V$73,21,0)</f>
        <v>5.36</v>
      </c>
      <c r="U46" s="210" t="str">
        <f>'상담(남)'!U43</f>
        <v>.</v>
      </c>
      <c r="V46" s="10"/>
    </row>
    <row r="47" spans="1:22" s="6" customFormat="1" ht="29.25" customHeight="1" thickBot="1">
      <c r="A47" s="174" t="s">
        <v>421</v>
      </c>
      <c r="B47" s="159" t="str">
        <f>대학별점수!B45</f>
        <v>안양대 스포츠응용산업</v>
      </c>
      <c r="C47" s="265">
        <f>'내신(여)'!B46</f>
        <v>368</v>
      </c>
      <c r="D47" s="266">
        <f>VLOOKUP(B47,대학별점수!$B$3:$C$74,2,FALSE)</f>
        <v>0</v>
      </c>
      <c r="E47" s="267">
        <f>VLOOKUP(B47,대학별점수!$B$3:$D$74,3,FALSE)</f>
        <v>0</v>
      </c>
      <c r="F47" s="264">
        <f t="shared" si="0"/>
        <v>368</v>
      </c>
      <c r="G47" s="272">
        <f>'실기환산(여)'!AS2</f>
        <v>600</v>
      </c>
      <c r="H47" s="269">
        <f t="shared" si="1"/>
        <v>968</v>
      </c>
      <c r="I47" s="270">
        <f>VLOOKUP(B47,대학별점수!$B$3:$M$73,4,0)</f>
        <v>800</v>
      </c>
      <c r="J47" s="271">
        <f>VLOOKUP(B47,대학별점수!$B$3:$M$73,5,0)</f>
        <v>730</v>
      </c>
      <c r="K47" s="211" t="str">
        <f>VLOOKUP(B47,대학별점수!$B$3:$V$73,6,0)</f>
        <v>일반학생선발</v>
      </c>
      <c r="L47" s="208">
        <f>VLOOKUP(B47,대학별점수!$B$3:$V$73,7,0)</f>
        <v>4</v>
      </c>
      <c r="M47" s="209">
        <f>VLOOKUP(B47,대학별점수!$B$3:$V$73,8,0)</f>
        <v>16</v>
      </c>
      <c r="N47" s="211">
        <f>VLOOKUP(B47,대학별점수!$B$3:$V$73,9,0)</f>
        <v>0</v>
      </c>
      <c r="O47" s="211">
        <f>VLOOKUP(B47,대학별점수!$B$3:$V$73,19,0)</f>
        <v>3</v>
      </c>
      <c r="P47" s="208" t="str">
        <f>VLOOKUP(B47,대학별점수!$B$3:$V$73,18,0)</f>
        <v>-</v>
      </c>
      <c r="Q47" s="209" t="str">
        <f>VLOOKUP(B47,대학별점수!$B$3:$V$73,17,0)</f>
        <v>24신설</v>
      </c>
      <c r="R47" s="211">
        <f>VLOOKUP(B47,대학별점수!$B$3:$V$73,16,0)</f>
        <v>0</v>
      </c>
      <c r="S47" s="211" t="str">
        <f>VLOOKUP(B47,대학별점수!$B$3:$V$73,20,0)</f>
        <v>7.00</v>
      </c>
      <c r="T47" s="211" t="str">
        <f>VLOOKUP(B47,대학별점수!$B$3:$V$73,21,0)</f>
        <v>3.25</v>
      </c>
      <c r="U47" s="210" t="str">
        <f>'상담(남)'!U44</f>
        <v>학과명 변경</v>
      </c>
    </row>
    <row r="48" spans="1:22" s="292" customFormat="1" ht="29.25" customHeight="1" thickBot="1">
      <c r="A48" s="174" t="s">
        <v>421</v>
      </c>
      <c r="B48" s="159" t="s">
        <v>40</v>
      </c>
      <c r="C48" s="265">
        <f>'내신(여)'!B47</f>
        <v>0</v>
      </c>
      <c r="D48" s="266">
        <f>VLOOKUP(B48,대학별점수!$B$3:$C$74,2,FALSE)</f>
        <v>322</v>
      </c>
      <c r="E48" s="267">
        <f>VLOOKUP(B48,대학별점수!$B$3:$D$74,3,FALSE)</f>
        <v>250</v>
      </c>
      <c r="F48" s="264">
        <f>C48-D48</f>
        <v>-322</v>
      </c>
      <c r="G48" s="272">
        <f>'실기환산(여)'!AR2</f>
        <v>600</v>
      </c>
      <c r="H48" s="269">
        <f>C48+G48</f>
        <v>600</v>
      </c>
      <c r="I48" s="270">
        <f>VLOOKUP(B48,대학별점수!$B$3:$M$73,4,0)</f>
        <v>904</v>
      </c>
      <c r="J48" s="271">
        <f>VLOOKUP(B48,대학별점수!$B$3:$M$73,5,0)</f>
        <v>850</v>
      </c>
      <c r="K48" s="211">
        <f>VLOOKUP(B48,대학별점수!$B$3:$V$73,6,0)</f>
        <v>15</v>
      </c>
      <c r="L48" s="208">
        <f>VLOOKUP(B48,대학별점수!$B$3:$V$73,7,0)</f>
        <v>15</v>
      </c>
      <c r="M48" s="209">
        <f>VLOOKUP(B48,대학별점수!$B$3:$V$73,8,0)</f>
        <v>0</v>
      </c>
      <c r="N48" s="211">
        <f>VLOOKUP(B48,대학별점수!$B$3:$V$73,9,0)</f>
        <v>0</v>
      </c>
      <c r="O48" s="211">
        <f>VLOOKUP(B48,대학별점수!$B$3:$V$73,19,0)</f>
        <v>24</v>
      </c>
      <c r="P48" s="208" t="str">
        <f>VLOOKUP(B48,대학별점수!$B$3:$V$73,18,0)</f>
        <v>25신설</v>
      </c>
      <c r="Q48" s="209">
        <f>VLOOKUP(B48,대학별점수!$B$3:$V$73,17,0)</f>
        <v>0</v>
      </c>
      <c r="R48" s="211">
        <f>VLOOKUP(B48,대학별점수!$B$3:$V$73,16,0)</f>
        <v>0</v>
      </c>
      <c r="S48" s="211" t="str">
        <f>VLOOKUP(B48,대학별점수!$B$3:$V$73,20,0)</f>
        <v>6.60</v>
      </c>
      <c r="T48" s="211">
        <f>VLOOKUP(B48,대학별점수!$B$3:$V$73,21,0)</f>
        <v>0</v>
      </c>
      <c r="U48" s="210"/>
    </row>
    <row r="49" spans="1:22" ht="29.25" customHeight="1" thickBot="1">
      <c r="A49" s="174" t="s">
        <v>425</v>
      </c>
      <c r="B49" s="159" t="str">
        <f>대학별점수!B47</f>
        <v>용인대 스포츠레저</v>
      </c>
      <c r="C49" s="265">
        <f>'내신(여)'!B48</f>
        <v>198</v>
      </c>
      <c r="D49" s="266">
        <f>VLOOKUP(B49,대학별점수!$B$3:$C$74,2,FALSE)</f>
        <v>138.5</v>
      </c>
      <c r="E49" s="267">
        <f>VLOOKUP(B49,대학별점수!$B$3:$D$74,3,FALSE)</f>
        <v>131</v>
      </c>
      <c r="F49" s="264">
        <f t="shared" si="0"/>
        <v>59.5</v>
      </c>
      <c r="G49" s="272">
        <f>'실기환산(여)'!AU2</f>
        <v>350</v>
      </c>
      <c r="H49" s="269">
        <f t="shared" si="1"/>
        <v>548</v>
      </c>
      <c r="I49" s="270">
        <f>VLOOKUP(B49,대학별점수!$B$3:$M$73,4,0)</f>
        <v>483.5</v>
      </c>
      <c r="J49" s="271">
        <f>VLOOKUP(B49,대학별점수!$B$3:$M$73,5,0)</f>
        <v>476</v>
      </c>
      <c r="K49" s="211">
        <f>VLOOKUP(B49,대학별점수!$B$3:$V$73,6,0)</f>
        <v>8</v>
      </c>
      <c r="L49" s="208">
        <f>VLOOKUP(B49,대학별점수!$B$3:$V$73,7,0)</f>
        <v>9</v>
      </c>
      <c r="M49" s="209">
        <f>VLOOKUP(B49,대학별점수!$B$3:$V$73,8,0)</f>
        <v>16</v>
      </c>
      <c r="N49" s="211">
        <f>VLOOKUP(B49,대학별점수!$B$3:$V$73,9,0)</f>
        <v>15</v>
      </c>
      <c r="O49" s="211">
        <f>VLOOKUP(B49,대학별점수!$B$3:$V$73,19,0)</f>
        <v>1</v>
      </c>
      <c r="P49" s="208">
        <f>VLOOKUP(B49,대학별점수!$B$3:$V$73,18,0)</f>
        <v>16</v>
      </c>
      <c r="Q49" s="209">
        <f>VLOOKUP(B49,대학별점수!$B$3:$V$73,17,0)</f>
        <v>23</v>
      </c>
      <c r="R49" s="211">
        <f>VLOOKUP(B49,대학별점수!$B$3:$V$73,16,0)</f>
        <v>9</v>
      </c>
      <c r="S49" s="211" t="str">
        <f>VLOOKUP(B49,대학별점수!$B$3:$V$73,20,0)</f>
        <v>33.56</v>
      </c>
      <c r="T49" s="211" t="str">
        <f>VLOOKUP(B49,대학별점수!$B$3:$V$73,21,0)</f>
        <v>13.0</v>
      </c>
      <c r="U49" s="210" t="str">
        <f>'상담(남)'!U46</f>
        <v>.</v>
      </c>
    </row>
    <row r="50" spans="1:22" ht="29.25" customHeight="1" thickBot="1">
      <c r="A50" s="174" t="s">
        <v>425</v>
      </c>
      <c r="B50" s="159" t="str">
        <f>대학별점수!B48</f>
        <v>용인대 특수체육교육</v>
      </c>
      <c r="C50" s="265">
        <f>'내신(여)'!B49</f>
        <v>192</v>
      </c>
      <c r="D50" s="266">
        <f>VLOOKUP(B50,대학별점수!$B$3:$C$74,2,FALSE)</f>
        <v>142.5</v>
      </c>
      <c r="E50" s="267">
        <f>VLOOKUP(B50,대학별점수!$B$3:$D$74,3,FALSE)</f>
        <v>140.69999999999999</v>
      </c>
      <c r="F50" s="264">
        <f t="shared" si="0"/>
        <v>49.5</v>
      </c>
      <c r="G50" s="272">
        <f>'실기환산(여)'!AT2</f>
        <v>350</v>
      </c>
      <c r="H50" s="269">
        <f t="shared" si="1"/>
        <v>542</v>
      </c>
      <c r="I50" s="270">
        <f>VLOOKUP(B50,대학별점수!$B$3:$M$73,4,0)</f>
        <v>492.5</v>
      </c>
      <c r="J50" s="271">
        <f>VLOOKUP(B50,대학별점수!$B$3:$M$73,5,0)</f>
        <v>490.7</v>
      </c>
      <c r="K50" s="211">
        <f>VLOOKUP(B50,대학별점수!$B$3:$V$73,6,0)</f>
        <v>12</v>
      </c>
      <c r="L50" s="208">
        <f>VLOOKUP(B50,대학별점수!$B$3:$V$73,7,0)</f>
        <v>12</v>
      </c>
      <c r="M50" s="209">
        <f>VLOOKUP(B50,대학별점수!$B$3:$V$73,8,0)</f>
        <v>12</v>
      </c>
      <c r="N50" s="211">
        <f>VLOOKUP(B50,대학별점수!$B$3:$V$73,9,0)</f>
        <v>13</v>
      </c>
      <c r="O50" s="211">
        <f>VLOOKUP(B50,대학별점수!$B$3:$V$73,19,0)</f>
        <v>15</v>
      </c>
      <c r="P50" s="208">
        <f>VLOOKUP(B50,대학별점수!$B$3:$V$73,18,0)</f>
        <v>14</v>
      </c>
      <c r="Q50" s="209">
        <f>VLOOKUP(B50,대학별점수!$B$3:$V$73,17,0)</f>
        <v>19</v>
      </c>
      <c r="R50" s="211">
        <f>VLOOKUP(B50,대학별점수!$B$3:$V$73,16,0)</f>
        <v>22</v>
      </c>
      <c r="S50" s="211" t="str">
        <f>VLOOKUP(B50,대학별점수!$B$3:$V$73,20,0)</f>
        <v>19.17</v>
      </c>
      <c r="T50" s="211" t="str">
        <f>VLOOKUP(B50,대학별점수!$B$3:$V$73,21,0)</f>
        <v>16.0</v>
      </c>
      <c r="U50" s="210" t="str">
        <f>'상담(남)'!U47</f>
        <v>.</v>
      </c>
    </row>
    <row r="51" spans="1:22" s="5" customFormat="1" ht="29.25" customHeight="1" thickBot="1">
      <c r="A51" s="174" t="s">
        <v>425</v>
      </c>
      <c r="B51" s="159" t="s">
        <v>8</v>
      </c>
      <c r="C51" s="265">
        <f>'내신(여)'!B50</f>
        <v>0</v>
      </c>
      <c r="D51" s="266">
        <f>VLOOKUP(B51,대학별점수!$B$3:$C$74,2,FALSE)</f>
        <v>139.5</v>
      </c>
      <c r="E51" s="267">
        <f>VLOOKUP(B51,대학별점수!$B$3:$D$74,3,FALSE)</f>
        <v>137</v>
      </c>
      <c r="F51" s="264">
        <f t="shared" si="0"/>
        <v>-139.5</v>
      </c>
      <c r="G51" s="272">
        <f>'실기환산(여)'!AV2</f>
        <v>350</v>
      </c>
      <c r="H51" s="269">
        <f>C51+G51</f>
        <v>350</v>
      </c>
      <c r="I51" s="270">
        <f>VLOOKUP(B51,대학별점수!$B$3:$M$73,4,0)</f>
        <v>484.5</v>
      </c>
      <c r="J51" s="271">
        <f>VLOOKUP(B51,대학별점수!$B$3:$M$73,5,0)</f>
        <v>482</v>
      </c>
      <c r="K51" s="211">
        <f>VLOOKUP(B51,대학별점수!$B$3:$V$73,6,0)</f>
        <v>13</v>
      </c>
      <c r="L51" s="208">
        <f>VLOOKUP(B51,대학별점수!$B$3:$V$73,7,0)</f>
        <v>12</v>
      </c>
      <c r="M51" s="209">
        <f>VLOOKUP(B51,대학별점수!$B$3:$V$73,8,0)</f>
        <v>0</v>
      </c>
      <c r="N51" s="211">
        <f>VLOOKUP(B51,대학별점수!$B$3:$V$73,9,0)</f>
        <v>0</v>
      </c>
      <c r="O51" s="211">
        <f>VLOOKUP(B51,대학별점수!$B$3:$V$73,19,0)</f>
        <v>16</v>
      </c>
      <c r="P51" s="208" t="str">
        <f>VLOOKUP(B51,대학별점수!$B$3:$V$73,18,0)</f>
        <v>25신설</v>
      </c>
      <c r="Q51" s="209">
        <f>VLOOKUP(B51,대학별점수!$B$3:$V$73,17,0)</f>
        <v>0</v>
      </c>
      <c r="R51" s="211">
        <f>VLOOKUP(B51,대학별점수!$B$3:$V$73,16,0)</f>
        <v>0</v>
      </c>
      <c r="S51" s="211" t="str">
        <f>VLOOKUP(B51,대학별점수!$B$3:$V$73,20,0)</f>
        <v>40.25</v>
      </c>
      <c r="T51" s="211">
        <f>VLOOKUP(B51,대학별점수!$B$3:$V$73,21,0)</f>
        <v>0</v>
      </c>
      <c r="U51" s="210"/>
      <c r="V51" s="292"/>
    </row>
    <row r="52" spans="1:22" ht="29.25" customHeight="1" thickBot="1">
      <c r="A52" s="174" t="s">
        <v>423</v>
      </c>
      <c r="B52" s="159" t="str">
        <f>대학별점수!B50</f>
        <v>원광대 스포츠과학</v>
      </c>
      <c r="C52" s="265">
        <f>'내신(여)'!B51</f>
        <v>524</v>
      </c>
      <c r="D52" s="266">
        <f>VLOOKUP(B52,대학별점수!$B$3:$C$74,2,FALSE)</f>
        <v>540</v>
      </c>
      <c r="E52" s="267">
        <f>VLOOKUP(B52,대학별점수!$B$3:$D$74,3,FALSE)</f>
        <v>530</v>
      </c>
      <c r="F52" s="264">
        <f t="shared" si="0"/>
        <v>-16</v>
      </c>
      <c r="G52" s="272">
        <f>'실기환산(여)'!AW2</f>
        <v>1000</v>
      </c>
      <c r="H52" s="269">
        <f t="shared" si="1"/>
        <v>1524</v>
      </c>
      <c r="I52" s="270">
        <f>VLOOKUP(B52,대학별점수!$B$3:$M$73,4,0)</f>
        <v>1455</v>
      </c>
      <c r="J52" s="271">
        <f>VLOOKUP(B52,대학별점수!$B$3:$M$73,5,0)</f>
        <v>1354</v>
      </c>
      <c r="K52" s="211">
        <f>VLOOKUP(B52,대학별점수!$B$3:$V$73,6,0)</f>
        <v>45</v>
      </c>
      <c r="L52" s="208">
        <f>VLOOKUP(B52,대학별점수!$B$3:$V$73,7,0)</f>
        <v>45</v>
      </c>
      <c r="M52" s="209">
        <f>VLOOKUP(B52,대학별점수!$B$3:$V$73,8,0)</f>
        <v>53</v>
      </c>
      <c r="N52" s="211">
        <f>VLOOKUP(B52,대학별점수!$B$3:$V$73,9,0)</f>
        <v>53</v>
      </c>
      <c r="O52" s="211">
        <f>VLOOKUP(B52,대학별점수!$B$3:$V$73,19,0)</f>
        <v>67</v>
      </c>
      <c r="P52" s="208">
        <f>VLOOKUP(B52,대학별점수!$B$3:$V$73,18,0)</f>
        <v>115</v>
      </c>
      <c r="Q52" s="209">
        <f>VLOOKUP(B52,대학별점수!$B$3:$V$73,17,0)</f>
        <v>106</v>
      </c>
      <c r="R52" s="211">
        <f>VLOOKUP(B52,대학별점수!$B$3:$V$73,16,0)</f>
        <v>61</v>
      </c>
      <c r="S52" s="211" t="str">
        <f>VLOOKUP(B52,대학별점수!$B$3:$V$73,20,0)</f>
        <v>4.11</v>
      </c>
      <c r="T52" s="211" t="str">
        <f>VLOOKUP(B52,대학별점수!$B$3:$V$73,21,0)</f>
        <v>4.02</v>
      </c>
      <c r="U52" s="210" t="str">
        <f>'상담(남)'!U49</f>
        <v>교과점수 반영 변경 자연 상승발생</v>
      </c>
    </row>
    <row r="53" spans="1:22" ht="29.25" customHeight="1" thickBot="1">
      <c r="A53" s="174" t="s">
        <v>423</v>
      </c>
      <c r="B53" s="207" t="str">
        <f>대학별점수!B51</f>
        <v>원광대 체육교육</v>
      </c>
      <c r="C53" s="265">
        <f>'내신(여)'!B52</f>
        <v>582</v>
      </c>
      <c r="D53" s="266">
        <f>VLOOKUP(B53,대학별점수!$B$3:$C$74,2,FALSE)</f>
        <v>582.5</v>
      </c>
      <c r="E53" s="267">
        <f>VLOOKUP(B53,대학별점수!$B$3:$D$74,3,FALSE)</f>
        <v>530</v>
      </c>
      <c r="F53" s="264">
        <f t="shared" si="0"/>
        <v>-0.5</v>
      </c>
      <c r="G53" s="272">
        <f>'실기환산(여)'!AX2</f>
        <v>1000</v>
      </c>
      <c r="H53" s="269">
        <f t="shared" si="1"/>
        <v>1582</v>
      </c>
      <c r="I53" s="270">
        <f>VLOOKUP(B53,대학별점수!$B$3:$M$73,4,0)</f>
        <v>1450</v>
      </c>
      <c r="J53" s="271">
        <f>VLOOKUP(B53,대학별점수!$B$3:$M$73,5,0)</f>
        <v>1250</v>
      </c>
      <c r="K53" s="211">
        <f>VLOOKUP(B53,대학별점수!$B$3:$V$73,6,0)</f>
        <v>18</v>
      </c>
      <c r="L53" s="208">
        <f>VLOOKUP(B53,대학별점수!$B$3:$V$73,7,0)</f>
        <v>18</v>
      </c>
      <c r="M53" s="209">
        <f>VLOOKUP(B53,대학별점수!$B$3:$V$73,8,0)</f>
        <v>18</v>
      </c>
      <c r="N53" s="211">
        <f>VLOOKUP(B53,대학별점수!$B$3:$V$73,9,0)</f>
        <v>18</v>
      </c>
      <c r="O53" s="211">
        <f>VLOOKUP(B53,대학별점수!$B$3:$V$73,19,0)</f>
        <v>9</v>
      </c>
      <c r="P53" s="208">
        <f>VLOOKUP(B53,대학별점수!$B$3:$V$73,18,0)</f>
        <v>10</v>
      </c>
      <c r="Q53" s="209">
        <f>VLOOKUP(B53,대학별점수!$B$3:$V$73,17,0)</f>
        <v>4</v>
      </c>
      <c r="R53" s="211">
        <f>VLOOKUP(B53,대학별점수!$B$3:$V$73,16,0)</f>
        <v>4</v>
      </c>
      <c r="S53" s="211" t="str">
        <f>VLOOKUP(B53,대학별점수!$B$3:$V$73,20,0)</f>
        <v>16.44</v>
      </c>
      <c r="T53" s="211" t="str">
        <f>VLOOKUP(B53,대학별점수!$B$3:$V$73,21,0)</f>
        <v>15.56</v>
      </c>
      <c r="U53" s="210" t="str">
        <f>'상담(남)'!U50</f>
        <v>교과점수 반영 변경 자연 상승발생</v>
      </c>
    </row>
    <row r="54" spans="1:22" ht="29.25" customHeight="1" thickBot="1">
      <c r="A54" s="399" t="s">
        <v>425</v>
      </c>
      <c r="B54" s="355" t="str">
        <f>대학별점수!B52</f>
        <v>을지대 스포츠아웃도어</v>
      </c>
      <c r="C54" s="333">
        <f>'내신(여)'!B53</f>
        <v>300</v>
      </c>
      <c r="D54" s="334">
        <f>VLOOKUP(B54,대학별점수!$B$3:$C$74,2,FALSE)</f>
        <v>255.7</v>
      </c>
      <c r="E54" s="335">
        <f>VLOOKUP(B54,대학별점수!$B$3:$D$74,3,FALSE)</f>
        <v>185.1</v>
      </c>
      <c r="F54" s="336">
        <f t="shared" si="0"/>
        <v>44.300000000000011</v>
      </c>
      <c r="G54" s="337">
        <f>'실기환산(여)'!AY2</f>
        <v>700</v>
      </c>
      <c r="H54" s="338">
        <f t="shared" si="1"/>
        <v>1000</v>
      </c>
      <c r="I54" s="339">
        <f>VLOOKUP(B54,대학별점수!$B$3:$M$73,4,0)</f>
        <v>916</v>
      </c>
      <c r="J54" s="340">
        <f>VLOOKUP(B54,대학별점수!$B$3:$M$73,5,0)</f>
        <v>892</v>
      </c>
      <c r="K54" s="211" t="str">
        <f>VLOOKUP(B54,대학별점수!$B$3:$V$73,6,0)</f>
        <v>-</v>
      </c>
      <c r="L54" s="208">
        <f>VLOOKUP(B54,대학별점수!$B$3:$V$73,7,0)</f>
        <v>0</v>
      </c>
      <c r="M54" s="209">
        <f>VLOOKUP(B54,대학별점수!$B$3:$V$73,8,0)</f>
        <v>25</v>
      </c>
      <c r="N54" s="211">
        <f>VLOOKUP(B54,대학별점수!$B$3:$V$73,9,0)</f>
        <v>27</v>
      </c>
      <c r="O54" s="211">
        <f>VLOOKUP(B54,대학별점수!$B$3:$V$73,19,0)</f>
        <v>0</v>
      </c>
      <c r="P54" s="208">
        <f>VLOOKUP(B54,대학별점수!$B$3:$V$73,18,0)</f>
        <v>0</v>
      </c>
      <c r="Q54" s="209">
        <f>VLOOKUP(B54,대학별점수!$B$3:$V$73,17,0)</f>
        <v>26</v>
      </c>
      <c r="R54" s="211">
        <f>VLOOKUP(B54,대학별점수!$B$3:$V$73,16,0)</f>
        <v>27</v>
      </c>
      <c r="S54" s="211">
        <f>VLOOKUP(B54,대학별점수!$B$3:$V$73,20,0)</f>
        <v>0</v>
      </c>
      <c r="T54" s="211">
        <f>VLOOKUP(B54,대학별점수!$B$3:$V$73,21,0)</f>
        <v>0</v>
      </c>
      <c r="U54" s="210" t="str">
        <f>'상담(남)'!U51</f>
        <v>폐지</v>
      </c>
    </row>
    <row r="55" spans="1:22" ht="29.25" customHeight="1" thickBot="1">
      <c r="A55" s="174" t="s">
        <v>421</v>
      </c>
      <c r="B55" s="159" t="str">
        <f>대학별점수!B53</f>
        <v>인천대 운동건강</v>
      </c>
      <c r="C55" s="265">
        <f>'내신(여)'!B54</f>
        <v>200</v>
      </c>
      <c r="D55" s="266">
        <f>VLOOKUP(B55,대학별점수!$B$3:$C$74,2,FALSE)</f>
        <v>194.6</v>
      </c>
      <c r="E55" s="267">
        <f>VLOOKUP(B55,대학별점수!$B$3:$D$74,3,FALSE)</f>
        <v>190.1</v>
      </c>
      <c r="F55" s="264">
        <f t="shared" si="0"/>
        <v>5.4000000000000057</v>
      </c>
      <c r="G55" s="272">
        <f>'실기환산(여)'!AZ2</f>
        <v>200</v>
      </c>
      <c r="H55" s="269">
        <f t="shared" si="1"/>
        <v>400</v>
      </c>
      <c r="I55" s="270">
        <f>VLOOKUP(B55,대학별점수!$B$3:$M$73,4,0)</f>
        <v>487.6</v>
      </c>
      <c r="J55" s="271">
        <f>VLOOKUP(B55,대학별점수!$B$3:$M$73,5,0)</f>
        <v>483.1</v>
      </c>
      <c r="K55" s="211">
        <f>VLOOKUP(B55,대학별점수!$B$3:$V$73,6,0)</f>
        <v>20</v>
      </c>
      <c r="L55" s="208">
        <f>VLOOKUP(B55,대학별점수!$B$3:$V$73,7,0)</f>
        <v>20</v>
      </c>
      <c r="M55" s="209">
        <f>VLOOKUP(B55,대학별점수!$B$3:$V$73,8,0)</f>
        <v>20</v>
      </c>
      <c r="N55" s="211">
        <f>VLOOKUP(B55,대학별점수!$B$3:$V$73,9,0)</f>
        <v>24</v>
      </c>
      <c r="O55" s="211">
        <f>VLOOKUP(B55,대학별점수!$B$3:$V$73,19,0)</f>
        <v>1</v>
      </c>
      <c r="P55" s="208">
        <f>VLOOKUP(B55,대학별점수!$B$3:$V$73,18,0)</f>
        <v>4</v>
      </c>
      <c r="Q55" s="209">
        <f>VLOOKUP(B55,대학별점수!$B$3:$V$73,17,0)</f>
        <v>7</v>
      </c>
      <c r="R55" s="211">
        <f>VLOOKUP(B55,대학별점수!$B$3:$V$73,16,0)</f>
        <v>5</v>
      </c>
      <c r="S55" s="211" t="str">
        <f>VLOOKUP(B55,대학별점수!$B$3:$V$73,20,0)</f>
        <v>16.05</v>
      </c>
      <c r="T55" s="211" t="str">
        <f>VLOOKUP(B55,대학별점수!$B$3:$V$73,21,0)</f>
        <v>18.35</v>
      </c>
      <c r="U55" s="210" t="str">
        <f>'상담(남)'!U52</f>
        <v>.</v>
      </c>
    </row>
    <row r="56" spans="1:22" ht="29.25" customHeight="1" thickBot="1">
      <c r="A56" s="174" t="s">
        <v>421</v>
      </c>
      <c r="B56" s="159" t="str">
        <f>대학별점수!B54</f>
        <v>인천대 스포츠과학</v>
      </c>
      <c r="C56" s="265">
        <f>'내신(여)'!B55</f>
        <v>200</v>
      </c>
      <c r="D56" s="266">
        <f>VLOOKUP(B56,대학별점수!$B$3:$C$74,2,FALSE)</f>
        <v>195.4</v>
      </c>
      <c r="E56" s="267">
        <f>VLOOKUP(B56,대학별점수!$B$3:$D$74,3,FALSE)</f>
        <v>192.1</v>
      </c>
      <c r="F56" s="264">
        <f t="shared" si="0"/>
        <v>4.5999999999999943</v>
      </c>
      <c r="G56" s="272">
        <f>'실기환산(여)'!BB2</f>
        <v>300</v>
      </c>
      <c r="H56" s="269">
        <f t="shared" si="1"/>
        <v>500</v>
      </c>
      <c r="I56" s="270">
        <f>VLOOKUP(B56,대학별점수!$B$3:$M$73,4,0)</f>
        <v>488.4</v>
      </c>
      <c r="J56" s="271">
        <f>VLOOKUP(B56,대학별점수!$B$3:$M$73,5,0)</f>
        <v>485.1</v>
      </c>
      <c r="K56" s="211">
        <f>VLOOKUP(B56,대학별점수!$B$3:$V$73,6,0)</f>
        <v>27</v>
      </c>
      <c r="L56" s="208">
        <f>VLOOKUP(B56,대학별점수!$B$3:$V$73,7,0)</f>
        <v>27</v>
      </c>
      <c r="M56" s="209">
        <f>VLOOKUP(B56,대학별점수!$B$3:$V$73,8,0)</f>
        <v>27</v>
      </c>
      <c r="N56" s="211">
        <f>VLOOKUP(B56,대학별점수!$B$3:$V$73,9,0)</f>
        <v>27</v>
      </c>
      <c r="O56" s="211">
        <f>VLOOKUP(B56,대학별점수!$B$3:$V$73,19,0)</f>
        <v>4</v>
      </c>
      <c r="P56" s="208">
        <f>VLOOKUP(B56,대학별점수!$B$3:$V$73,18,0)</f>
        <v>3</v>
      </c>
      <c r="Q56" s="209">
        <f>VLOOKUP(B56,대학별점수!$B$3:$V$73,17,0)</f>
        <v>3</v>
      </c>
      <c r="R56" s="211">
        <f>VLOOKUP(B56,대학별점수!$B$3:$V$73,16,0)</f>
        <v>6</v>
      </c>
      <c r="S56" s="211" t="str">
        <f>VLOOKUP(B56,대학별점수!$B$3:$V$73,20,0)</f>
        <v>7.74</v>
      </c>
      <c r="T56" s="211" t="str">
        <f>VLOOKUP(B56,대학별점수!$B$3:$V$73,21,0)</f>
        <v>8.37</v>
      </c>
      <c r="U56" s="210" t="str">
        <f>'상담(남)'!U53</f>
        <v>.</v>
      </c>
    </row>
    <row r="57" spans="1:22" ht="29.25" customHeight="1" thickBot="1">
      <c r="A57" s="174" t="s">
        <v>421</v>
      </c>
      <c r="B57" s="159" t="str">
        <f>대학별점수!B55</f>
        <v>인천대 체육교육</v>
      </c>
      <c r="C57" s="265">
        <f>'내신(여)'!B56</f>
        <v>200</v>
      </c>
      <c r="D57" s="266">
        <f>VLOOKUP(B57,대학별점수!$B$3:$C$74,2,FALSE)</f>
        <v>198.4</v>
      </c>
      <c r="E57" s="267">
        <f>VLOOKUP(B57,대학별점수!$B$3:$D$74,3,FALSE)</f>
        <v>197.1</v>
      </c>
      <c r="F57" s="264">
        <f t="shared" si="0"/>
        <v>1.5999999999999943</v>
      </c>
      <c r="G57" s="272">
        <f>'실기환산(여)'!BA2</f>
        <v>300</v>
      </c>
      <c r="H57" s="269">
        <f t="shared" si="1"/>
        <v>500</v>
      </c>
      <c r="I57" s="270">
        <f>VLOOKUP(B57,대학별점수!$B$3:$M$73,4,0)</f>
        <v>395.4</v>
      </c>
      <c r="J57" s="271">
        <f>VLOOKUP(B57,대학별점수!$B$3:$M$73,5,0)</f>
        <v>392.4</v>
      </c>
      <c r="K57" s="211">
        <f>VLOOKUP(B57,대학별점수!$B$3:$V$73,6,0)</f>
        <v>8</v>
      </c>
      <c r="L57" s="208">
        <f>VLOOKUP(B57,대학별점수!$B$3:$V$73,7,0)</f>
        <v>7</v>
      </c>
      <c r="M57" s="209">
        <f>VLOOKUP(B57,대학별점수!$B$3:$V$73,8,0)</f>
        <v>7</v>
      </c>
      <c r="N57" s="211">
        <f>VLOOKUP(B57,대학별점수!$B$3:$V$73,9,0)</f>
        <v>6</v>
      </c>
      <c r="O57" s="211">
        <f>VLOOKUP(B57,대학별점수!$B$3:$V$73,19,0)</f>
        <v>3</v>
      </c>
      <c r="P57" s="208">
        <f>VLOOKUP(B57,대학별점수!$B$3:$V$73,18,0)</f>
        <v>0</v>
      </c>
      <c r="Q57" s="209">
        <f>VLOOKUP(B57,대학별점수!$B$3:$V$73,17,0)</f>
        <v>1</v>
      </c>
      <c r="R57" s="211">
        <f>VLOOKUP(B57,대학별점수!$B$3:$V$73,16,0)</f>
        <v>6</v>
      </c>
      <c r="S57" s="211" t="str">
        <f>VLOOKUP(B57,대학별점수!$B$3:$V$73,20,0)</f>
        <v>15.29</v>
      </c>
      <c r="T57" s="211" t="str">
        <f>VLOOKUP(B57,대학별점수!$B$3:$V$73,21,0)</f>
        <v>11.14</v>
      </c>
      <c r="U57" s="210" t="str">
        <f>'상담(남)'!U54</f>
        <v>턱걸이,매달리기 폐지 매던 신설</v>
      </c>
    </row>
    <row r="58" spans="1:22" ht="29.25" customHeight="1" thickBot="1">
      <c r="A58" s="174" t="s">
        <v>418</v>
      </c>
      <c r="B58" s="159" t="str">
        <f>대학별점수!B56</f>
        <v>중부대 스포츠재활복지</v>
      </c>
      <c r="C58" s="265">
        <f>'내신(여)'!B57</f>
        <v>260</v>
      </c>
      <c r="D58" s="266">
        <f>VLOOKUP(B58,대학별점수!$B$3:$C$74,2,FALSE)</f>
        <v>235</v>
      </c>
      <c r="E58" s="267">
        <f>VLOOKUP(B58,대학별점수!$B$3:$D$74,3,FALSE)</f>
        <v>160</v>
      </c>
      <c r="F58" s="264">
        <f t="shared" si="0"/>
        <v>25</v>
      </c>
      <c r="G58" s="272">
        <f>'실기환산(여)'!BC2</f>
        <v>700</v>
      </c>
      <c r="H58" s="269">
        <f t="shared" si="1"/>
        <v>960</v>
      </c>
      <c r="I58" s="270">
        <f>VLOOKUP(B58,대학별점수!$B$3:$M$73,4,0)</f>
        <v>882</v>
      </c>
      <c r="J58" s="271">
        <f>VLOOKUP(B58,대학별점수!$B$3:$M$73,5,0)</f>
        <v>836</v>
      </c>
      <c r="K58" s="211">
        <f>VLOOKUP(B58,대학별점수!$B$3:$V$73,6,0)</f>
        <v>10</v>
      </c>
      <c r="L58" s="208">
        <f>VLOOKUP(B58,대학별점수!$B$3:$V$73,7,0)</f>
        <v>10</v>
      </c>
      <c r="M58" s="209">
        <f>VLOOKUP(B58,대학별점수!$B$3:$V$73,8,0)</f>
        <v>26</v>
      </c>
      <c r="N58" s="211">
        <f>VLOOKUP(B58,대학별점수!$B$3:$V$73,9,0)</f>
        <v>22</v>
      </c>
      <c r="O58" s="211">
        <f>VLOOKUP(B58,대학별점수!$B$3:$V$73,19,0)</f>
        <v>25</v>
      </c>
      <c r="P58" s="208">
        <f>VLOOKUP(B58,대학별점수!$B$3:$V$73,18,0)</f>
        <v>22</v>
      </c>
      <c r="Q58" s="209">
        <f>VLOOKUP(B58,대학별점수!$B$3:$V$73,17,0)</f>
        <v>60</v>
      </c>
      <c r="R58" s="211">
        <f>VLOOKUP(B58,대학별점수!$B$3:$V$73,16,0)</f>
        <v>101</v>
      </c>
      <c r="S58" s="211" t="str">
        <f>VLOOKUP(B58,대학별점수!$B$3:$V$73,20,0)</f>
        <v>5.90</v>
      </c>
      <c r="T58" s="211" t="str">
        <f>VLOOKUP(B58,대학별점수!$B$3:$V$73,21,0)</f>
        <v>2.19</v>
      </c>
      <c r="U58" s="210" t="str">
        <f>'상담(남)'!U55</f>
        <v>경쟁률과 컷라인 민감</v>
      </c>
    </row>
    <row r="59" spans="1:22" ht="29.25" customHeight="1" thickBot="1">
      <c r="A59" s="174" t="s">
        <v>418</v>
      </c>
      <c r="B59" s="159" t="str">
        <f>대학별점수!B57</f>
        <v>중부대 스포츠건강관리</v>
      </c>
      <c r="C59" s="265">
        <f>'내신(여)'!B58</f>
        <v>270</v>
      </c>
      <c r="D59" s="266">
        <f>VLOOKUP(B59,대학별점수!$B$3:$C$74,2,FALSE)</f>
        <v>220</v>
      </c>
      <c r="E59" s="267">
        <f>VLOOKUP(B59,대학별점수!$B$3:$D$74,3,FALSE)</f>
        <v>160</v>
      </c>
      <c r="F59" s="264">
        <f t="shared" si="0"/>
        <v>50</v>
      </c>
      <c r="G59" s="272">
        <f>'실기환산(여)'!BD2</f>
        <v>700</v>
      </c>
      <c r="H59" s="269">
        <f t="shared" si="1"/>
        <v>970</v>
      </c>
      <c r="I59" s="270">
        <f>VLOOKUP(B59,대학별점수!$B$3:$M$73,4,0)</f>
        <v>848</v>
      </c>
      <c r="J59" s="271">
        <f>VLOOKUP(B59,대학별점수!$B$3:$M$73,5,0)</f>
        <v>808</v>
      </c>
      <c r="K59" s="211">
        <f>VLOOKUP(B59,대학별점수!$B$3:$V$73,6,0)</f>
        <v>12</v>
      </c>
      <c r="L59" s="208">
        <f>VLOOKUP(B59,대학별점수!$B$3:$V$73,7,0)</f>
        <v>10</v>
      </c>
      <c r="M59" s="209">
        <f>VLOOKUP(B59,대학별점수!$B$3:$V$73,8,0)</f>
        <v>21</v>
      </c>
      <c r="N59" s="211">
        <f>VLOOKUP(B59,대학별점수!$B$3:$V$73,9,0)</f>
        <v>25</v>
      </c>
      <c r="O59" s="211">
        <f>VLOOKUP(B59,대학별점수!$B$3:$V$73,19,0)</f>
        <v>35</v>
      </c>
      <c r="P59" s="208">
        <f>VLOOKUP(B59,대학별점수!$B$3:$V$73,18,0)</f>
        <v>67</v>
      </c>
      <c r="Q59" s="209">
        <f>VLOOKUP(B59,대학별점수!$B$3:$V$73,17,0)</f>
        <v>71</v>
      </c>
      <c r="R59" s="211">
        <f>VLOOKUP(B59,대학별점수!$B$3:$V$73,16,0)</f>
        <v>78</v>
      </c>
      <c r="S59" s="211" t="str">
        <f>VLOOKUP(B59,대학별점수!$B$3:$V$73,20,0)</f>
        <v>5.20</v>
      </c>
      <c r="T59" s="211" t="str">
        <f>VLOOKUP(B59,대학별점수!$B$3:$V$73,21,0)</f>
        <v>4.86</v>
      </c>
      <c r="U59" s="210" t="str">
        <f>'상담(남)'!U56</f>
        <v>경쟁률과 컷라인 민감</v>
      </c>
    </row>
    <row r="60" spans="1:22" ht="29.25" customHeight="1" thickBot="1">
      <c r="A60" s="174" t="s">
        <v>425</v>
      </c>
      <c r="B60" s="159" t="str">
        <f>대학별점수!B58</f>
        <v>중부대 특수체육교육</v>
      </c>
      <c r="C60" s="265">
        <f>'내신(여)'!B59</f>
        <v>288</v>
      </c>
      <c r="D60" s="266">
        <f>VLOOKUP(B60,대학별점수!$B$3:$C$74,2,FALSE)</f>
        <v>280</v>
      </c>
      <c r="E60" s="267">
        <f>VLOOKUP(B60,대학별점수!$B$3:$D$74,3,FALSE)</f>
        <v>225</v>
      </c>
      <c r="F60" s="264">
        <f>C60-D60</f>
        <v>8</v>
      </c>
      <c r="G60" s="272">
        <f>'실기환산(여)'!BE2</f>
        <v>700</v>
      </c>
      <c r="H60" s="269">
        <f t="shared" si="1"/>
        <v>988</v>
      </c>
      <c r="I60" s="270">
        <f>VLOOKUP(B60,대학별점수!$B$3:$M$73,4,0)</f>
        <v>955</v>
      </c>
      <c r="J60" s="271">
        <f>VLOOKUP(B60,대학별점수!$B$3:$M$73,5,0)</f>
        <v>925</v>
      </c>
      <c r="K60" s="211">
        <f>VLOOKUP(B60,대학별점수!$B$3:$V$73,6,0)</f>
        <v>18</v>
      </c>
      <c r="L60" s="208">
        <f>VLOOKUP(B60,대학별점수!$B$3:$V$73,7,0)</f>
        <v>18</v>
      </c>
      <c r="M60" s="209">
        <f>VLOOKUP(B60,대학별점수!$B$3:$V$73,8,0)</f>
        <v>18</v>
      </c>
      <c r="N60" s="211">
        <f>VLOOKUP(B60,대학별점수!$B$3:$V$73,9,0)</f>
        <v>18</v>
      </c>
      <c r="O60" s="211">
        <f>VLOOKUP(B60,대학별점수!$B$3:$V$73,19,0)</f>
        <v>31</v>
      </c>
      <c r="P60" s="208">
        <f>VLOOKUP(B60,대학별점수!$B$3:$V$73,18,0)</f>
        <v>35</v>
      </c>
      <c r="Q60" s="209">
        <f>VLOOKUP(B60,대학별점수!$B$3:$V$73,17,0)</f>
        <v>44</v>
      </c>
      <c r="R60" s="211">
        <f>VLOOKUP(B60,대학별점수!$B$3:$V$73,16,0)</f>
        <v>29</v>
      </c>
      <c r="S60" s="211" t="str">
        <f>VLOOKUP(B60,대학별점수!$B$3:$V$73,20,0)</f>
        <v>7.44</v>
      </c>
      <c r="T60" s="211" t="str">
        <f>VLOOKUP(B60,대학별점수!$B$3:$V$73,21,0)</f>
        <v>8.67</v>
      </c>
      <c r="U60" s="210" t="str">
        <f>'상담(남)'!U57</f>
        <v>.</v>
      </c>
    </row>
    <row r="61" spans="1:22" ht="29.25" customHeight="1" thickBot="1">
      <c r="A61" s="174" t="s">
        <v>415</v>
      </c>
      <c r="B61" s="159" t="str">
        <f>대학별점수!B59</f>
        <v>중원대 스포츠경영학부</v>
      </c>
      <c r="C61" s="265">
        <f>'내신(여)'!B60</f>
        <v>180</v>
      </c>
      <c r="D61" s="266">
        <f>VLOOKUP(B61,대학별점수!$B$3:$C$74,2,FALSE)</f>
        <v>134</v>
      </c>
      <c r="E61" s="267">
        <f>VLOOKUP(B61,대학별점수!$B$3:$D$74,3,FALSE)</f>
        <v>104</v>
      </c>
      <c r="F61" s="264">
        <f>C61-D61</f>
        <v>46</v>
      </c>
      <c r="G61" s="272">
        <f>'실기환산(여)'!BF2</f>
        <v>800</v>
      </c>
      <c r="H61" s="269">
        <f t="shared" si="1"/>
        <v>980</v>
      </c>
      <c r="I61" s="270">
        <f>VLOOKUP(B61,대학별점수!$B$3:$M$73,4,0)</f>
        <v>0</v>
      </c>
      <c r="J61" s="271">
        <f>VLOOKUP(B61,대학별점수!$B$3:$M$73,5,0)</f>
        <v>0</v>
      </c>
      <c r="K61" s="211" t="str">
        <f>VLOOKUP(B61,대학별점수!$B$3:$V$73,6,0)</f>
        <v>-</v>
      </c>
      <c r="L61" s="208">
        <f>VLOOKUP(B61,대학별점수!$B$3:$V$73,7,0)</f>
        <v>19</v>
      </c>
      <c r="M61" s="209">
        <f>VLOOKUP(B61,대학별점수!$B$3:$V$73,8,0)</f>
        <v>15</v>
      </c>
      <c r="N61" s="211">
        <f>VLOOKUP(B61,대학별점수!$B$3:$V$73,9,0)</f>
        <v>15</v>
      </c>
      <c r="O61" s="211">
        <f>VLOOKUP(B61,대학별점수!$B$3:$V$73,19,0)</f>
        <v>0</v>
      </c>
      <c r="P61" s="208" t="str">
        <f>VLOOKUP(B61,대학별점수!$B$3:$V$73,18,0)</f>
        <v>-</v>
      </c>
      <c r="Q61" s="209">
        <f>VLOOKUP(B61,대학별점수!$B$3:$V$73,17,0)</f>
        <v>19</v>
      </c>
      <c r="R61" s="211">
        <f>VLOOKUP(B61,대학별점수!$B$3:$V$73,16,0)</f>
        <v>79</v>
      </c>
      <c r="S61" s="211" t="str">
        <f>VLOOKUP(B61,대학별점수!$B$3:$V$73,20,0)</f>
        <v>1.79</v>
      </c>
      <c r="T61" s="211" t="str">
        <f>VLOOKUP(B61,대학별점수!$B$3:$V$73,21,0)</f>
        <v>3.6</v>
      </c>
      <c r="U61" s="210" t="str">
        <f>'상담(남)'!U58</f>
        <v>미선발</v>
      </c>
    </row>
    <row r="62" spans="1:22" ht="25.5" customHeight="1" thickBot="1">
      <c r="A62" s="174" t="s">
        <v>415</v>
      </c>
      <c r="B62" s="159" t="str">
        <f>대학별점수!B60</f>
        <v>한국교통대 스포츠의학</v>
      </c>
      <c r="C62" s="265">
        <f>'내신(여)'!B61</f>
        <v>590</v>
      </c>
      <c r="D62" s="266">
        <f>VLOOKUP(B62,대학별점수!$B$3:$C$74,2,FALSE)</f>
        <v>561</v>
      </c>
      <c r="E62" s="267">
        <f>VLOOKUP(B62,대학별점수!$B$3:$D$74,3,FALSE)</f>
        <v>500</v>
      </c>
      <c r="F62" s="264">
        <f t="shared" ref="F62:F76" si="2">C62-D62</f>
        <v>29</v>
      </c>
      <c r="G62" s="274">
        <f>'실기환산(여)'!BG2</f>
        <v>400</v>
      </c>
      <c r="H62" s="269">
        <f t="shared" si="1"/>
        <v>990</v>
      </c>
      <c r="I62" s="270">
        <f>VLOOKUP(B62,대학별점수!$B$3:$M$73,4,0)</f>
        <v>931</v>
      </c>
      <c r="J62" s="271">
        <f>VLOOKUP(B62,대학별점수!$B$3:$M$73,5,0)</f>
        <v>900</v>
      </c>
      <c r="K62" s="211">
        <f>VLOOKUP(B62,대학별점수!$B$3:$V$73,6,0)</f>
        <v>13</v>
      </c>
      <c r="L62" s="208">
        <f>VLOOKUP(B62,대학별점수!$B$3:$V$73,7,0)</f>
        <v>13</v>
      </c>
      <c r="M62" s="209">
        <f>VLOOKUP(B62,대학별점수!$B$3:$V$73,8,0)</f>
        <v>13</v>
      </c>
      <c r="N62" s="211">
        <f>VLOOKUP(B62,대학별점수!$B$3:$V$73,9,0)</f>
        <v>27</v>
      </c>
      <c r="O62" s="211">
        <f>VLOOKUP(B62,대학별점수!$B$3:$V$73,19,0)</f>
        <v>10</v>
      </c>
      <c r="P62" s="208">
        <f>VLOOKUP(B62,대학별점수!$B$3:$V$73,18,0)</f>
        <v>10</v>
      </c>
      <c r="Q62" s="209">
        <f>VLOOKUP(B62,대학별점수!$B$3:$V$73,17,0)</f>
        <v>34</v>
      </c>
      <c r="R62" s="211">
        <f>VLOOKUP(B62,대학별점수!$B$3:$V$73,16,0)</f>
        <v>28</v>
      </c>
      <c r="S62" s="211" t="str">
        <f>VLOOKUP(B62,대학별점수!$B$3:$V$73,20,0)</f>
        <v>5.54</v>
      </c>
      <c r="T62" s="211" t="str">
        <f>VLOOKUP(B62,대학별점수!$B$3:$V$73,21,0)</f>
        <v>7.69</v>
      </c>
      <c r="U62" s="210" t="str">
        <f>'상담(남)'!U59</f>
        <v>.</v>
      </c>
    </row>
    <row r="63" spans="1:22" s="5" customFormat="1" ht="25.5" customHeight="1" thickBot="1">
      <c r="A63" s="174" t="s">
        <v>415</v>
      </c>
      <c r="B63" s="159" t="str">
        <f>대학별점수!B61</f>
        <v>한국교통대 스포츠산업</v>
      </c>
      <c r="C63" s="265">
        <f>'내신(여)'!B62</f>
        <v>260</v>
      </c>
      <c r="D63" s="266">
        <f>VLOOKUP(B63,대학별점수!$B$3:$C$74,2,FALSE)</f>
        <v>232</v>
      </c>
      <c r="E63" s="267">
        <f>VLOOKUP(B63,대학별점수!$B$3:$D$74,3,FALSE)</f>
        <v>195</v>
      </c>
      <c r="F63" s="264">
        <f t="shared" si="2"/>
        <v>28</v>
      </c>
      <c r="G63" s="274">
        <f>'실기환산(여)'!BH2</f>
        <v>700</v>
      </c>
      <c r="H63" s="269">
        <f t="shared" si="1"/>
        <v>960</v>
      </c>
      <c r="I63" s="270">
        <f>VLOOKUP(B63,대학별점수!$B$3:$M$73,4,0)</f>
        <v>897</v>
      </c>
      <c r="J63" s="271">
        <f>VLOOKUP(B63,대학별점수!$B$3:$M$73,5,0)</f>
        <v>875</v>
      </c>
      <c r="K63" s="211">
        <f>VLOOKUP(B63,대학별점수!$B$3:$V$73,6,0)</f>
        <v>10</v>
      </c>
      <c r="L63" s="208">
        <f>VLOOKUP(B63,대학별점수!$B$3:$V$73,7,0)</f>
        <v>10</v>
      </c>
      <c r="M63" s="209">
        <f>VLOOKUP(B63,대학별점수!$B$3:$V$73,8,0)</f>
        <v>11</v>
      </c>
      <c r="N63" s="211" t="str">
        <f>VLOOKUP(B63,대학별점수!$B$3:$V$73,9,0)</f>
        <v>_</v>
      </c>
      <c r="O63" s="211">
        <f>VLOOKUP(B63,대학별점수!$B$3:$V$73,19,0)</f>
        <v>10</v>
      </c>
      <c r="P63" s="208">
        <f>VLOOKUP(B63,대학별점수!$B$3:$V$73,18,0)</f>
        <v>10</v>
      </c>
      <c r="Q63" s="209" t="str">
        <f>VLOOKUP(B63,대학별점수!$B$3:$V$73,17,0)</f>
        <v>_</v>
      </c>
      <c r="R63" s="211" t="str">
        <f>VLOOKUP(B63,대학별점수!$B$3:$V$73,16,0)</f>
        <v>_</v>
      </c>
      <c r="S63" s="211" t="str">
        <f>VLOOKUP(B63,대학별점수!$B$3:$V$73,20,0)</f>
        <v>9.60</v>
      </c>
      <c r="T63" s="211" t="str">
        <f>VLOOKUP(B63,대학별점수!$B$3:$V$73,21,0)</f>
        <v>4.91</v>
      </c>
      <c r="U63" s="210" t="str">
        <f>'상담(남)'!U60</f>
        <v>.</v>
      </c>
      <c r="V63" s="6"/>
    </row>
    <row r="64" spans="1:22" ht="25.5" customHeight="1" thickBot="1">
      <c r="A64" s="174" t="s">
        <v>420</v>
      </c>
      <c r="B64" s="159" t="str">
        <f>대학별점수!B68</f>
        <v>한남대 스포츠과학</v>
      </c>
      <c r="C64" s="265">
        <f>'내신(여)'!B69</f>
        <v>380</v>
      </c>
      <c r="D64" s="266">
        <f>VLOOKUP(B64,대학별점수!$B$3:$C$74,2,FALSE)</f>
        <v>352</v>
      </c>
      <c r="E64" s="267">
        <f>VLOOKUP(B64,대학별점수!$B$3:$D$74,3,FALSE)</f>
        <v>312</v>
      </c>
      <c r="F64" s="264">
        <f t="shared" si="2"/>
        <v>28</v>
      </c>
      <c r="G64" s="274">
        <f>'실기환산(여)'!BO2</f>
        <v>600</v>
      </c>
      <c r="H64" s="269">
        <f t="shared" si="1"/>
        <v>980</v>
      </c>
      <c r="I64" s="270">
        <f>VLOOKUP(B64,대학별점수!$B$3:$M$73,4,0)</f>
        <v>940</v>
      </c>
      <c r="J64" s="271">
        <f>VLOOKUP(B64,대학별점수!$B$3:$M$73,5,0)</f>
        <v>912</v>
      </c>
      <c r="K64" s="211">
        <f>VLOOKUP(B64,대학별점수!$B$3:$V$73,6,0)</f>
        <v>30</v>
      </c>
      <c r="L64" s="208">
        <f>VLOOKUP(B64,대학별점수!$B$3:$V$73,7,0)</f>
        <v>30</v>
      </c>
      <c r="M64" s="209">
        <f>VLOOKUP(B64,대학별점수!$B$3:$V$73,8,0)</f>
        <v>30</v>
      </c>
      <c r="N64" s="211">
        <f>VLOOKUP(B64,대학별점수!$B$3:$V$73,9,0)</f>
        <v>30</v>
      </c>
      <c r="O64" s="211">
        <f>VLOOKUP(B64,대학별점수!$B$3:$V$73,19,0)</f>
        <v>31</v>
      </c>
      <c r="P64" s="208">
        <f>VLOOKUP(B64,대학별점수!$B$3:$V$73,18,0)</f>
        <v>55</v>
      </c>
      <c r="Q64" s="209">
        <f>VLOOKUP(B64,대학별점수!$B$3:$V$73,17,0)</f>
        <v>15</v>
      </c>
      <c r="R64" s="211">
        <f>VLOOKUP(B64,대학별점수!$B$3:$V$73,16,0)</f>
        <v>18</v>
      </c>
      <c r="S64" s="211" t="str">
        <f>VLOOKUP(B64,대학별점수!$B$3:$V$73,20,0)</f>
        <v>7.53</v>
      </c>
      <c r="T64" s="211" t="str">
        <f>VLOOKUP(B64,대학별점수!$B$3:$V$73,21,0)</f>
        <v>7.23</v>
      </c>
      <c r="U64" s="210" t="str">
        <f>'상담(남)'!U61</f>
        <v>.</v>
      </c>
    </row>
    <row r="65" spans="1:22" ht="25.5" customHeight="1" thickBot="1">
      <c r="A65" s="174" t="s">
        <v>418</v>
      </c>
      <c r="B65" s="159" t="str">
        <f>대학별점수!B69</f>
        <v>한서대 경호비서</v>
      </c>
      <c r="C65" s="265">
        <f>'내신(여)'!B70</f>
        <v>160</v>
      </c>
      <c r="D65" s="266">
        <f>VLOOKUP(B65,대학별점수!$B$3:$C$74,2,FALSE)</f>
        <v>165</v>
      </c>
      <c r="E65" s="267">
        <f>VLOOKUP(B65,대학별점수!$B$3:$D$74,3,FALSE)</f>
        <v>100</v>
      </c>
      <c r="F65" s="264">
        <f t="shared" si="2"/>
        <v>-5</v>
      </c>
      <c r="G65" s="274">
        <f>'실기환산(여)'!BQ2</f>
        <v>500</v>
      </c>
      <c r="H65" s="269">
        <f t="shared" si="1"/>
        <v>660</v>
      </c>
      <c r="I65" s="270">
        <f>VLOOKUP(B65,대학별점수!$B$3:$M$73,4,0)</f>
        <v>580</v>
      </c>
      <c r="J65" s="271">
        <f>VLOOKUP(B65,대학별점수!$B$3:$M$73,5,0)</f>
        <v>490</v>
      </c>
      <c r="K65" s="211">
        <f>VLOOKUP(B65,대학별점수!$B$3:$V$73,6,0)</f>
        <v>25</v>
      </c>
      <c r="L65" s="208">
        <f>VLOOKUP(B65,대학별점수!$B$3:$V$73,7,0)</f>
        <v>25</v>
      </c>
      <c r="M65" s="209">
        <f>VLOOKUP(B65,대학별점수!$B$3:$V$73,8,0)</f>
        <v>20</v>
      </c>
      <c r="N65" s="211">
        <f>VLOOKUP(B65,대학별점수!$B$3:$V$73,9,0)</f>
        <v>20</v>
      </c>
      <c r="O65" s="211">
        <f>VLOOKUP(B65,대학별점수!$B$3:$V$73,19,0)</f>
        <v>15</v>
      </c>
      <c r="P65" s="208">
        <f>VLOOKUP(B65,대학별점수!$B$3:$V$73,18,0)</f>
        <v>26</v>
      </c>
      <c r="Q65" s="209">
        <f>VLOOKUP(B65,대학별점수!$B$3:$V$73,17,0)</f>
        <v>21</v>
      </c>
      <c r="R65" s="211">
        <f>VLOOKUP(B65,대학별점수!$B$3:$V$73,16,0)</f>
        <v>30</v>
      </c>
      <c r="S65" s="211" t="str">
        <f>VLOOKUP(B65,대학별점수!$B$3:$V$73,20,0)</f>
        <v>2.04</v>
      </c>
      <c r="T65" s="211" t="str">
        <f>VLOOKUP(B65,대학별점수!$B$3:$V$73,21,0)</f>
        <v>2.75</v>
      </c>
      <c r="U65" s="210" t="str">
        <f>'상담(남)'!U62</f>
        <v>면접 제외 점수 면접 중요</v>
      </c>
    </row>
    <row r="66" spans="1:22" ht="25.5" customHeight="1" thickBot="1">
      <c r="A66" s="174" t="s">
        <v>418</v>
      </c>
      <c r="B66" s="159" t="str">
        <f>대학별점수!B70</f>
        <v>한서대 레저해양스포츠</v>
      </c>
      <c r="C66" s="265">
        <f>'내신(여)'!B71</f>
        <v>160</v>
      </c>
      <c r="D66" s="266">
        <f>VLOOKUP(B66,대학별점수!$B$3:$C$74,2,FALSE)</f>
        <v>170</v>
      </c>
      <c r="E66" s="267">
        <f>VLOOKUP(B66,대학별점수!$B$3:$D$74,3,FALSE)</f>
        <v>100</v>
      </c>
      <c r="F66" s="264">
        <f t="shared" si="2"/>
        <v>-10</v>
      </c>
      <c r="G66" s="274">
        <f>'실기환산(여)'!BP2</f>
        <v>800</v>
      </c>
      <c r="H66" s="269">
        <f t="shared" si="1"/>
        <v>960</v>
      </c>
      <c r="I66" s="270">
        <f>VLOOKUP(B66,대학별점수!$B$3:$M$73,4,0)</f>
        <v>880</v>
      </c>
      <c r="J66" s="271">
        <f>VLOOKUP(B66,대학별점수!$B$3:$M$73,5,0)</f>
        <v>745</v>
      </c>
      <c r="K66" s="211">
        <f>VLOOKUP(B66,대학별점수!$B$3:$V$73,6,0)</f>
        <v>45</v>
      </c>
      <c r="L66" s="208">
        <f>VLOOKUP(B66,대학별점수!$B$3:$V$73,7,0)</f>
        <v>45</v>
      </c>
      <c r="M66" s="209">
        <f>VLOOKUP(B66,대학별점수!$B$3:$V$73,8,0)</f>
        <v>40</v>
      </c>
      <c r="N66" s="211">
        <f>VLOOKUP(B66,대학별점수!$B$3:$V$73,9,0)</f>
        <v>45</v>
      </c>
      <c r="O66" s="211">
        <f>VLOOKUP(B66,대학별점수!$B$3:$V$73,19,0)</f>
        <v>72</v>
      </c>
      <c r="P66" s="208">
        <f>VLOOKUP(B66,대학별점수!$B$3:$V$73,18,0)</f>
        <v>76</v>
      </c>
      <c r="Q66" s="209">
        <f>VLOOKUP(B66,대학별점수!$B$3:$V$73,17,0)</f>
        <v>53</v>
      </c>
      <c r="R66" s="211">
        <f>VLOOKUP(B66,대학별점수!$B$3:$V$73,16,0)</f>
        <v>72</v>
      </c>
      <c r="S66" s="211" t="str">
        <f>VLOOKUP(B66,대학별점수!$B$3:$V$73,20,0)</f>
        <v>2.78</v>
      </c>
      <c r="T66" s="211" t="str">
        <f>VLOOKUP(B66,대학별점수!$B$3:$V$73,21,0)</f>
        <v>2.98</v>
      </c>
      <c r="U66" s="210" t="str">
        <f>'상담(남)'!U63</f>
        <v>경쟁률과 컷라인 민감</v>
      </c>
    </row>
    <row r="67" spans="1:22" ht="25.5" customHeight="1" thickBot="1">
      <c r="A67" s="174" t="s">
        <v>425</v>
      </c>
      <c r="B67" s="159" t="str">
        <f>대학별점수!B71</f>
        <v>한신대 특수체육</v>
      </c>
      <c r="C67" s="265">
        <f>'내신(여)'!B72</f>
        <v>580</v>
      </c>
      <c r="D67" s="266">
        <f>VLOOKUP(B67,대학별점수!$B$3:$C$74,2,FALSE)</f>
        <v>583</v>
      </c>
      <c r="E67" s="267">
        <f>VLOOKUP(B67,대학별점수!$B$3:$D$74,3,FALSE)</f>
        <v>573</v>
      </c>
      <c r="F67" s="264">
        <f t="shared" si="2"/>
        <v>-3</v>
      </c>
      <c r="G67" s="274">
        <f>'실기환산(여)'!BR2</f>
        <v>400</v>
      </c>
      <c r="H67" s="269">
        <f t="shared" si="1"/>
        <v>980</v>
      </c>
      <c r="I67" s="270">
        <f>VLOOKUP(B67,대학별점수!$B$3:$M$73,4,0)</f>
        <v>980</v>
      </c>
      <c r="J67" s="271">
        <f>VLOOKUP(B67,대학별점수!$B$3:$M$73,5,0)</f>
        <v>973</v>
      </c>
      <c r="K67" s="211">
        <f>VLOOKUP(B67,대학별점수!$B$3:$V$73,6,0)</f>
        <v>22</v>
      </c>
      <c r="L67" s="208">
        <f>VLOOKUP(B67,대학별점수!$B$3:$V$73,7,0)</f>
        <v>22</v>
      </c>
      <c r="M67" s="209">
        <f>VLOOKUP(B67,대학별점수!$B$3:$V$73,8,0)</f>
        <v>22</v>
      </c>
      <c r="N67" s="211">
        <f>VLOOKUP(B67,대학별점수!$B$3:$V$73,9,0)</f>
        <v>22</v>
      </c>
      <c r="O67" s="211">
        <f>VLOOKUP(B67,대학별점수!$B$3:$V$73,19,0)</f>
        <v>27</v>
      </c>
      <c r="P67" s="208">
        <f>VLOOKUP(B67,대학별점수!$B$3:$V$73,18,0)</f>
        <v>17</v>
      </c>
      <c r="Q67" s="209">
        <f>VLOOKUP(B67,대학별점수!$B$3:$V$73,17,0)</f>
        <v>30</v>
      </c>
      <c r="R67" s="211">
        <f>VLOOKUP(B67,대학별점수!$B$3:$V$73,16,0)</f>
        <v>17</v>
      </c>
      <c r="S67" s="211" t="str">
        <f>VLOOKUP(B67,대학별점수!$B$3:$V$73,20,0)</f>
        <v>19.95</v>
      </c>
      <c r="T67" s="211" t="str">
        <f>VLOOKUP(B67,대학별점수!$B$3:$V$73,21,0)</f>
        <v>15.09</v>
      </c>
      <c r="U67" s="210" t="str">
        <f>'상담(남)'!U64</f>
        <v>남자 만점 기준 강화 여자 만점 기준 완화</v>
      </c>
    </row>
    <row r="68" spans="1:22" ht="25.5" customHeight="1" thickBot="1">
      <c r="A68" s="174" t="s">
        <v>425</v>
      </c>
      <c r="B68" s="207" t="str">
        <f>대학별점수!B72</f>
        <v>한양대(에) 스포츠과학</v>
      </c>
      <c r="C68" s="265">
        <f>'내신(여)'!B73</f>
        <v>0</v>
      </c>
      <c r="D68" s="266">
        <f>VLOOKUP(B68,대학별점수!$B$3:$C$74,2,FALSE)</f>
        <v>0</v>
      </c>
      <c r="E68" s="267">
        <f>VLOOKUP(B68,대학별점수!$B$3:$D$74,3,FALSE)</f>
        <v>0</v>
      </c>
      <c r="F68" s="264">
        <f t="shared" si="2"/>
        <v>0</v>
      </c>
      <c r="G68" s="274">
        <f>'실기환산(여)'!BS2</f>
        <v>400</v>
      </c>
      <c r="H68" s="269">
        <f t="shared" si="1"/>
        <v>400</v>
      </c>
      <c r="I68" s="270">
        <f>VLOOKUP(B68,대학별점수!$B$3:$M$73,4,0)</f>
        <v>0</v>
      </c>
      <c r="J68" s="271">
        <f>VLOOKUP(B68,대학별점수!$B$3:$M$73,5,0)</f>
        <v>0</v>
      </c>
      <c r="K68" s="211" t="str">
        <f>VLOOKUP(B68,대학별점수!$B$3:$V$73,6,0)</f>
        <v>미선발</v>
      </c>
      <c r="L68" s="208">
        <f>VLOOKUP(B68,대학별점수!$B$3:$V$73,7,0)</f>
        <v>32</v>
      </c>
      <c r="M68" s="209">
        <f>VLOOKUP(B68,대학별점수!$B$3:$V$73,8,0)</f>
        <v>15</v>
      </c>
      <c r="N68" s="211">
        <f>VLOOKUP(B68,대학별점수!$B$3:$V$73,9,0)</f>
        <v>15</v>
      </c>
      <c r="O68" s="211">
        <f>VLOOKUP(B68,대학별점수!$B$3:$V$73,19,0)</f>
        <v>0</v>
      </c>
      <c r="P68" s="208">
        <f>VLOOKUP(B68,대학별점수!$B$3:$V$73,18,0)</f>
        <v>2</v>
      </c>
      <c r="Q68" s="209">
        <f>VLOOKUP(B68,대학별점수!$B$3:$V$73,17,0)</f>
        <v>1</v>
      </c>
      <c r="R68" s="211">
        <f>VLOOKUP(B68,대학별점수!$B$3:$V$73,16,0)</f>
        <v>0</v>
      </c>
      <c r="S68" s="211" t="str">
        <f>VLOOKUP(B68,대학별점수!$B$3:$V$73,20,0)</f>
        <v>146.07</v>
      </c>
      <c r="T68" s="211" t="str">
        <f>VLOOKUP(B68,대학별점수!$B$3:$V$73,21,0)</f>
        <v>115.73</v>
      </c>
      <c r="U68" s="210" t="str">
        <f>'상담(남)'!U65</f>
        <v>전형 폐지</v>
      </c>
    </row>
    <row r="69" spans="1:22" ht="25.5" customHeight="1" thickBot="1">
      <c r="A69" s="174" t="s">
        <v>418</v>
      </c>
      <c r="B69" s="159" t="str">
        <f>대학별점수!B73</f>
        <v>호서대 사회체육</v>
      </c>
      <c r="C69" s="265">
        <f>'내신(여)'!B74</f>
        <v>190</v>
      </c>
      <c r="D69" s="266">
        <f>VLOOKUP(B69,대학별점수!$B$3:$C$74,2,FALSE)</f>
        <v>156</v>
      </c>
      <c r="E69" s="267">
        <f>VLOOKUP(B69,대학별점수!$B$3:$D$74,3,FALSE)</f>
        <v>124</v>
      </c>
      <c r="F69" s="264">
        <f t="shared" si="2"/>
        <v>34</v>
      </c>
      <c r="G69" s="274">
        <f>'실기환산(여)'!BT2</f>
        <v>800</v>
      </c>
      <c r="H69" s="269">
        <f t="shared" si="1"/>
        <v>990</v>
      </c>
      <c r="I69" s="270">
        <f>VLOOKUP(B69,대학별점수!$B$3:$M$73,4,0)</f>
        <v>940</v>
      </c>
      <c r="J69" s="271">
        <f>VLOOKUP(B69,대학별점수!$B$3:$M$73,5,0)</f>
        <v>924</v>
      </c>
      <c r="K69" s="211">
        <f>VLOOKUP(B69,대학별점수!$B$3:$V$73,6,0)</f>
        <v>19</v>
      </c>
      <c r="L69" s="208">
        <f>VLOOKUP(B69,대학별점수!$B$3:$V$73,7,0)</f>
        <v>19</v>
      </c>
      <c r="M69" s="209">
        <f>VLOOKUP(B69,대학별점수!$B$3:$V$73,8,0)</f>
        <v>19</v>
      </c>
      <c r="N69" s="211">
        <f>VLOOKUP(B69,대학별점수!$B$3:$V$73,9,0)</f>
        <v>19</v>
      </c>
      <c r="O69" s="211">
        <f>VLOOKUP(B69,대학별점수!$B$3:$V$73,19,0)</f>
        <v>37</v>
      </c>
      <c r="P69" s="208">
        <f>VLOOKUP(B69,대학별점수!$B$3:$V$73,18,0)</f>
        <v>64</v>
      </c>
      <c r="Q69" s="209">
        <f>VLOOKUP(B69,대학별점수!$B$3:$V$73,17,0)</f>
        <v>27</v>
      </c>
      <c r="R69" s="211">
        <f>VLOOKUP(B69,대학별점수!$B$3:$V$73,16,0)</f>
        <v>30</v>
      </c>
      <c r="S69" s="211" t="str">
        <f>VLOOKUP(B69,대학별점수!$B$3:$V$73,20,0)</f>
        <v>24.53</v>
      </c>
      <c r="T69" s="211" t="str">
        <f>VLOOKUP(B69,대학별점수!$B$3:$V$73,21,0)</f>
        <v>15.09</v>
      </c>
      <c r="U69" s="210" t="str">
        <f>'상담(남)'!U66</f>
        <v>경쟁률과 컷라인 민감</v>
      </c>
    </row>
    <row r="70" spans="1:22" s="7" customFormat="1" ht="41.45" customHeight="1" thickBot="1">
      <c r="A70" s="170" t="s">
        <v>419</v>
      </c>
      <c r="B70" s="170" t="s">
        <v>477</v>
      </c>
      <c r="C70" s="170" t="s">
        <v>232</v>
      </c>
      <c r="D70" s="285" t="s">
        <v>372</v>
      </c>
      <c r="E70" s="285" t="s">
        <v>63</v>
      </c>
      <c r="F70" s="171" t="s">
        <v>360</v>
      </c>
      <c r="G70" s="170" t="s">
        <v>234</v>
      </c>
      <c r="H70" s="285" t="s">
        <v>351</v>
      </c>
      <c r="I70" s="285" t="s">
        <v>82</v>
      </c>
      <c r="J70" s="285" t="s">
        <v>79</v>
      </c>
      <c r="K70" s="289" t="s">
        <v>614</v>
      </c>
      <c r="L70" s="172" t="s">
        <v>47</v>
      </c>
      <c r="M70" s="177" t="s">
        <v>348</v>
      </c>
      <c r="N70" s="404" t="s">
        <v>64</v>
      </c>
      <c r="O70" s="289" t="s">
        <v>615</v>
      </c>
      <c r="P70" s="178" t="s">
        <v>50</v>
      </c>
      <c r="Q70" s="289" t="s">
        <v>104</v>
      </c>
      <c r="R70" s="289" t="s">
        <v>362</v>
      </c>
      <c r="S70" s="289" t="s">
        <v>691</v>
      </c>
      <c r="T70" s="289" t="s">
        <v>692</v>
      </c>
      <c r="U70" s="171" t="s">
        <v>309</v>
      </c>
      <c r="V70" s="8"/>
    </row>
    <row r="71" spans="1:22" ht="25.5" customHeight="1" thickBot="1">
      <c r="A71" s="174" t="s">
        <v>416</v>
      </c>
      <c r="B71" s="207" t="str">
        <f>대학별점수!B62</f>
        <v>한국체대 노인체육복지</v>
      </c>
      <c r="C71" s="265">
        <f>'내신(여)'!B63</f>
        <v>800</v>
      </c>
      <c r="D71" s="266">
        <f>VLOOKUP(B71,대학별점수!$B$3:$C$74,2,FALSE)</f>
        <v>991.03</v>
      </c>
      <c r="E71" s="267">
        <f>VLOOKUP(B71,대학별점수!$B$3:$D$74,3,FALSE)</f>
        <v>989.5</v>
      </c>
      <c r="F71" s="264">
        <f t="shared" si="2"/>
        <v>-191.02999999999997</v>
      </c>
      <c r="G71" s="274">
        <f>'실기환산(여)'!BK2</f>
        <v>200</v>
      </c>
      <c r="H71" s="269"/>
      <c r="I71" s="270">
        <f>VLOOKUP(B71,대학별점수!$B$3:$M$73,4,0)</f>
        <v>173.68</v>
      </c>
      <c r="J71" s="271">
        <f>VLOOKUP(B71,대학별점수!$B$3:$M$73,5,0)</f>
        <v>157.88999999999999</v>
      </c>
      <c r="K71" s="211">
        <f>VLOOKUP(B71,대학별점수!$B$3:$V$73,6,0)</f>
        <v>7</v>
      </c>
      <c r="L71" s="208">
        <f>VLOOKUP(B71,대학별점수!$B$3:$V$73,7,0)</f>
        <v>7</v>
      </c>
      <c r="M71" s="209">
        <f>VLOOKUP(B71,대학별점수!$B$3:$V$73,8,0)</f>
        <v>7</v>
      </c>
      <c r="N71" s="211">
        <f>VLOOKUP($B$71,대학별점수!$B$3:$V$73,9,0)</f>
        <v>7</v>
      </c>
      <c r="O71" s="211">
        <f>VLOOKUP(B71,대학별점수!$B$3:$V$73,19,0)</f>
        <v>0</v>
      </c>
      <c r="P71" s="211">
        <f>VLOOKUP(B71,대학별점수!$B$3:$V$73,18,0)</f>
        <v>0</v>
      </c>
      <c r="Q71" s="211" t="str">
        <f>VLOOKUP(B71,대학별점수!$B$3:$V$73,17,0)</f>
        <v>_</v>
      </c>
      <c r="R71" s="211" t="str">
        <f>VLOOKUP(B71,대학별점수!$B$3:$V$73,16,0)</f>
        <v>_</v>
      </c>
      <c r="S71" s="211" t="str">
        <f>VLOOKUP(B71,대학별점수!$B$3:$V$73,20,0)</f>
        <v>9.57</v>
      </c>
      <c r="T71" s="211" t="str">
        <f>VLOOKUP(B71,대학별점수!$B$3:$V$73,21,0)</f>
        <v>13.14</v>
      </c>
      <c r="U71" s="210" t="str">
        <f>'상담(남)'!U68</f>
        <v>.</v>
      </c>
    </row>
    <row r="72" spans="1:22" ht="25.5" customHeight="1" thickBot="1">
      <c r="A72" s="174" t="s">
        <v>416</v>
      </c>
      <c r="B72" s="207" t="str">
        <f>대학별점수!B63</f>
        <v>한국체대 스포츠산업</v>
      </c>
      <c r="C72" s="265">
        <f>'내신(여)'!B64</f>
        <v>1000</v>
      </c>
      <c r="D72" s="266">
        <f>VLOOKUP(B72,대학별점수!$B$3:$C$74,2,FALSE)</f>
        <v>991.2</v>
      </c>
      <c r="E72" s="267">
        <f>VLOOKUP(B72,대학별점수!$B$3:$D$74,3,FALSE)</f>
        <v>989.4</v>
      </c>
      <c r="F72" s="264">
        <f t="shared" si="2"/>
        <v>8.7999999999999545</v>
      </c>
      <c r="G72" s="274">
        <f>'실기환산(여)'!BL2</f>
        <v>300</v>
      </c>
      <c r="H72" s="269"/>
      <c r="I72" s="270">
        <f>VLOOKUP(B72,대학별점수!$B$3:$M$73,4,0)</f>
        <v>175.96</v>
      </c>
      <c r="J72" s="271">
        <f>VLOOKUP(B72,대학별점수!$B$3:$M$73,5,0)</f>
        <v>157.02000000000001</v>
      </c>
      <c r="K72" s="211">
        <f>VLOOKUP(B72,대학별점수!$B$3:$V$73,6,0)</f>
        <v>5</v>
      </c>
      <c r="L72" s="208">
        <f>VLOOKUP(B72,대학별점수!$B$3:$V$73,7,0)</f>
        <v>10</v>
      </c>
      <c r="M72" s="209">
        <f>VLOOKUP(B72,대학별점수!$B$3:$V$73,8,0)</f>
        <v>10</v>
      </c>
      <c r="N72" s="211">
        <f>VLOOKUP($B$71,대학별점수!$B$3:$V$73,9,0)</f>
        <v>7</v>
      </c>
      <c r="O72" s="211">
        <f>VLOOKUP(B72,대학별점수!$B$3:$V$73,19,0)</f>
        <v>3</v>
      </c>
      <c r="P72" s="211">
        <f>VLOOKUP(B72,대학별점수!$B$3:$V$73,18,0)</f>
        <v>1</v>
      </c>
      <c r="Q72" s="211" t="str">
        <f>VLOOKUP(B72,대학별점수!$B$3:$V$73,17,0)</f>
        <v>_</v>
      </c>
      <c r="R72" s="211" t="str">
        <f>VLOOKUP(B72,대학별점수!$B$3:$V$73,16,0)</f>
        <v>_</v>
      </c>
      <c r="S72" s="211" t="str">
        <f>VLOOKUP(B72,대학별점수!$B$3:$V$73,20,0)</f>
        <v>19.60</v>
      </c>
      <c r="T72" s="211" t="str">
        <f>VLOOKUP(B72,대학별점수!$B$3:$V$73,21,0)</f>
        <v>21.0</v>
      </c>
      <c r="U72" s="210" t="str">
        <f>'상담(남)'!U69</f>
        <v>.</v>
      </c>
    </row>
    <row r="73" spans="1:22" ht="25.5" customHeight="1" thickBot="1">
      <c r="A73" s="174" t="s">
        <v>416</v>
      </c>
      <c r="B73" s="207" t="str">
        <f>대학별점수!B64</f>
        <v>한국체대 사회체육</v>
      </c>
      <c r="C73" s="265">
        <f>'내신(여)'!B65</f>
        <v>1000</v>
      </c>
      <c r="D73" s="266">
        <f>VLOOKUP(B73,대학별점수!$B$3:$C$74,2,FALSE)</f>
        <v>990.32</v>
      </c>
      <c r="E73" s="267">
        <f>VLOOKUP(B73,대학별점수!$B$3:$D$74,3,FALSE)</f>
        <v>988.85</v>
      </c>
      <c r="F73" s="264">
        <f t="shared" si="2"/>
        <v>9.67999999999995</v>
      </c>
      <c r="G73" s="274">
        <f>'실기환산(여)'!BN2</f>
        <v>400</v>
      </c>
      <c r="H73" s="269"/>
      <c r="I73" s="270">
        <f>VLOOKUP(B73,대학별점수!$B$3:$M$73,4,0)</f>
        <v>355.95</v>
      </c>
      <c r="J73" s="271">
        <f>VLOOKUP(B73,대학별점수!$B$3:$M$73,5,0)</f>
        <v>311.18</v>
      </c>
      <c r="K73" s="211">
        <f>VLOOKUP(B73,대학별점수!$B$3:$V$73,6,0)</f>
        <v>10</v>
      </c>
      <c r="L73" s="208">
        <f>VLOOKUP(B73,대학별점수!$B$3:$V$73,7,0)</f>
        <v>5</v>
      </c>
      <c r="M73" s="209">
        <f>VLOOKUP(B73,대학별점수!$B$3:$V$73,8,0)</f>
        <v>5</v>
      </c>
      <c r="N73" s="211">
        <f>VLOOKUP($B$71,대학별점수!$B$3:$V$73,9,0)</f>
        <v>7</v>
      </c>
      <c r="O73" s="211">
        <f>VLOOKUP(B73,대학별점수!$B$3:$V$73,19,0)</f>
        <v>0</v>
      </c>
      <c r="P73" s="211">
        <f>VLOOKUP(B73,대학별점수!$B$3:$V$73,18,0)</f>
        <v>2</v>
      </c>
      <c r="Q73" s="211" t="str">
        <f>VLOOKUP(B73,대학별점수!$B$3:$V$73,17,0)</f>
        <v>_</v>
      </c>
      <c r="R73" s="211" t="str">
        <f>VLOOKUP(B73,대학별점수!$B$3:$V$73,16,0)</f>
        <v>_</v>
      </c>
      <c r="S73" s="211" t="str">
        <f>VLOOKUP(B73,대학별점수!$B$3:$V$73,20,0)</f>
        <v>13.20</v>
      </c>
      <c r="T73" s="211" t="str">
        <f>VLOOKUP(B73,대학별점수!$B$3:$V$73,21,0)</f>
        <v>11.6</v>
      </c>
      <c r="U73" s="210" t="str">
        <f>'상담(남)'!U70</f>
        <v>.</v>
      </c>
    </row>
    <row r="74" spans="1:22" ht="25.5" customHeight="1" thickBot="1">
      <c r="A74" s="174" t="s">
        <v>416</v>
      </c>
      <c r="B74" s="207" t="str">
        <f>대학별점수!B65</f>
        <v>한국체대 스포츠청소년지도</v>
      </c>
      <c r="C74" s="265">
        <f>'내신(여)'!B66</f>
        <v>999</v>
      </c>
      <c r="D74" s="266">
        <f>VLOOKUP(B74,대학별점수!$B$3:$C$74,2,FALSE)</f>
        <v>991.45</v>
      </c>
      <c r="E74" s="267">
        <f>VLOOKUP(B74,대학별점수!$B$3:$D$74,3,FALSE)</f>
        <v>990.15</v>
      </c>
      <c r="F74" s="264">
        <f t="shared" si="2"/>
        <v>7.5499999999999545</v>
      </c>
      <c r="G74" s="274">
        <f>'실기환산(여)'!BJ2</f>
        <v>200</v>
      </c>
      <c r="H74" s="269"/>
      <c r="I74" s="270">
        <f>VLOOKUP(B74,대학별점수!$B$3:$M$73,4,0)</f>
        <v>169.86</v>
      </c>
      <c r="J74" s="271">
        <f>VLOOKUP(B74,대학별점수!$B$3:$M$73,5,0)</f>
        <v>145.62</v>
      </c>
      <c r="K74" s="211">
        <f>VLOOKUP(B74,대학별점수!$B$3:$V$73,6,0)</f>
        <v>11</v>
      </c>
      <c r="L74" s="208">
        <f>VLOOKUP(B74,대학별점수!$B$3:$V$73,7,0)</f>
        <v>11</v>
      </c>
      <c r="M74" s="209">
        <f>VLOOKUP(B74,대학별점수!$B$3:$V$73,8,0)</f>
        <v>11</v>
      </c>
      <c r="N74" s="211">
        <f>VLOOKUP($B$71,대학별점수!$B$3:$V$73,9,0)</f>
        <v>7</v>
      </c>
      <c r="O74" s="211">
        <f>VLOOKUP(B74,대학별점수!$B$3:$V$73,19,0)</f>
        <v>5</v>
      </c>
      <c r="P74" s="211">
        <f>VLOOKUP(B74,대학별점수!$B$3:$V$73,18,0)</f>
        <v>0</v>
      </c>
      <c r="Q74" s="211" t="str">
        <f>VLOOKUP(B74,대학별점수!$B$3:$V$73,17,0)</f>
        <v>_</v>
      </c>
      <c r="R74" s="211" t="str">
        <f>VLOOKUP(B74,대학별점수!$B$3:$V$73,16,0)</f>
        <v>_</v>
      </c>
      <c r="S74" s="211" t="str">
        <f>VLOOKUP(B74,대학별점수!$B$3:$V$73,20,0)</f>
        <v>10.45</v>
      </c>
      <c r="T74" s="211" t="str">
        <f>VLOOKUP(B74,대학별점수!$B$3:$V$73,21,0)</f>
        <v>13.0</v>
      </c>
      <c r="U74" s="210" t="str">
        <f>'상담(남)'!U71</f>
        <v>.</v>
      </c>
    </row>
    <row r="75" spans="1:22" ht="25.5" customHeight="1" thickBot="1">
      <c r="A75" s="174" t="s">
        <v>416</v>
      </c>
      <c r="B75" s="207" t="str">
        <f>대학별점수!B66</f>
        <v>한국체대 운동건강</v>
      </c>
      <c r="C75" s="265">
        <f>'내신(여)'!B67</f>
        <v>990</v>
      </c>
      <c r="D75" s="266">
        <f>VLOOKUP(B75,대학별점수!$B$3:$C$74,2,FALSE)</f>
        <v>995.31</v>
      </c>
      <c r="E75" s="267">
        <f>VLOOKUP(B75,대학별점수!$B$3:$D$74,3,FALSE)</f>
        <v>992.85</v>
      </c>
      <c r="F75" s="264">
        <f t="shared" si="2"/>
        <v>-5.3099999999999454</v>
      </c>
      <c r="G75" s="274">
        <f>'실기환산(여)'!BI2</f>
        <v>300</v>
      </c>
      <c r="H75" s="269"/>
      <c r="I75" s="270">
        <f>VLOOKUP(B75,대학별점수!$B$3:$M$73,4,0)</f>
        <v>261.95</v>
      </c>
      <c r="J75" s="271">
        <f>VLOOKUP(B75,대학별점수!$B$3:$M$73,5,0)</f>
        <v>242.11</v>
      </c>
      <c r="K75" s="211">
        <f>VLOOKUP(B75,대학별점수!$B$3:$V$73,6,0)</f>
        <v>5</v>
      </c>
      <c r="L75" s="208">
        <f>VLOOKUP(B75,대학별점수!$B$3:$V$73,7,0)</f>
        <v>10</v>
      </c>
      <c r="M75" s="209">
        <f>VLOOKUP(B75,대학별점수!$B$3:$V$73,8,0)</f>
        <v>10</v>
      </c>
      <c r="N75" s="211">
        <f>VLOOKUP($B$71,대학별점수!$B$3:$V$73,9,0)</f>
        <v>7</v>
      </c>
      <c r="O75" s="211">
        <f>VLOOKUP(B75,대학별점수!$B$3:$V$73,19,0)</f>
        <v>1</v>
      </c>
      <c r="P75" s="211">
        <f>VLOOKUP(B75,대학별점수!$B$3:$V$73,18,0)</f>
        <v>0</v>
      </c>
      <c r="Q75" s="211" t="str">
        <f>VLOOKUP(B75,대학별점수!$B$3:$V$73,17,0)</f>
        <v>_</v>
      </c>
      <c r="R75" s="211" t="str">
        <f>VLOOKUP(B75,대학별점수!$B$3:$V$73,16,0)</f>
        <v>_</v>
      </c>
      <c r="S75" s="211" t="str">
        <f>VLOOKUP(B75,대학별점수!$B$3:$V$73,20,0)</f>
        <v>7.70</v>
      </c>
      <c r="T75" s="211" t="str">
        <f>VLOOKUP(B75,대학별점수!$B$3:$V$73,21,0)</f>
        <v>10.5</v>
      </c>
      <c r="U75" s="210" t="str">
        <f>'상담(남)'!U72</f>
        <v>.</v>
      </c>
    </row>
    <row r="76" spans="1:22" ht="27" customHeight="1" thickBot="1">
      <c r="A76" s="174" t="s">
        <v>416</v>
      </c>
      <c r="B76" s="207" t="str">
        <f>대학별점수!B67</f>
        <v>한국체대 특수체육교육</v>
      </c>
      <c r="C76" s="265">
        <f>'내신(여)'!B68</f>
        <v>989</v>
      </c>
      <c r="D76" s="266">
        <f>VLOOKUP(B76,대학별점수!$B$3:$C$74,2,FALSE)</f>
        <v>994.61</v>
      </c>
      <c r="E76" s="267">
        <f>VLOOKUP(B76,대학별점수!$B$3:$D$74,3,FALSE)</f>
        <v>992.4</v>
      </c>
      <c r="F76" s="264">
        <f t="shared" si="2"/>
        <v>-5.6100000000000136</v>
      </c>
      <c r="G76" s="274">
        <f>'실기환산(여)'!BM2</f>
        <v>300</v>
      </c>
      <c r="H76" s="269"/>
      <c r="I76" s="270">
        <f>VLOOKUP(B76,대학별점수!$B$3:$M$73,4,0)</f>
        <v>253.05</v>
      </c>
      <c r="J76" s="271">
        <f>VLOOKUP(B76,대학별점수!$B$3:$M$73,5,0)</f>
        <v>226.32</v>
      </c>
      <c r="K76" s="211">
        <f>VLOOKUP(B76,대학별점수!$B$3:$V$73,6,0)</f>
        <v>19</v>
      </c>
      <c r="L76" s="208">
        <f>VLOOKUP(B76,대학별점수!$B$3:$V$73,7,0)</f>
        <v>19</v>
      </c>
      <c r="M76" s="209">
        <f>VLOOKUP(B76,대학별점수!$B$3:$V$73,8,0)</f>
        <v>19</v>
      </c>
      <c r="N76" s="211">
        <f>VLOOKUP($B$71,대학별점수!$B$3:$V$73,9,0)</f>
        <v>7</v>
      </c>
      <c r="O76" s="211">
        <f>VLOOKUP(B76,대학별점수!$B$3:$V$73,19,0)</f>
        <v>6</v>
      </c>
      <c r="P76" s="211">
        <f>VLOOKUP(B76,대학별점수!$B$3:$V$73,18,0)</f>
        <v>4</v>
      </c>
      <c r="Q76" s="211" t="str">
        <f>VLOOKUP(B76,대학별점수!$B$3:$V$73,17,0)</f>
        <v>_</v>
      </c>
      <c r="R76" s="211" t="str">
        <f>VLOOKUP(B76,대학별점수!$B$3:$V$73,16,0)</f>
        <v>_</v>
      </c>
      <c r="S76" s="211" t="str">
        <f>VLOOKUP(B76,대학별점수!$B$3:$V$73,20,0)</f>
        <v>5.21</v>
      </c>
      <c r="T76" s="211" t="str">
        <f>VLOOKUP(B76,대학별점수!$B$3:$V$73,21,0)</f>
        <v>5.63</v>
      </c>
      <c r="U76" s="210" t="str">
        <f>'상담(남)'!U73</f>
        <v>면접 중요</v>
      </c>
    </row>
    <row r="77" spans="1:22">
      <c r="E77" s="10"/>
      <c r="F77" s="10"/>
      <c r="G77" s="10"/>
      <c r="J77" s="13"/>
      <c r="L77" s="13"/>
      <c r="M77" s="13"/>
      <c r="N77" s="13"/>
      <c r="P77" s="13"/>
    </row>
  </sheetData>
  <autoFilter ref="A4:U69" xr:uid="{00000000-0009-0000-0000-000004000000}"/>
  <mergeCells count="2">
    <mergeCell ref="C2:D2"/>
    <mergeCell ref="E2:F2"/>
  </mergeCells>
  <phoneticPr fontId="81" type="noConversion"/>
  <pageMargins left="0.69972223043441772" right="0.69972223043441772" top="0.75" bottom="0.75" header="0.30000001192092896" footer="0.30000001192092896"/>
  <pageSetup paperSize="9" scale="2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3">
    <tabColor rgb="FF358791"/>
  </sheetPr>
  <dimension ref="A1:L76"/>
  <sheetViews>
    <sheetView zoomScaleNormal="100" zoomScaleSheetLayoutView="75" workbookViewId="0">
      <selection activeCell="E6" sqref="E6"/>
    </sheetView>
  </sheetViews>
  <sheetFormatPr defaultColWidth="8.75" defaultRowHeight="16.5"/>
  <cols>
    <col min="1" max="1" width="27.375" style="25" customWidth="1"/>
    <col min="2" max="4" width="10.625" style="25" customWidth="1"/>
    <col min="5" max="6" width="13" style="25" customWidth="1"/>
    <col min="8" max="8" width="8.75" style="25" bestFit="1" customWidth="1"/>
    <col min="10" max="10" width="8.75" style="25" bestFit="1" customWidth="1"/>
    <col min="11" max="11" width="8.75" style="2" bestFit="1" customWidth="1"/>
  </cols>
  <sheetData>
    <row r="1" spans="1:12">
      <c r="A1" s="525"/>
      <c r="B1" s="525"/>
      <c r="C1" s="525"/>
      <c r="D1" s="525"/>
      <c r="E1" s="525"/>
      <c r="F1" s="525"/>
    </row>
    <row r="2" spans="1:12" s="6" customFormat="1" ht="34.15" customHeight="1">
      <c r="A2" s="41"/>
      <c r="B2" s="41"/>
      <c r="C2" s="41"/>
      <c r="D2" s="41"/>
      <c r="E2" s="41"/>
      <c r="F2" s="41"/>
    </row>
    <row r="3" spans="1:12">
      <c r="A3" s="32" t="s">
        <v>504</v>
      </c>
      <c r="B3" s="360" t="str">
        <f>'상담(남)'!E2</f>
        <v>황규훈</v>
      </c>
      <c r="C3" s="69" t="s">
        <v>338</v>
      </c>
      <c r="D3" s="68" t="s">
        <v>467</v>
      </c>
      <c r="E3" s="96" t="s">
        <v>433</v>
      </c>
      <c r="F3" s="401" t="s">
        <v>860</v>
      </c>
      <c r="G3" s="96"/>
      <c r="H3" s="96"/>
      <c r="I3" s="96"/>
      <c r="J3" s="401"/>
      <c r="K3" s="96"/>
      <c r="L3" s="1"/>
    </row>
    <row r="4" spans="1:12" ht="17.25">
      <c r="A4" s="363" t="s">
        <v>297</v>
      </c>
      <c r="B4" s="25">
        <f>INDEX($E$3:$AAV$106,D4+1,MATCH($B$3,$E$3:$AAV$3,0))</f>
        <v>300</v>
      </c>
      <c r="C4" s="444">
        <v>300</v>
      </c>
      <c r="D4" s="82">
        <v>1</v>
      </c>
      <c r="E4" s="442">
        <v>300</v>
      </c>
      <c r="F4" s="442"/>
      <c r="G4" s="443"/>
      <c r="H4" s="443"/>
      <c r="I4" s="443"/>
      <c r="J4" s="443">
        <v>291.79500000000002</v>
      </c>
      <c r="K4" s="443">
        <v>5.27</v>
      </c>
    </row>
    <row r="5" spans="1:12" ht="17.25">
      <c r="A5" s="363" t="s">
        <v>166</v>
      </c>
      <c r="B5" s="25">
        <f t="shared" ref="B5:B71" si="0">INDEX($E$3:$AAV$106,D5+1,MATCH($B$3,$E$3:$AAV$3,0))</f>
        <v>700</v>
      </c>
      <c r="C5" s="444">
        <v>700</v>
      </c>
      <c r="D5" s="82">
        <v>2</v>
      </c>
      <c r="E5" s="442">
        <v>700</v>
      </c>
      <c r="F5" s="442"/>
      <c r="G5" s="443"/>
      <c r="H5" s="443"/>
      <c r="I5" s="443"/>
      <c r="J5" s="443"/>
      <c r="K5" s="443"/>
    </row>
    <row r="6" spans="1:12">
      <c r="A6" s="364" t="s">
        <v>592</v>
      </c>
      <c r="B6" s="25">
        <f t="shared" si="0"/>
        <v>600</v>
      </c>
      <c r="C6" s="444">
        <v>600</v>
      </c>
      <c r="D6" s="82">
        <v>3</v>
      </c>
      <c r="E6" s="442">
        <v>600</v>
      </c>
      <c r="F6" s="442"/>
      <c r="G6" s="443"/>
      <c r="H6" s="443"/>
      <c r="I6" s="443"/>
      <c r="J6" s="443"/>
      <c r="K6" s="443"/>
    </row>
    <row r="7" spans="1:12">
      <c r="A7" s="365" t="s">
        <v>573</v>
      </c>
      <c r="B7" s="25">
        <f t="shared" si="0"/>
        <v>600</v>
      </c>
      <c r="C7" s="444">
        <v>600</v>
      </c>
      <c r="D7" s="82">
        <v>4</v>
      </c>
      <c r="E7" s="442">
        <v>600</v>
      </c>
      <c r="F7" s="442"/>
      <c r="G7" s="443"/>
      <c r="H7" s="443"/>
      <c r="I7" s="443"/>
      <c r="J7" s="443"/>
      <c r="K7" s="443"/>
    </row>
    <row r="8" spans="1:12" ht="17.25">
      <c r="A8" s="363" t="s">
        <v>16</v>
      </c>
      <c r="B8" s="25">
        <f t="shared" si="0"/>
        <v>300</v>
      </c>
      <c r="C8" s="444">
        <v>300</v>
      </c>
      <c r="D8" s="82">
        <v>5</v>
      </c>
      <c r="E8" s="442">
        <v>300</v>
      </c>
      <c r="F8" s="442">
        <v>98.05</v>
      </c>
      <c r="G8" s="442">
        <v>96.59</v>
      </c>
      <c r="H8" s="442">
        <v>95.13</v>
      </c>
      <c r="I8" s="442">
        <v>93.67</v>
      </c>
      <c r="J8" s="442">
        <v>282.86</v>
      </c>
      <c r="K8" s="442">
        <v>5.65</v>
      </c>
    </row>
    <row r="9" spans="1:12" ht="17.25">
      <c r="A9" s="363" t="s">
        <v>577</v>
      </c>
      <c r="B9" s="25">
        <f t="shared" si="0"/>
        <v>200</v>
      </c>
      <c r="C9" s="444">
        <v>200</v>
      </c>
      <c r="D9" s="82">
        <v>6</v>
      </c>
      <c r="E9" s="442">
        <v>200</v>
      </c>
      <c r="F9" s="442"/>
      <c r="G9" s="443"/>
      <c r="H9" s="443"/>
      <c r="I9" s="443"/>
      <c r="J9" s="443"/>
      <c r="K9" s="443"/>
    </row>
    <row r="10" spans="1:12" s="6" customFormat="1" ht="17.25">
      <c r="A10" s="363" t="s">
        <v>76</v>
      </c>
      <c r="B10" s="25">
        <f t="shared" si="0"/>
        <v>39</v>
      </c>
      <c r="C10" s="30">
        <v>30</v>
      </c>
      <c r="D10" s="82">
        <v>7</v>
      </c>
      <c r="E10" s="442">
        <v>39</v>
      </c>
      <c r="F10" s="442"/>
      <c r="G10" s="443"/>
      <c r="H10" s="443"/>
      <c r="I10" s="443"/>
      <c r="J10" s="443"/>
      <c r="K10" s="443"/>
    </row>
    <row r="11" spans="1:12" s="6" customFormat="1" ht="17.25">
      <c r="A11" s="363" t="s">
        <v>328</v>
      </c>
      <c r="B11" s="25">
        <f t="shared" si="0"/>
        <v>39</v>
      </c>
      <c r="C11" s="444">
        <v>40</v>
      </c>
      <c r="D11" s="82">
        <v>8</v>
      </c>
      <c r="E11" s="442">
        <v>39</v>
      </c>
      <c r="F11" s="442"/>
      <c r="G11" s="443"/>
      <c r="H11" s="443"/>
      <c r="I11" s="443"/>
      <c r="J11" s="443"/>
      <c r="K11" s="443"/>
    </row>
    <row r="12" spans="1:12" ht="17.25">
      <c r="A12" s="363" t="s">
        <v>185</v>
      </c>
      <c r="B12" s="25">
        <f t="shared" si="0"/>
        <v>200</v>
      </c>
      <c r="C12" s="444">
        <v>200</v>
      </c>
      <c r="D12" s="82">
        <v>9</v>
      </c>
      <c r="E12" s="442">
        <v>200</v>
      </c>
      <c r="F12" s="442">
        <v>91.5</v>
      </c>
      <c r="G12" s="442">
        <v>84.5</v>
      </c>
      <c r="H12" s="442">
        <v>77.5</v>
      </c>
      <c r="I12" s="442">
        <v>70.5</v>
      </c>
      <c r="J12" s="442">
        <v>63.5</v>
      </c>
      <c r="K12" s="443"/>
    </row>
    <row r="13" spans="1:12" ht="17.25">
      <c r="A13" s="363" t="s">
        <v>173</v>
      </c>
      <c r="B13" s="25">
        <f t="shared" si="0"/>
        <v>100</v>
      </c>
      <c r="C13" s="444">
        <v>100</v>
      </c>
      <c r="D13" s="82">
        <v>10</v>
      </c>
      <c r="E13" s="442">
        <v>100</v>
      </c>
      <c r="F13" s="442">
        <v>91.5</v>
      </c>
      <c r="G13" s="442">
        <v>84.5</v>
      </c>
      <c r="H13" s="442">
        <v>77.5</v>
      </c>
      <c r="I13" s="442">
        <v>70.5</v>
      </c>
      <c r="J13" s="442">
        <v>63.5</v>
      </c>
      <c r="K13" s="443"/>
    </row>
    <row r="14" spans="1:12" ht="17.25">
      <c r="A14" s="363" t="s">
        <v>583</v>
      </c>
      <c r="B14" s="25">
        <f t="shared" si="0"/>
        <v>258</v>
      </c>
      <c r="C14" s="444">
        <v>300</v>
      </c>
      <c r="D14" s="82">
        <v>11</v>
      </c>
      <c r="E14" s="442">
        <v>258</v>
      </c>
      <c r="F14" s="442"/>
      <c r="G14" s="443"/>
      <c r="H14" s="443"/>
      <c r="I14" s="443"/>
      <c r="J14" s="443"/>
      <c r="K14" s="443"/>
    </row>
    <row r="15" spans="1:12" ht="17.25">
      <c r="A15" s="363" t="s">
        <v>593</v>
      </c>
      <c r="B15" s="25">
        <f t="shared" si="0"/>
        <v>249</v>
      </c>
      <c r="C15" s="444">
        <v>300</v>
      </c>
      <c r="D15" s="82">
        <v>12</v>
      </c>
      <c r="E15" s="442">
        <v>249</v>
      </c>
      <c r="F15" s="442"/>
      <c r="G15" s="443"/>
      <c r="H15" s="443"/>
      <c r="I15" s="443"/>
      <c r="J15" s="443"/>
      <c r="K15" s="443"/>
    </row>
    <row r="16" spans="1:12" s="5" customFormat="1" ht="17.25">
      <c r="A16" s="363" t="s">
        <v>43</v>
      </c>
      <c r="B16" s="292">
        <f t="shared" si="0"/>
        <v>0</v>
      </c>
      <c r="C16" s="444">
        <v>700</v>
      </c>
      <c r="D16" s="82">
        <v>13</v>
      </c>
      <c r="E16" s="442"/>
      <c r="F16" s="442"/>
      <c r="G16" s="443"/>
      <c r="H16" s="443"/>
      <c r="I16" s="443"/>
      <c r="J16" s="443"/>
      <c r="K16" s="443"/>
    </row>
    <row r="17" spans="1:11" s="6" customFormat="1" ht="17.25">
      <c r="A17" s="363" t="s">
        <v>375</v>
      </c>
      <c r="B17" s="292">
        <f t="shared" si="0"/>
        <v>198</v>
      </c>
      <c r="C17" s="444">
        <v>200</v>
      </c>
      <c r="D17" s="82">
        <v>14</v>
      </c>
      <c r="E17" s="442">
        <v>198</v>
      </c>
      <c r="F17" s="442"/>
      <c r="G17" s="443"/>
      <c r="H17" s="443"/>
      <c r="I17" s="443"/>
      <c r="J17" s="443"/>
      <c r="K17" s="443"/>
    </row>
    <row r="18" spans="1:11" s="6" customFormat="1" ht="17.25">
      <c r="A18" s="363" t="s">
        <v>363</v>
      </c>
      <c r="B18" s="25">
        <f t="shared" si="0"/>
        <v>198</v>
      </c>
      <c r="C18" s="444">
        <v>200</v>
      </c>
      <c r="D18" s="82">
        <v>15</v>
      </c>
      <c r="E18" s="442">
        <v>198</v>
      </c>
      <c r="F18" s="442"/>
      <c r="G18" s="443"/>
      <c r="H18" s="443"/>
      <c r="I18" s="443"/>
      <c r="J18" s="443">
        <v>185.91800000000001</v>
      </c>
      <c r="K18" s="443">
        <v>5.3929999999999998</v>
      </c>
    </row>
    <row r="19" spans="1:11" ht="17.25">
      <c r="A19" s="363" t="s">
        <v>44</v>
      </c>
      <c r="B19" s="25">
        <f t="shared" si="0"/>
        <v>400</v>
      </c>
      <c r="C19" s="444">
        <v>400</v>
      </c>
      <c r="D19" s="82">
        <v>16</v>
      </c>
      <c r="E19" s="442">
        <v>400</v>
      </c>
      <c r="F19" s="442"/>
      <c r="G19" s="443"/>
      <c r="H19" s="443"/>
      <c r="I19" s="443"/>
      <c r="J19" s="443"/>
      <c r="K19" s="443"/>
    </row>
    <row r="20" spans="1:11" ht="17.25">
      <c r="A20" s="363" t="s">
        <v>45</v>
      </c>
      <c r="B20" s="25">
        <f t="shared" si="0"/>
        <v>400</v>
      </c>
      <c r="C20" s="444">
        <v>400</v>
      </c>
      <c r="D20" s="82">
        <v>17</v>
      </c>
      <c r="E20" s="442">
        <v>400</v>
      </c>
      <c r="F20" s="442"/>
      <c r="G20" s="443"/>
      <c r="H20" s="443"/>
      <c r="I20" s="443"/>
      <c r="J20" s="443"/>
      <c r="K20" s="443"/>
    </row>
    <row r="21" spans="1:11" ht="17.25">
      <c r="A21" s="363" t="s">
        <v>41</v>
      </c>
      <c r="B21" s="25">
        <f t="shared" si="0"/>
        <v>200</v>
      </c>
      <c r="C21" s="444">
        <v>200</v>
      </c>
      <c r="D21" s="82">
        <v>18</v>
      </c>
      <c r="E21" s="442">
        <v>200</v>
      </c>
      <c r="F21" s="442"/>
      <c r="G21" s="443"/>
      <c r="H21" s="443"/>
      <c r="I21" s="443"/>
      <c r="J21" s="443"/>
      <c r="K21" s="443"/>
    </row>
    <row r="22" spans="1:11" ht="17.25">
      <c r="A22" s="363" t="s">
        <v>151</v>
      </c>
      <c r="B22" s="292">
        <f t="shared" si="0"/>
        <v>300</v>
      </c>
      <c r="C22" s="444">
        <v>300</v>
      </c>
      <c r="D22" s="82">
        <v>19</v>
      </c>
      <c r="E22" s="442">
        <v>300</v>
      </c>
      <c r="F22" s="442">
        <v>199</v>
      </c>
      <c r="G22" s="442">
        <v>199</v>
      </c>
      <c r="H22" s="442">
        <v>197</v>
      </c>
      <c r="I22" s="442">
        <v>188</v>
      </c>
      <c r="J22" s="442">
        <v>180</v>
      </c>
      <c r="K22" s="443"/>
    </row>
    <row r="23" spans="1:11" ht="17.25">
      <c r="A23" s="363" t="s">
        <v>84</v>
      </c>
      <c r="B23" s="292">
        <f t="shared" si="0"/>
        <v>92</v>
      </c>
      <c r="C23" s="444">
        <v>100</v>
      </c>
      <c r="D23" s="82">
        <v>20</v>
      </c>
      <c r="E23" s="442">
        <v>92</v>
      </c>
      <c r="F23" s="442">
        <v>222</v>
      </c>
      <c r="G23" s="443"/>
      <c r="H23" s="443"/>
      <c r="I23" s="443"/>
      <c r="J23" s="443"/>
      <c r="K23" s="443"/>
    </row>
    <row r="24" spans="1:11" ht="17.25">
      <c r="A24" s="363" t="s">
        <v>377</v>
      </c>
      <c r="B24" s="292">
        <f t="shared" si="0"/>
        <v>600</v>
      </c>
      <c r="C24" s="444">
        <v>600</v>
      </c>
      <c r="D24" s="82">
        <v>21</v>
      </c>
      <c r="E24" s="442">
        <v>600</v>
      </c>
      <c r="F24" s="442"/>
      <c r="G24" s="443"/>
      <c r="H24" s="443"/>
      <c r="I24" s="443"/>
      <c r="J24" s="443">
        <v>360</v>
      </c>
      <c r="K24" s="443"/>
    </row>
    <row r="25" spans="1:11" ht="17.25">
      <c r="A25" s="363" t="s">
        <v>387</v>
      </c>
      <c r="B25" s="292">
        <f t="shared" si="0"/>
        <v>400</v>
      </c>
      <c r="C25" s="444">
        <v>400</v>
      </c>
      <c r="D25" s="82">
        <v>22</v>
      </c>
      <c r="E25" s="442">
        <v>400</v>
      </c>
      <c r="F25" s="442"/>
      <c r="G25" s="443"/>
      <c r="H25" s="443"/>
      <c r="I25" s="443"/>
      <c r="J25" s="443"/>
      <c r="K25" s="443"/>
    </row>
    <row r="26" spans="1:11" ht="17.25">
      <c r="A26" s="363" t="s">
        <v>255</v>
      </c>
      <c r="B26" s="292">
        <f t="shared" si="0"/>
        <v>400</v>
      </c>
      <c r="C26" s="444">
        <v>400</v>
      </c>
      <c r="D26" s="82">
        <v>23</v>
      </c>
      <c r="E26" s="442">
        <v>400</v>
      </c>
      <c r="F26" s="442"/>
      <c r="G26" s="443"/>
      <c r="H26" s="443"/>
      <c r="I26" s="443"/>
      <c r="J26" s="443"/>
      <c r="K26" s="443"/>
    </row>
    <row r="27" spans="1:11" s="5" customFormat="1" ht="17.25">
      <c r="A27" s="363" t="s">
        <v>42</v>
      </c>
      <c r="B27" s="292">
        <f t="shared" si="0"/>
        <v>300</v>
      </c>
      <c r="C27" s="444">
        <v>300</v>
      </c>
      <c r="D27" s="82">
        <v>24</v>
      </c>
      <c r="E27" s="442">
        <v>300</v>
      </c>
      <c r="F27" s="442"/>
      <c r="G27" s="443"/>
      <c r="H27" s="443"/>
      <c r="I27" s="443"/>
      <c r="J27" s="443">
        <v>250</v>
      </c>
      <c r="K27" s="443">
        <v>5.82</v>
      </c>
    </row>
    <row r="28" spans="1:11" ht="17.25">
      <c r="A28" s="363" t="s">
        <v>562</v>
      </c>
      <c r="B28" s="292">
        <f t="shared" si="0"/>
        <v>400</v>
      </c>
      <c r="C28" s="444">
        <v>400</v>
      </c>
      <c r="D28" s="82">
        <v>25</v>
      </c>
      <c r="E28" s="442">
        <v>400</v>
      </c>
      <c r="F28" s="442"/>
      <c r="G28" s="443"/>
      <c r="H28" s="443"/>
      <c r="I28" s="443"/>
      <c r="J28" s="443"/>
      <c r="K28" s="443"/>
    </row>
    <row r="29" spans="1:11" ht="17.25">
      <c r="A29" s="363" t="s">
        <v>281</v>
      </c>
      <c r="B29" s="292">
        <f t="shared" si="0"/>
        <v>300</v>
      </c>
      <c r="C29" s="444">
        <v>400</v>
      </c>
      <c r="D29" s="82">
        <v>26</v>
      </c>
      <c r="E29" s="442">
        <v>300</v>
      </c>
      <c r="F29" s="442">
        <v>361</v>
      </c>
      <c r="G29" s="442">
        <v>358</v>
      </c>
      <c r="H29" s="442">
        <v>360</v>
      </c>
      <c r="I29" s="442">
        <v>388</v>
      </c>
      <c r="J29" s="442">
        <v>340</v>
      </c>
      <c r="K29" s="443"/>
    </row>
    <row r="30" spans="1:11" s="5" customFormat="1" ht="17.25">
      <c r="A30" s="363" t="s">
        <v>595</v>
      </c>
      <c r="B30" s="292">
        <f t="shared" si="0"/>
        <v>250</v>
      </c>
      <c r="C30" s="444">
        <v>300</v>
      </c>
      <c r="D30" s="82">
        <v>27</v>
      </c>
      <c r="E30" s="442">
        <v>250</v>
      </c>
      <c r="F30" s="442"/>
      <c r="G30" s="442"/>
      <c r="H30" s="442"/>
      <c r="I30" s="442"/>
      <c r="J30" s="442"/>
      <c r="K30" s="443"/>
    </row>
    <row r="31" spans="1:11" ht="17.25">
      <c r="A31" s="363" t="s">
        <v>179</v>
      </c>
      <c r="B31" s="292">
        <f t="shared" si="0"/>
        <v>600</v>
      </c>
      <c r="C31" s="444">
        <v>600</v>
      </c>
      <c r="D31" s="82">
        <v>28</v>
      </c>
      <c r="E31" s="442">
        <v>600</v>
      </c>
      <c r="F31" s="442"/>
      <c r="G31" s="443"/>
      <c r="H31" s="443"/>
      <c r="I31" s="443"/>
      <c r="J31" s="443"/>
      <c r="K31" s="443"/>
    </row>
    <row r="32" spans="1:11" ht="17.25">
      <c r="A32" s="363" t="s">
        <v>394</v>
      </c>
      <c r="B32" s="292">
        <f t="shared" si="0"/>
        <v>200</v>
      </c>
      <c r="C32" s="444">
        <v>200</v>
      </c>
      <c r="D32" s="82">
        <v>29</v>
      </c>
      <c r="E32" s="442">
        <v>200</v>
      </c>
      <c r="F32" s="442"/>
      <c r="G32" s="443"/>
      <c r="H32" s="443"/>
      <c r="I32" s="443"/>
      <c r="J32" s="443"/>
      <c r="K32" s="443"/>
    </row>
    <row r="33" spans="1:11" s="6" customFormat="1" ht="17.25">
      <c r="A33" s="363" t="s">
        <v>120</v>
      </c>
      <c r="B33" s="292">
        <f t="shared" si="0"/>
        <v>200</v>
      </c>
      <c r="C33" s="444">
        <v>200</v>
      </c>
      <c r="D33" s="82">
        <v>30</v>
      </c>
      <c r="E33" s="442">
        <v>200</v>
      </c>
      <c r="F33" s="442"/>
      <c r="G33" s="443"/>
      <c r="H33" s="443"/>
      <c r="I33" s="443"/>
      <c r="J33" s="443"/>
      <c r="K33" s="443"/>
    </row>
    <row r="34" spans="1:11" ht="17.25">
      <c r="A34" s="363" t="s">
        <v>163</v>
      </c>
      <c r="B34" s="292">
        <f t="shared" si="0"/>
        <v>200</v>
      </c>
      <c r="C34" s="444">
        <v>200</v>
      </c>
      <c r="D34" s="82">
        <v>31</v>
      </c>
      <c r="E34" s="442">
        <v>200</v>
      </c>
      <c r="F34" s="442"/>
      <c r="G34" s="443"/>
      <c r="H34" s="443"/>
      <c r="I34" s="443"/>
      <c r="J34" s="443"/>
      <c r="K34" s="443"/>
    </row>
    <row r="35" spans="1:11" s="6" customFormat="1" ht="17.25">
      <c r="A35" s="363" t="s">
        <v>412</v>
      </c>
      <c r="B35" s="292">
        <f t="shared" si="0"/>
        <v>180</v>
      </c>
      <c r="C35" s="444">
        <v>200</v>
      </c>
      <c r="D35" s="82">
        <v>32</v>
      </c>
      <c r="E35" s="442">
        <v>180</v>
      </c>
      <c r="F35" s="442"/>
      <c r="G35" s="443"/>
      <c r="H35" s="443"/>
      <c r="I35" s="443"/>
      <c r="J35" s="443"/>
      <c r="K35" s="443"/>
    </row>
    <row r="36" spans="1:11" ht="17.25">
      <c r="A36" s="363" t="s">
        <v>149</v>
      </c>
      <c r="B36" s="292">
        <f t="shared" si="0"/>
        <v>400</v>
      </c>
      <c r="C36" s="444">
        <v>400</v>
      </c>
      <c r="D36" s="82">
        <v>33</v>
      </c>
      <c r="E36" s="442">
        <v>400</v>
      </c>
      <c r="F36" s="442"/>
      <c r="G36" s="443"/>
      <c r="H36" s="443"/>
      <c r="I36" s="443"/>
      <c r="J36" s="443"/>
      <c r="K36" s="443"/>
    </row>
    <row r="37" spans="1:11" ht="17.25">
      <c r="A37" s="363" t="s">
        <v>171</v>
      </c>
      <c r="B37" s="292">
        <f t="shared" si="0"/>
        <v>200</v>
      </c>
      <c r="C37" s="30">
        <v>200</v>
      </c>
      <c r="D37" s="82">
        <v>34</v>
      </c>
      <c r="E37" s="442">
        <v>200</v>
      </c>
      <c r="F37" s="442"/>
      <c r="G37" s="443"/>
      <c r="H37" s="443"/>
      <c r="I37" s="443"/>
      <c r="J37" s="443"/>
      <c r="K37" s="443"/>
    </row>
    <row r="38" spans="1:11" ht="17.25">
      <c r="A38" s="363" t="s">
        <v>398</v>
      </c>
      <c r="B38" s="292">
        <f t="shared" si="0"/>
        <v>400</v>
      </c>
      <c r="C38" s="444">
        <v>400</v>
      </c>
      <c r="D38" s="82">
        <v>35</v>
      </c>
      <c r="E38" s="442">
        <v>400</v>
      </c>
      <c r="F38" s="442">
        <v>196</v>
      </c>
      <c r="G38" s="443">
        <v>197</v>
      </c>
      <c r="H38" s="443">
        <v>198</v>
      </c>
      <c r="I38" s="443">
        <v>199</v>
      </c>
      <c r="J38" s="443">
        <v>374</v>
      </c>
      <c r="K38" s="443">
        <v>5.25</v>
      </c>
    </row>
    <row r="39" spans="1:11" ht="17.25">
      <c r="A39" s="363" t="s">
        <v>150</v>
      </c>
      <c r="B39" s="292">
        <f t="shared" si="0"/>
        <v>300</v>
      </c>
      <c r="C39" s="444">
        <v>300</v>
      </c>
      <c r="D39" s="82">
        <v>36</v>
      </c>
      <c r="E39" s="442">
        <v>300</v>
      </c>
      <c r="F39" s="442"/>
      <c r="G39" s="443"/>
      <c r="H39" s="443"/>
      <c r="I39" s="443"/>
      <c r="J39" s="443"/>
      <c r="K39" s="443"/>
    </row>
    <row r="40" spans="1:11" ht="17.25">
      <c r="A40" s="363" t="s">
        <v>147</v>
      </c>
      <c r="B40" s="292">
        <f t="shared" si="0"/>
        <v>300</v>
      </c>
      <c r="C40" s="444">
        <v>300</v>
      </c>
      <c r="D40" s="82">
        <v>37</v>
      </c>
      <c r="E40" s="442">
        <v>300</v>
      </c>
      <c r="F40" s="442">
        <v>188</v>
      </c>
      <c r="G40" s="443">
        <v>185</v>
      </c>
      <c r="H40" s="443">
        <v>180</v>
      </c>
      <c r="I40" s="443">
        <v>192</v>
      </c>
      <c r="J40" s="443">
        <v>198</v>
      </c>
      <c r="K40" s="443"/>
    </row>
    <row r="41" spans="1:11" ht="17.25">
      <c r="A41" s="363" t="s">
        <v>197</v>
      </c>
      <c r="B41" s="292">
        <f t="shared" si="0"/>
        <v>400</v>
      </c>
      <c r="C41" s="444">
        <v>400</v>
      </c>
      <c r="D41" s="82">
        <v>38</v>
      </c>
      <c r="E41" s="442">
        <v>400</v>
      </c>
      <c r="F41" s="442">
        <v>91</v>
      </c>
      <c r="G41" s="443">
        <v>90</v>
      </c>
      <c r="H41" s="443">
        <v>88</v>
      </c>
      <c r="I41" s="443">
        <v>89</v>
      </c>
      <c r="J41" s="443">
        <v>87</v>
      </c>
      <c r="K41" s="443"/>
    </row>
    <row r="42" spans="1:11" s="9" customFormat="1" ht="17.25">
      <c r="A42" s="363" t="s">
        <v>355</v>
      </c>
      <c r="B42" s="292">
        <f t="shared" si="0"/>
        <v>300</v>
      </c>
      <c r="C42" s="444">
        <v>400</v>
      </c>
      <c r="D42" s="82">
        <v>39</v>
      </c>
      <c r="E42" s="442">
        <v>300</v>
      </c>
      <c r="F42" s="442"/>
      <c r="G42" s="443"/>
      <c r="H42" s="443"/>
      <c r="I42" s="443"/>
      <c r="J42" s="443"/>
      <c r="K42" s="443"/>
    </row>
    <row r="43" spans="1:11" s="6" customFormat="1" ht="17.25">
      <c r="A43" s="363" t="s">
        <v>410</v>
      </c>
      <c r="B43" s="292">
        <f t="shared" si="0"/>
        <v>280</v>
      </c>
      <c r="C43" s="444">
        <v>400</v>
      </c>
      <c r="D43" s="82">
        <v>40</v>
      </c>
      <c r="E43" s="442">
        <v>280</v>
      </c>
      <c r="F43" s="442"/>
      <c r="G43" s="443"/>
      <c r="H43" s="443"/>
      <c r="I43" s="443"/>
      <c r="J43" s="443"/>
      <c r="K43" s="443"/>
    </row>
    <row r="44" spans="1:11" s="292" customFormat="1" ht="17.25">
      <c r="A44" s="363" t="s">
        <v>40</v>
      </c>
      <c r="B44" s="292">
        <f t="shared" si="0"/>
        <v>250</v>
      </c>
      <c r="C44" s="444">
        <v>400</v>
      </c>
      <c r="D44" s="82">
        <v>41</v>
      </c>
      <c r="E44" s="442">
        <v>250</v>
      </c>
      <c r="F44" s="442"/>
      <c r="G44" s="443"/>
      <c r="H44" s="443"/>
      <c r="I44" s="443"/>
      <c r="J44" s="443"/>
      <c r="K44" s="443"/>
    </row>
    <row r="45" spans="1:11" ht="17.25">
      <c r="A45" s="363" t="s">
        <v>176</v>
      </c>
      <c r="B45" s="292">
        <f t="shared" si="0"/>
        <v>140</v>
      </c>
      <c r="C45" s="444">
        <v>150</v>
      </c>
      <c r="D45" s="82">
        <v>42</v>
      </c>
      <c r="E45" s="442">
        <v>140</v>
      </c>
      <c r="F45" s="442"/>
      <c r="G45" s="443"/>
      <c r="H45" s="443"/>
      <c r="I45" s="443"/>
      <c r="J45" s="443"/>
      <c r="K45" s="443"/>
    </row>
    <row r="46" spans="1:11" ht="17.25">
      <c r="A46" s="363" t="s">
        <v>180</v>
      </c>
      <c r="B46" s="292">
        <f t="shared" si="0"/>
        <v>148</v>
      </c>
      <c r="C46" s="444">
        <v>150</v>
      </c>
      <c r="D46" s="82">
        <v>43</v>
      </c>
      <c r="E46" s="442">
        <v>148</v>
      </c>
      <c r="F46" s="442"/>
      <c r="G46" s="443"/>
      <c r="H46" s="443"/>
      <c r="I46" s="443"/>
      <c r="J46" s="443"/>
      <c r="K46" s="443"/>
    </row>
    <row r="47" spans="1:11" s="5" customFormat="1" ht="17.25">
      <c r="A47" s="363" t="s">
        <v>8</v>
      </c>
      <c r="B47" s="292">
        <f t="shared" si="0"/>
        <v>142</v>
      </c>
      <c r="C47" s="444">
        <v>150</v>
      </c>
      <c r="D47" s="82">
        <v>44</v>
      </c>
      <c r="E47" s="442">
        <v>142</v>
      </c>
      <c r="F47" s="442"/>
      <c r="G47" s="443"/>
      <c r="H47" s="443"/>
      <c r="I47" s="443"/>
      <c r="J47" s="443"/>
      <c r="K47" s="443"/>
    </row>
    <row r="48" spans="1:11" ht="17.25">
      <c r="A48" s="363" t="s">
        <v>144</v>
      </c>
      <c r="B48" s="292">
        <f t="shared" si="0"/>
        <v>400</v>
      </c>
      <c r="C48" s="444">
        <v>600</v>
      </c>
      <c r="D48" s="82">
        <v>45</v>
      </c>
      <c r="E48" s="442">
        <v>400</v>
      </c>
      <c r="F48" s="442"/>
      <c r="G48" s="443"/>
      <c r="H48" s="443"/>
      <c r="I48" s="443"/>
      <c r="J48" s="443"/>
      <c r="K48" s="443"/>
    </row>
    <row r="49" spans="1:11" ht="17.25">
      <c r="A49" s="363" t="s">
        <v>157</v>
      </c>
      <c r="B49" s="292">
        <f t="shared" si="0"/>
        <v>400</v>
      </c>
      <c r="C49" s="444">
        <v>600</v>
      </c>
      <c r="D49" s="82">
        <v>46</v>
      </c>
      <c r="E49" s="442">
        <v>400</v>
      </c>
      <c r="F49" s="442"/>
      <c r="G49" s="443"/>
      <c r="H49" s="443"/>
      <c r="I49" s="443"/>
      <c r="J49" s="443"/>
      <c r="K49" s="443"/>
    </row>
    <row r="50" spans="1:11" ht="17.25">
      <c r="A50" s="366" t="s">
        <v>87</v>
      </c>
      <c r="B50" s="292">
        <f t="shared" si="0"/>
        <v>300</v>
      </c>
      <c r="C50" s="444">
        <v>300</v>
      </c>
      <c r="D50" s="82">
        <v>47</v>
      </c>
      <c r="E50" s="442">
        <v>300</v>
      </c>
      <c r="F50" s="442"/>
      <c r="G50" s="443"/>
      <c r="H50" s="443"/>
      <c r="I50" s="443"/>
      <c r="J50" s="443"/>
      <c r="K50" s="443"/>
    </row>
    <row r="51" spans="1:11" ht="17.25">
      <c r="A51" s="363" t="s">
        <v>169</v>
      </c>
      <c r="B51" s="292">
        <f t="shared" si="0"/>
        <v>200</v>
      </c>
      <c r="C51" s="444">
        <v>200</v>
      </c>
      <c r="D51" s="82">
        <v>48</v>
      </c>
      <c r="E51" s="442">
        <v>200</v>
      </c>
      <c r="F51" s="442"/>
      <c r="G51" s="443"/>
      <c r="H51" s="443"/>
      <c r="I51" s="443"/>
      <c r="J51" s="443"/>
      <c r="K51" s="443"/>
    </row>
    <row r="52" spans="1:11" ht="17.25">
      <c r="A52" s="363" t="s">
        <v>139</v>
      </c>
      <c r="B52" s="292">
        <f t="shared" si="0"/>
        <v>200</v>
      </c>
      <c r="C52" s="444">
        <v>200</v>
      </c>
      <c r="D52" s="82">
        <v>49</v>
      </c>
      <c r="E52" s="442">
        <v>200</v>
      </c>
      <c r="F52" s="442"/>
      <c r="G52" s="443"/>
      <c r="H52" s="443"/>
      <c r="I52" s="443"/>
      <c r="J52" s="443"/>
      <c r="K52" s="443"/>
    </row>
    <row r="53" spans="1:11" ht="17.25">
      <c r="A53" s="363" t="s">
        <v>146</v>
      </c>
      <c r="B53" s="292">
        <f t="shared" si="0"/>
        <v>200</v>
      </c>
      <c r="C53" s="444">
        <v>200</v>
      </c>
      <c r="D53" s="82">
        <v>50</v>
      </c>
      <c r="E53" s="442">
        <v>200</v>
      </c>
      <c r="F53" s="442"/>
      <c r="G53" s="443"/>
      <c r="H53" s="443"/>
      <c r="I53" s="443"/>
      <c r="J53" s="443"/>
      <c r="K53" s="443"/>
    </row>
    <row r="54" spans="1:11" ht="17.25">
      <c r="A54" s="363" t="s">
        <v>681</v>
      </c>
      <c r="B54" s="292">
        <f t="shared" si="0"/>
        <v>300</v>
      </c>
      <c r="C54" s="444">
        <v>300</v>
      </c>
      <c r="D54" s="82">
        <v>51</v>
      </c>
      <c r="E54" s="442">
        <v>300</v>
      </c>
      <c r="F54" s="442"/>
      <c r="G54" s="443"/>
      <c r="H54" s="443"/>
      <c r="I54" s="443"/>
      <c r="J54" s="443"/>
      <c r="K54" s="443"/>
    </row>
    <row r="55" spans="1:11" ht="17.25">
      <c r="A55" s="363" t="s">
        <v>108</v>
      </c>
      <c r="B55" s="292">
        <f t="shared" si="0"/>
        <v>300</v>
      </c>
      <c r="C55" s="444">
        <v>300</v>
      </c>
      <c r="D55" s="82">
        <v>52</v>
      </c>
      <c r="E55" s="442">
        <v>300</v>
      </c>
      <c r="F55" s="442"/>
      <c r="G55" s="443"/>
      <c r="H55" s="443"/>
      <c r="I55" s="443"/>
      <c r="J55" s="443"/>
      <c r="K55" s="443"/>
    </row>
    <row r="56" spans="1:11" ht="17.25">
      <c r="A56" s="363" t="s">
        <v>97</v>
      </c>
      <c r="B56" s="292">
        <f t="shared" si="0"/>
        <v>600</v>
      </c>
      <c r="C56" s="444">
        <v>300</v>
      </c>
      <c r="D56" s="82">
        <v>53</v>
      </c>
      <c r="E56" s="442">
        <v>600</v>
      </c>
      <c r="F56" s="442"/>
      <c r="G56" s="443"/>
      <c r="H56" s="443"/>
      <c r="I56" s="443"/>
      <c r="J56" s="443"/>
      <c r="K56" s="443"/>
    </row>
    <row r="57" spans="1:11" ht="17.25">
      <c r="A57" s="363" t="s">
        <v>113</v>
      </c>
      <c r="B57" s="292">
        <f t="shared" si="0"/>
        <v>200</v>
      </c>
      <c r="C57" s="444">
        <v>200</v>
      </c>
      <c r="D57" s="82">
        <v>54</v>
      </c>
      <c r="E57" s="442">
        <v>200</v>
      </c>
      <c r="F57" s="442"/>
      <c r="G57" s="443"/>
      <c r="H57" s="443"/>
      <c r="I57" s="443"/>
      <c r="J57" s="443"/>
      <c r="K57" s="443"/>
    </row>
    <row r="58" spans="1:11" ht="17.25">
      <c r="A58" s="363" t="s">
        <v>140</v>
      </c>
      <c r="B58" s="292">
        <f t="shared" si="0"/>
        <v>600</v>
      </c>
      <c r="C58" s="444">
        <v>600</v>
      </c>
      <c r="D58" s="82">
        <v>55</v>
      </c>
      <c r="E58" s="442">
        <v>600</v>
      </c>
      <c r="F58" s="442"/>
      <c r="G58" s="443"/>
      <c r="H58" s="443"/>
      <c r="I58" s="443"/>
      <c r="J58" s="443"/>
      <c r="K58" s="443"/>
    </row>
    <row r="59" spans="1:11" s="5" customFormat="1" ht="17.25">
      <c r="A59" s="363" t="s">
        <v>386</v>
      </c>
      <c r="B59" s="292">
        <f t="shared" si="0"/>
        <v>270</v>
      </c>
      <c r="C59" s="444">
        <v>300</v>
      </c>
      <c r="D59" s="82">
        <v>56</v>
      </c>
      <c r="E59" s="442">
        <v>270</v>
      </c>
      <c r="F59" s="442"/>
      <c r="G59" s="443"/>
      <c r="H59" s="443"/>
      <c r="I59" s="443"/>
      <c r="J59" s="443"/>
      <c r="K59" s="443"/>
    </row>
    <row r="60" spans="1:11" ht="17.25">
      <c r="A60" s="363" t="s">
        <v>155</v>
      </c>
      <c r="B60" s="292">
        <f t="shared" si="0"/>
        <v>800</v>
      </c>
      <c r="C60" s="444">
        <v>1000</v>
      </c>
      <c r="D60" s="82">
        <v>57</v>
      </c>
      <c r="E60" s="442">
        <v>800</v>
      </c>
      <c r="F60" s="442"/>
      <c r="G60" s="443"/>
      <c r="H60" s="443"/>
      <c r="I60" s="443"/>
      <c r="J60" s="443"/>
      <c r="K60" s="443"/>
    </row>
    <row r="61" spans="1:11" ht="17.25">
      <c r="A61" s="363" t="s">
        <v>603</v>
      </c>
      <c r="B61" s="292">
        <f t="shared" si="0"/>
        <v>1000</v>
      </c>
      <c r="C61" s="444">
        <v>1000</v>
      </c>
      <c r="D61" s="82">
        <v>58</v>
      </c>
      <c r="E61" s="442">
        <v>1000</v>
      </c>
      <c r="F61" s="442"/>
      <c r="G61" s="443"/>
      <c r="H61" s="443"/>
      <c r="I61" s="443"/>
      <c r="J61" s="443"/>
      <c r="K61" s="443"/>
    </row>
    <row r="62" spans="1:11" ht="17.25">
      <c r="A62" s="363" t="s">
        <v>162</v>
      </c>
      <c r="B62" s="292">
        <f t="shared" si="0"/>
        <v>1000</v>
      </c>
      <c r="C62" s="444">
        <v>1000</v>
      </c>
      <c r="D62" s="82">
        <v>59</v>
      </c>
      <c r="E62" s="442">
        <v>1000</v>
      </c>
      <c r="F62" s="442"/>
      <c r="G62" s="443"/>
      <c r="H62" s="443"/>
      <c r="I62" s="443"/>
      <c r="J62" s="443"/>
      <c r="K62" s="443"/>
    </row>
    <row r="63" spans="1:11" ht="17.25">
      <c r="A63" s="363" t="s">
        <v>519</v>
      </c>
      <c r="B63" s="292">
        <f t="shared" si="0"/>
        <v>999</v>
      </c>
      <c r="C63" s="444">
        <v>1000</v>
      </c>
      <c r="D63" s="82">
        <v>60</v>
      </c>
      <c r="E63" s="442">
        <v>999</v>
      </c>
      <c r="F63" s="442"/>
      <c r="G63" s="443"/>
      <c r="H63" s="443"/>
      <c r="I63" s="443"/>
      <c r="J63" s="443"/>
      <c r="K63" s="443"/>
    </row>
    <row r="64" spans="1:11" ht="17.25">
      <c r="A64" s="363" t="s">
        <v>405</v>
      </c>
      <c r="B64" s="292">
        <f t="shared" si="0"/>
        <v>990</v>
      </c>
      <c r="C64" s="444">
        <v>1000</v>
      </c>
      <c r="D64" s="82">
        <v>61</v>
      </c>
      <c r="E64" s="442">
        <v>990</v>
      </c>
      <c r="F64" s="442"/>
      <c r="G64" s="443"/>
      <c r="H64" s="443"/>
      <c r="I64" s="443"/>
      <c r="J64" s="443"/>
      <c r="K64" s="443"/>
    </row>
    <row r="65" spans="1:11" ht="17.25">
      <c r="A65" s="363" t="s">
        <v>167</v>
      </c>
      <c r="B65" s="292">
        <f t="shared" si="0"/>
        <v>989</v>
      </c>
      <c r="C65" s="444">
        <v>1000</v>
      </c>
      <c r="D65" s="82">
        <v>62</v>
      </c>
      <c r="E65" s="442">
        <v>989</v>
      </c>
      <c r="F65" s="442"/>
      <c r="G65" s="443"/>
      <c r="H65" s="443"/>
      <c r="I65" s="443"/>
      <c r="J65" s="443"/>
      <c r="K65" s="443"/>
    </row>
    <row r="66" spans="1:11" ht="17.25">
      <c r="A66" s="367" t="s">
        <v>78</v>
      </c>
      <c r="B66" s="292">
        <f t="shared" si="0"/>
        <v>400</v>
      </c>
      <c r="C66" s="444">
        <v>400</v>
      </c>
      <c r="D66" s="82">
        <v>63</v>
      </c>
      <c r="E66" s="442">
        <v>400</v>
      </c>
      <c r="F66" s="442"/>
      <c r="G66" s="443"/>
      <c r="H66" s="443"/>
      <c r="I66" s="443"/>
      <c r="J66" s="443"/>
      <c r="K66" s="443"/>
    </row>
    <row r="67" spans="1:11" ht="17.25">
      <c r="A67" s="363" t="s">
        <v>153</v>
      </c>
      <c r="B67" s="292">
        <f t="shared" si="0"/>
        <v>200</v>
      </c>
      <c r="C67" s="444">
        <v>200</v>
      </c>
      <c r="D67" s="82">
        <v>64</v>
      </c>
      <c r="E67" s="442">
        <v>200</v>
      </c>
      <c r="F67" s="442"/>
      <c r="G67" s="443"/>
      <c r="H67" s="443"/>
      <c r="I67" s="443"/>
      <c r="J67" s="443"/>
      <c r="K67" s="443"/>
    </row>
    <row r="68" spans="1:11" ht="17.25">
      <c r="A68" s="363" t="s">
        <v>381</v>
      </c>
      <c r="B68" s="292">
        <f t="shared" si="0"/>
        <v>200</v>
      </c>
      <c r="C68" s="444">
        <v>200</v>
      </c>
      <c r="D68" s="82">
        <v>65</v>
      </c>
      <c r="E68" s="442">
        <v>200</v>
      </c>
      <c r="F68" s="442"/>
      <c r="G68" s="443"/>
      <c r="H68" s="443"/>
      <c r="I68" s="443"/>
      <c r="J68" s="443"/>
      <c r="K68" s="443"/>
    </row>
    <row r="69" spans="1:11" ht="17.25">
      <c r="A69" s="368" t="s">
        <v>164</v>
      </c>
      <c r="B69" s="292">
        <f t="shared" si="0"/>
        <v>600</v>
      </c>
      <c r="C69" s="444">
        <v>600</v>
      </c>
      <c r="D69" s="82">
        <v>66</v>
      </c>
      <c r="E69" s="442">
        <v>600</v>
      </c>
      <c r="F69" s="442"/>
      <c r="G69" s="443"/>
      <c r="H69" s="443"/>
      <c r="I69" s="443"/>
      <c r="J69" s="443"/>
      <c r="K69" s="443"/>
    </row>
    <row r="70" spans="1:11" ht="17.25">
      <c r="A70" s="363" t="s">
        <v>565</v>
      </c>
      <c r="B70" s="292">
        <f t="shared" si="0"/>
        <v>0</v>
      </c>
      <c r="C70" s="444"/>
      <c r="D70" s="82">
        <v>67</v>
      </c>
      <c r="E70" s="442"/>
      <c r="F70" s="442"/>
      <c r="G70" s="443"/>
      <c r="H70" s="443"/>
      <c r="I70" s="443"/>
      <c r="J70" s="443"/>
      <c r="K70" s="443"/>
    </row>
    <row r="71" spans="1:11">
      <c r="A71" s="364" t="s">
        <v>148</v>
      </c>
      <c r="B71" s="292">
        <f t="shared" si="0"/>
        <v>200</v>
      </c>
      <c r="C71" s="444">
        <v>200</v>
      </c>
      <c r="D71" s="82">
        <v>68</v>
      </c>
      <c r="E71" s="442">
        <v>200</v>
      </c>
      <c r="F71" s="442"/>
      <c r="G71" s="443"/>
      <c r="H71" s="443"/>
      <c r="I71" s="443"/>
      <c r="J71" s="443"/>
      <c r="K71" s="443"/>
    </row>
    <row r="72" spans="1:11">
      <c r="B72" s="28"/>
      <c r="C72" s="28"/>
      <c r="D72" s="28"/>
      <c r="E72" s="29"/>
      <c r="F72" s="29"/>
    </row>
    <row r="73" spans="1:11">
      <c r="B73" s="28"/>
      <c r="C73" s="28"/>
      <c r="D73" s="28"/>
      <c r="E73" s="29"/>
      <c r="F73" s="29"/>
    </row>
    <row r="74" spans="1:11">
      <c r="B74" s="28"/>
      <c r="C74" s="28"/>
      <c r="D74" s="28"/>
    </row>
    <row r="75" spans="1:11">
      <c r="B75" s="28"/>
      <c r="C75" s="28"/>
      <c r="D75" s="28"/>
    </row>
    <row r="76" spans="1:11">
      <c r="B76" s="28"/>
      <c r="C76" s="28"/>
      <c r="D76" s="28"/>
    </row>
  </sheetData>
  <mergeCells count="1">
    <mergeCell ref="A1:F1"/>
  </mergeCells>
  <phoneticPr fontId="81" type="noConversion"/>
  <pageMargins left="0.69972223043441772" right="0.69972223043441772" top="0.75" bottom="0.75" header="0.30000001192092896" footer="0.30000001192092896"/>
  <pageSetup paperSize="9" scale="48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>
    <tabColor rgb="FF358791"/>
  </sheetPr>
  <dimension ref="A1:R78"/>
  <sheetViews>
    <sheetView zoomScaleNormal="100" zoomScaleSheetLayoutView="75" workbookViewId="0">
      <selection activeCell="A2" sqref="A2:XFD2"/>
    </sheetView>
  </sheetViews>
  <sheetFormatPr defaultColWidth="8.75" defaultRowHeight="16.5"/>
  <cols>
    <col min="1" max="1" width="27.375" style="25" customWidth="1"/>
    <col min="2" max="4" width="10.625" style="25" customWidth="1"/>
    <col min="5" max="5" width="13" style="25" customWidth="1"/>
    <col min="6" max="6" width="8.75" style="17" bestFit="1" customWidth="1"/>
    <col min="8" max="8" width="8.75" style="2" bestFit="1" customWidth="1"/>
  </cols>
  <sheetData>
    <row r="1" spans="1:18">
      <c r="A1" s="525"/>
      <c r="B1" s="525"/>
      <c r="C1" s="525"/>
      <c r="D1" s="525"/>
      <c r="E1" s="525"/>
    </row>
    <row r="2" spans="1:18" s="6" customFormat="1" ht="27" customHeight="1">
      <c r="A2" s="41"/>
      <c r="B2" s="41"/>
      <c r="C2" s="41"/>
      <c r="D2" s="41"/>
      <c r="E2" s="41"/>
    </row>
    <row r="3" spans="1:18">
      <c r="A3" s="32" t="s">
        <v>504</v>
      </c>
      <c r="B3" s="360" t="str">
        <f>'상담(여)'!E2</f>
        <v>고춘자</v>
      </c>
      <c r="C3" s="69" t="s">
        <v>338</v>
      </c>
      <c r="D3" s="69" t="s">
        <v>467</v>
      </c>
      <c r="E3" s="445" t="s">
        <v>627</v>
      </c>
      <c r="F3" s="445" t="s">
        <v>623</v>
      </c>
      <c r="G3" s="445" t="s">
        <v>624</v>
      </c>
      <c r="H3" s="445" t="s">
        <v>625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</row>
    <row r="4" spans="1:18" ht="17.25">
      <c r="A4" s="363" t="s">
        <v>297</v>
      </c>
      <c r="B4" s="30">
        <f t="shared" ref="B4:B15" si="0">INDEX($E$3:$AAX$108,D4+1,MATCH($B$3,$E$3:$AAX$3,0))</f>
        <v>300</v>
      </c>
      <c r="C4" s="441">
        <f>'내신(남)'!C4</f>
        <v>300</v>
      </c>
      <c r="D4" s="135">
        <v>1</v>
      </c>
      <c r="E4" s="134">
        <f>'내신(남)'!E4</f>
        <v>300</v>
      </c>
      <c r="F4" s="292"/>
      <c r="G4" s="444"/>
    </row>
    <row r="5" spans="1:18" ht="17.25">
      <c r="A5" s="363" t="s">
        <v>166</v>
      </c>
      <c r="B5" s="30">
        <f t="shared" si="0"/>
        <v>700</v>
      </c>
      <c r="C5" s="441">
        <f>'내신(남)'!C5</f>
        <v>700</v>
      </c>
      <c r="D5" s="135">
        <v>2</v>
      </c>
      <c r="E5" s="134">
        <f>'내신(남)'!E5</f>
        <v>700</v>
      </c>
      <c r="F5" s="292"/>
      <c r="G5" s="444"/>
    </row>
    <row r="6" spans="1:18">
      <c r="A6" s="364" t="s">
        <v>592</v>
      </c>
      <c r="B6" s="30">
        <f t="shared" si="0"/>
        <v>600</v>
      </c>
      <c r="C6" s="441">
        <f>'내신(남)'!C6</f>
        <v>600</v>
      </c>
      <c r="D6" s="135">
        <v>3</v>
      </c>
      <c r="E6" s="134">
        <f>'내신(남)'!E6</f>
        <v>600</v>
      </c>
      <c r="F6" s="292"/>
      <c r="G6" s="444"/>
    </row>
    <row r="7" spans="1:18">
      <c r="A7" s="365" t="s">
        <v>573</v>
      </c>
      <c r="B7" s="30">
        <f t="shared" si="0"/>
        <v>600</v>
      </c>
      <c r="C7" s="441">
        <f>'내신(남)'!C7</f>
        <v>600</v>
      </c>
      <c r="D7" s="135">
        <v>4</v>
      </c>
      <c r="E7" s="134">
        <f>'내신(남)'!E7</f>
        <v>600</v>
      </c>
      <c r="F7" s="292"/>
      <c r="G7" s="444"/>
    </row>
    <row r="8" spans="1:18" ht="17.25">
      <c r="A8" s="363" t="s">
        <v>16</v>
      </c>
      <c r="B8" s="30">
        <f t="shared" si="0"/>
        <v>300</v>
      </c>
      <c r="C8" s="441">
        <f>'내신(남)'!C8</f>
        <v>300</v>
      </c>
      <c r="D8" s="135">
        <v>5</v>
      </c>
      <c r="E8" s="134">
        <f>'내신(남)'!E8</f>
        <v>300</v>
      </c>
      <c r="F8" s="292"/>
      <c r="G8" s="444"/>
    </row>
    <row r="9" spans="1:18" ht="17.25">
      <c r="A9" s="363" t="s">
        <v>577</v>
      </c>
      <c r="B9" s="30">
        <f t="shared" si="0"/>
        <v>200</v>
      </c>
      <c r="C9" s="441">
        <f>'내신(남)'!C9</f>
        <v>200</v>
      </c>
      <c r="D9" s="135">
        <v>6</v>
      </c>
      <c r="E9" s="134">
        <f>'내신(남)'!E9</f>
        <v>200</v>
      </c>
      <c r="F9" s="292"/>
      <c r="G9" s="444"/>
    </row>
    <row r="10" spans="1:18" s="6" customFormat="1" ht="17.25">
      <c r="A10" s="363" t="s">
        <v>76</v>
      </c>
      <c r="B10" s="30">
        <f t="shared" si="0"/>
        <v>39.799999999999997</v>
      </c>
      <c r="C10" s="30">
        <v>30</v>
      </c>
      <c r="D10" s="135">
        <v>7</v>
      </c>
      <c r="E10" s="134">
        <v>39.799999999999997</v>
      </c>
      <c r="F10" s="292"/>
      <c r="G10" s="30"/>
    </row>
    <row r="11" spans="1:18" s="6" customFormat="1" ht="17.25">
      <c r="A11" s="363" t="s">
        <v>328</v>
      </c>
      <c r="B11" s="30">
        <f t="shared" si="0"/>
        <v>36.549999999999997</v>
      </c>
      <c r="C11" s="441">
        <v>40</v>
      </c>
      <c r="D11" s="135">
        <v>8</v>
      </c>
      <c r="E11" s="134">
        <v>36.549999999999997</v>
      </c>
      <c r="F11" s="292"/>
      <c r="G11" s="444"/>
    </row>
    <row r="12" spans="1:18" ht="17.25">
      <c r="A12" s="363" t="s">
        <v>185</v>
      </c>
      <c r="B12" s="30">
        <f t="shared" si="0"/>
        <v>200</v>
      </c>
      <c r="C12" s="441">
        <f>'내신(남)'!C12</f>
        <v>200</v>
      </c>
      <c r="D12" s="135">
        <v>9</v>
      </c>
      <c r="E12" s="134">
        <f>'내신(남)'!E12</f>
        <v>200</v>
      </c>
      <c r="F12" s="292"/>
      <c r="G12" s="444"/>
    </row>
    <row r="13" spans="1:18" ht="17.25">
      <c r="A13" s="363" t="s">
        <v>173</v>
      </c>
      <c r="B13" s="30">
        <f t="shared" si="0"/>
        <v>100</v>
      </c>
      <c r="C13" s="441">
        <f>'내신(남)'!C13</f>
        <v>100</v>
      </c>
      <c r="D13" s="135">
        <v>10</v>
      </c>
      <c r="E13" s="134">
        <f>'내신(남)'!E13</f>
        <v>100</v>
      </c>
      <c r="F13" s="292"/>
      <c r="G13" s="444"/>
    </row>
    <row r="14" spans="1:18" ht="17.25">
      <c r="A14" s="363" t="s">
        <v>583</v>
      </c>
      <c r="B14" s="30">
        <f t="shared" si="0"/>
        <v>300</v>
      </c>
      <c r="C14" s="441">
        <v>300</v>
      </c>
      <c r="D14" s="135">
        <v>11</v>
      </c>
      <c r="E14" s="134">
        <v>300</v>
      </c>
      <c r="F14" s="292"/>
      <c r="G14" s="444"/>
    </row>
    <row r="15" spans="1:18" ht="17.25">
      <c r="A15" s="363" t="s">
        <v>593</v>
      </c>
      <c r="B15" s="30">
        <f t="shared" si="0"/>
        <v>300</v>
      </c>
      <c r="C15" s="441">
        <v>300</v>
      </c>
      <c r="D15" s="135">
        <v>12</v>
      </c>
      <c r="E15" s="134">
        <v>300</v>
      </c>
      <c r="F15" s="292"/>
      <c r="G15" s="444"/>
    </row>
    <row r="16" spans="1:18" s="5" customFormat="1" ht="17.25">
      <c r="A16" s="363" t="s">
        <v>43</v>
      </c>
      <c r="B16" s="30"/>
      <c r="C16" s="441">
        <v>700</v>
      </c>
      <c r="D16" s="135">
        <v>13</v>
      </c>
      <c r="E16" s="134"/>
      <c r="F16" s="292"/>
      <c r="G16" s="444"/>
    </row>
    <row r="17" spans="1:7" s="6" customFormat="1" ht="17.25">
      <c r="A17" s="363" t="s">
        <v>375</v>
      </c>
      <c r="B17" s="30">
        <f t="shared" ref="B17:B30" si="1">INDEX($E$3:$AAX$108,D17+1,MATCH($B$3,$E$3:$AAX$3,0))</f>
        <v>197.5</v>
      </c>
      <c r="C17" s="441">
        <v>200</v>
      </c>
      <c r="D17" s="135">
        <v>14</v>
      </c>
      <c r="E17" s="134">
        <v>197.5</v>
      </c>
      <c r="F17" s="292"/>
      <c r="G17" s="444"/>
    </row>
    <row r="18" spans="1:7" s="6" customFormat="1" ht="17.25">
      <c r="A18" s="363" t="s">
        <v>363</v>
      </c>
      <c r="B18" s="30">
        <f t="shared" si="1"/>
        <v>197.5</v>
      </c>
      <c r="C18" s="441">
        <v>200</v>
      </c>
      <c r="D18" s="135">
        <v>15</v>
      </c>
      <c r="E18" s="134">
        <v>197.5</v>
      </c>
      <c r="F18" s="292"/>
      <c r="G18" s="444"/>
    </row>
    <row r="19" spans="1:7" ht="17.25">
      <c r="A19" s="363" t="s">
        <v>44</v>
      </c>
      <c r="B19" s="30">
        <f t="shared" si="1"/>
        <v>400</v>
      </c>
      <c r="C19" s="441">
        <f>'내신(남)'!C19</f>
        <v>400</v>
      </c>
      <c r="D19" s="135">
        <v>16</v>
      </c>
      <c r="E19" s="134">
        <f>'내신(남)'!E19</f>
        <v>400</v>
      </c>
      <c r="F19" s="292"/>
      <c r="G19" s="444"/>
    </row>
    <row r="20" spans="1:7" ht="17.25">
      <c r="A20" s="363" t="s">
        <v>45</v>
      </c>
      <c r="B20" s="30">
        <f t="shared" si="1"/>
        <v>400</v>
      </c>
      <c r="C20" s="441">
        <f>'내신(남)'!C20</f>
        <v>400</v>
      </c>
      <c r="D20" s="135">
        <v>17</v>
      </c>
      <c r="E20" s="134">
        <f>'내신(남)'!E20</f>
        <v>400</v>
      </c>
      <c r="F20" s="292"/>
      <c r="G20" s="444"/>
    </row>
    <row r="21" spans="1:7" ht="17.25">
      <c r="A21" s="363" t="s">
        <v>41</v>
      </c>
      <c r="B21" s="30">
        <f t="shared" si="1"/>
        <v>200</v>
      </c>
      <c r="C21" s="441">
        <f>'내신(남)'!C21</f>
        <v>200</v>
      </c>
      <c r="D21" s="135">
        <v>18</v>
      </c>
      <c r="E21" s="134">
        <f>'내신(남)'!E21</f>
        <v>200</v>
      </c>
      <c r="F21" s="292"/>
      <c r="G21" s="444"/>
    </row>
    <row r="22" spans="1:7" ht="17.25">
      <c r="A22" s="363" t="s">
        <v>151</v>
      </c>
      <c r="B22" s="30">
        <f t="shared" si="1"/>
        <v>300</v>
      </c>
      <c r="C22" s="441">
        <f>'내신(남)'!C22</f>
        <v>300</v>
      </c>
      <c r="D22" s="135">
        <v>19</v>
      </c>
      <c r="E22" s="134">
        <f>'내신(남)'!E22</f>
        <v>300</v>
      </c>
      <c r="F22" s="292"/>
      <c r="G22" s="444"/>
    </row>
    <row r="23" spans="1:7" ht="17.25">
      <c r="A23" s="363" t="s">
        <v>290</v>
      </c>
      <c r="B23" s="30">
        <f t="shared" si="1"/>
        <v>199.99</v>
      </c>
      <c r="C23" s="441">
        <v>200</v>
      </c>
      <c r="D23" s="135">
        <v>20</v>
      </c>
      <c r="E23" s="134">
        <v>199.99</v>
      </c>
      <c r="F23" s="292"/>
      <c r="G23" s="444"/>
    </row>
    <row r="24" spans="1:7" ht="17.25">
      <c r="A24" s="363" t="s">
        <v>84</v>
      </c>
      <c r="B24" s="30">
        <f t="shared" si="1"/>
        <v>99.85</v>
      </c>
      <c r="C24" s="441">
        <v>100</v>
      </c>
      <c r="D24" s="135">
        <v>21</v>
      </c>
      <c r="E24" s="134">
        <v>99.85</v>
      </c>
      <c r="F24" s="292"/>
      <c r="G24" s="444"/>
    </row>
    <row r="25" spans="1:7" ht="17.25">
      <c r="A25" s="363" t="s">
        <v>377</v>
      </c>
      <c r="B25" s="30">
        <f t="shared" si="1"/>
        <v>600</v>
      </c>
      <c r="C25" s="441">
        <f>'내신(남)'!C24</f>
        <v>600</v>
      </c>
      <c r="D25" s="135">
        <v>22</v>
      </c>
      <c r="E25" s="134">
        <f>'내신(남)'!E24</f>
        <v>600</v>
      </c>
      <c r="F25" s="292"/>
      <c r="G25" s="444"/>
    </row>
    <row r="26" spans="1:7" ht="17.25">
      <c r="A26" s="363" t="s">
        <v>387</v>
      </c>
      <c r="B26" s="30">
        <f t="shared" si="1"/>
        <v>400</v>
      </c>
      <c r="C26" s="441">
        <f>'내신(남)'!C25</f>
        <v>400</v>
      </c>
      <c r="D26" s="135">
        <v>23</v>
      </c>
      <c r="E26" s="134">
        <f>'내신(남)'!E25</f>
        <v>400</v>
      </c>
      <c r="F26" s="292"/>
      <c r="G26" s="444"/>
    </row>
    <row r="27" spans="1:7" ht="17.25">
      <c r="A27" s="363" t="s">
        <v>255</v>
      </c>
      <c r="B27" s="30">
        <f t="shared" si="1"/>
        <v>395</v>
      </c>
      <c r="C27" s="441">
        <v>400</v>
      </c>
      <c r="D27" s="135">
        <v>24</v>
      </c>
      <c r="E27" s="134">
        <v>395</v>
      </c>
      <c r="F27" s="292"/>
      <c r="G27" s="444"/>
    </row>
    <row r="28" spans="1:7" s="5" customFormat="1" ht="17.25">
      <c r="A28" s="363" t="s">
        <v>42</v>
      </c>
      <c r="B28" s="30">
        <f t="shared" si="1"/>
        <v>300</v>
      </c>
      <c r="C28" s="441">
        <v>300</v>
      </c>
      <c r="D28" s="135">
        <v>25</v>
      </c>
      <c r="E28" s="134">
        <v>300</v>
      </c>
      <c r="F28" s="292"/>
      <c r="G28" s="444"/>
    </row>
    <row r="29" spans="1:7" ht="17.25">
      <c r="A29" s="363" t="s">
        <v>562</v>
      </c>
      <c r="B29" s="30">
        <f t="shared" si="1"/>
        <v>400</v>
      </c>
      <c r="C29" s="441">
        <f>'내신(남)'!C28</f>
        <v>400</v>
      </c>
      <c r="D29" s="135">
        <v>26</v>
      </c>
      <c r="E29" s="134">
        <f>'내신(남)'!E28</f>
        <v>400</v>
      </c>
      <c r="F29" s="292"/>
      <c r="G29" s="444"/>
    </row>
    <row r="30" spans="1:7" ht="17.25">
      <c r="A30" s="363" t="s">
        <v>281</v>
      </c>
      <c r="B30" s="30">
        <f t="shared" si="1"/>
        <v>300</v>
      </c>
      <c r="C30" s="441">
        <f>'내신(남)'!C29</f>
        <v>400</v>
      </c>
      <c r="D30" s="135">
        <v>27</v>
      </c>
      <c r="E30" s="134">
        <f>'내신(남)'!E29</f>
        <v>300</v>
      </c>
      <c r="F30" s="292"/>
      <c r="G30" s="444"/>
    </row>
    <row r="31" spans="1:7" s="5" customFormat="1" ht="17.25">
      <c r="A31" s="363" t="s">
        <v>595</v>
      </c>
      <c r="B31" s="30"/>
      <c r="C31" s="441">
        <v>300</v>
      </c>
      <c r="D31" s="135">
        <v>28</v>
      </c>
      <c r="E31" s="134">
        <v>300</v>
      </c>
      <c r="F31" s="292"/>
      <c r="G31" s="444"/>
    </row>
    <row r="32" spans="1:7" ht="17.25">
      <c r="A32" s="363" t="s">
        <v>578</v>
      </c>
      <c r="B32" s="30">
        <f t="shared" ref="B32:B46" si="2">INDEX($E$3:$AAX$108,D32+1,MATCH($B$3,$E$3:$AAX$3,0))</f>
        <v>600</v>
      </c>
      <c r="C32" s="441">
        <v>600</v>
      </c>
      <c r="D32" s="135">
        <v>29</v>
      </c>
      <c r="E32" s="134">
        <v>600</v>
      </c>
      <c r="F32" s="292"/>
      <c r="G32" s="444"/>
    </row>
    <row r="33" spans="1:7" ht="17.25">
      <c r="A33" s="363" t="s">
        <v>179</v>
      </c>
      <c r="B33" s="30">
        <f t="shared" si="2"/>
        <v>600</v>
      </c>
      <c r="C33" s="441">
        <f>'내신(남)'!C31</f>
        <v>600</v>
      </c>
      <c r="D33" s="135">
        <v>30</v>
      </c>
      <c r="E33" s="134">
        <f>'내신(남)'!E31</f>
        <v>600</v>
      </c>
      <c r="F33" s="292"/>
      <c r="G33" s="444"/>
    </row>
    <row r="34" spans="1:7" ht="17.25">
      <c r="A34" s="363" t="s">
        <v>394</v>
      </c>
      <c r="B34" s="30">
        <f t="shared" si="2"/>
        <v>185</v>
      </c>
      <c r="C34" s="441">
        <f>'내신(남)'!C32</f>
        <v>200</v>
      </c>
      <c r="D34" s="135">
        <v>31</v>
      </c>
      <c r="E34" s="134">
        <v>185</v>
      </c>
      <c r="F34" s="292"/>
      <c r="G34" s="444"/>
    </row>
    <row r="35" spans="1:7" s="6" customFormat="1" ht="17.25">
      <c r="A35" s="363" t="s">
        <v>120</v>
      </c>
      <c r="B35" s="30">
        <f t="shared" si="2"/>
        <v>165</v>
      </c>
      <c r="C35" s="441">
        <v>200</v>
      </c>
      <c r="D35" s="135">
        <v>32</v>
      </c>
      <c r="E35" s="134">
        <v>165</v>
      </c>
      <c r="F35" s="292"/>
      <c r="G35" s="444"/>
    </row>
    <row r="36" spans="1:7" ht="17.25">
      <c r="A36" s="363" t="s">
        <v>163</v>
      </c>
      <c r="B36" s="30">
        <f t="shared" si="2"/>
        <v>180</v>
      </c>
      <c r="C36" s="441">
        <f>'내신(남)'!C34</f>
        <v>200</v>
      </c>
      <c r="D36" s="135">
        <v>33</v>
      </c>
      <c r="E36" s="134">
        <v>180</v>
      </c>
      <c r="F36" s="292"/>
      <c r="G36" s="444"/>
    </row>
    <row r="37" spans="1:7" s="6" customFormat="1" ht="17.25">
      <c r="A37" s="363" t="s">
        <v>412</v>
      </c>
      <c r="B37" s="30">
        <f t="shared" si="2"/>
        <v>170</v>
      </c>
      <c r="C37" s="441">
        <v>200</v>
      </c>
      <c r="D37" s="135">
        <v>34</v>
      </c>
      <c r="E37" s="134">
        <v>170</v>
      </c>
      <c r="F37" s="292"/>
      <c r="G37" s="444"/>
    </row>
    <row r="38" spans="1:7" ht="17.25">
      <c r="A38" s="363" t="s">
        <v>149</v>
      </c>
      <c r="B38" s="30">
        <f t="shared" si="2"/>
        <v>400</v>
      </c>
      <c r="C38" s="441">
        <f>'내신(남)'!C36</f>
        <v>400</v>
      </c>
      <c r="D38" s="135">
        <v>35</v>
      </c>
      <c r="E38" s="134">
        <f>'내신(남)'!E36</f>
        <v>400</v>
      </c>
      <c r="F38" s="292"/>
      <c r="G38" s="444"/>
    </row>
    <row r="39" spans="1:7" ht="17.25">
      <c r="A39" s="363" t="s">
        <v>171</v>
      </c>
      <c r="B39" s="30">
        <f t="shared" si="2"/>
        <v>200</v>
      </c>
      <c r="C39" s="441">
        <f>'내신(남)'!C37</f>
        <v>200</v>
      </c>
      <c r="D39" s="135">
        <v>36</v>
      </c>
      <c r="E39" s="134">
        <f>'내신(남)'!E37</f>
        <v>200</v>
      </c>
      <c r="F39" s="292"/>
      <c r="G39" s="444"/>
    </row>
    <row r="40" spans="1:7" ht="17.25">
      <c r="A40" s="363" t="s">
        <v>398</v>
      </c>
      <c r="B40" s="30">
        <f t="shared" si="2"/>
        <v>400</v>
      </c>
      <c r="C40" s="441">
        <f>'내신(남)'!C38</f>
        <v>400</v>
      </c>
      <c r="D40" s="135">
        <v>37</v>
      </c>
      <c r="E40" s="134">
        <f>'내신(남)'!E38</f>
        <v>400</v>
      </c>
      <c r="F40" s="292"/>
      <c r="G40" s="444"/>
    </row>
    <row r="41" spans="1:7" ht="17.25">
      <c r="A41" s="363" t="s">
        <v>160</v>
      </c>
      <c r="B41" s="30">
        <f t="shared" si="2"/>
        <v>400</v>
      </c>
      <c r="C41" s="441">
        <v>400</v>
      </c>
      <c r="D41" s="135">
        <v>38</v>
      </c>
      <c r="E41" s="134">
        <v>400</v>
      </c>
      <c r="F41" s="292"/>
      <c r="G41" s="444"/>
    </row>
    <row r="42" spans="1:7" ht="17.25">
      <c r="A42" s="363" t="s">
        <v>150</v>
      </c>
      <c r="B42" s="30">
        <f t="shared" si="2"/>
        <v>300</v>
      </c>
      <c r="C42" s="441">
        <f>'내신(남)'!C39</f>
        <v>300</v>
      </c>
      <c r="D42" s="135">
        <v>39</v>
      </c>
      <c r="E42" s="134">
        <f>'내신(남)'!E39</f>
        <v>300</v>
      </c>
      <c r="F42" s="292"/>
      <c r="G42" s="444"/>
    </row>
    <row r="43" spans="1:7" ht="17.25">
      <c r="A43" s="363" t="s">
        <v>147</v>
      </c>
      <c r="B43" s="30">
        <f t="shared" si="2"/>
        <v>300</v>
      </c>
      <c r="C43" s="441">
        <f>'내신(남)'!C40</f>
        <v>300</v>
      </c>
      <c r="D43" s="135">
        <v>40</v>
      </c>
      <c r="E43" s="134">
        <f>'내신(남)'!E40</f>
        <v>300</v>
      </c>
      <c r="F43" s="292"/>
      <c r="G43" s="444"/>
    </row>
    <row r="44" spans="1:7" ht="17.25">
      <c r="A44" s="363" t="s">
        <v>197</v>
      </c>
      <c r="B44" s="30">
        <f t="shared" si="2"/>
        <v>400</v>
      </c>
      <c r="C44" s="441">
        <f>'내신(남)'!C41</f>
        <v>400</v>
      </c>
      <c r="D44" s="135">
        <v>41</v>
      </c>
      <c r="E44" s="134">
        <f>'내신(남)'!E41</f>
        <v>400</v>
      </c>
      <c r="F44" s="292"/>
      <c r="G44" s="444"/>
    </row>
    <row r="45" spans="1:7" s="9" customFormat="1" ht="17.25">
      <c r="A45" s="363" t="s">
        <v>355</v>
      </c>
      <c r="B45" s="30">
        <f t="shared" si="2"/>
        <v>350</v>
      </c>
      <c r="C45" s="441">
        <v>400</v>
      </c>
      <c r="D45" s="135">
        <v>42</v>
      </c>
      <c r="E45" s="134">
        <v>350</v>
      </c>
      <c r="F45" s="292"/>
      <c r="G45" s="444"/>
    </row>
    <row r="46" spans="1:7" s="6" customFormat="1" ht="17.25">
      <c r="A46" s="363" t="s">
        <v>410</v>
      </c>
      <c r="B46" s="30">
        <f t="shared" si="2"/>
        <v>368</v>
      </c>
      <c r="C46" s="441">
        <v>400</v>
      </c>
      <c r="D46" s="135">
        <v>43</v>
      </c>
      <c r="E46" s="134">
        <v>368</v>
      </c>
      <c r="F46" s="292"/>
      <c r="G46" s="444"/>
    </row>
    <row r="47" spans="1:7" s="292" customFormat="1" ht="17.25">
      <c r="A47" s="363" t="s">
        <v>40</v>
      </c>
      <c r="B47" s="30"/>
      <c r="C47" s="441">
        <v>400</v>
      </c>
      <c r="D47" s="135">
        <v>44</v>
      </c>
      <c r="E47" s="134"/>
      <c r="G47" s="444"/>
    </row>
    <row r="48" spans="1:7" ht="17.25">
      <c r="A48" s="363" t="s">
        <v>176</v>
      </c>
      <c r="B48" s="30">
        <f>INDEX($E$3:$AAX$108,D48+1,MATCH($B$3,$E$3:$AAX$3,0))</f>
        <v>198</v>
      </c>
      <c r="C48" s="441">
        <f>'내신(남)'!C45</f>
        <v>150</v>
      </c>
      <c r="D48" s="135">
        <v>45</v>
      </c>
      <c r="E48" s="134">
        <v>198</v>
      </c>
      <c r="F48" s="292"/>
      <c r="G48" s="444"/>
    </row>
    <row r="49" spans="1:7" ht="17.25">
      <c r="A49" s="363" t="s">
        <v>180</v>
      </c>
      <c r="B49" s="30">
        <f>INDEX($E$3:$AAX$108,D49+1,MATCH($B$3,$E$3:$AAX$3,0))</f>
        <v>192</v>
      </c>
      <c r="C49" s="441">
        <f>'내신(남)'!C46</f>
        <v>150</v>
      </c>
      <c r="D49" s="135">
        <v>46</v>
      </c>
      <c r="E49" s="134">
        <v>192</v>
      </c>
      <c r="F49" s="292"/>
      <c r="G49" s="444"/>
    </row>
    <row r="50" spans="1:7" s="5" customFormat="1" ht="17.25">
      <c r="A50" s="363" t="s">
        <v>8</v>
      </c>
      <c r="B50" s="30"/>
      <c r="C50" s="441">
        <v>150</v>
      </c>
      <c r="D50" s="135">
        <v>47</v>
      </c>
      <c r="E50" s="134"/>
      <c r="F50" s="292"/>
      <c r="G50" s="444"/>
    </row>
    <row r="51" spans="1:7" ht="17.25">
      <c r="A51" s="363" t="s">
        <v>144</v>
      </c>
      <c r="B51" s="30">
        <f t="shared" ref="B51:B74" si="3">INDEX($E$3:$AAX$108,D51+1,MATCH($B$3,$E$3:$AAX$3,0))</f>
        <v>524</v>
      </c>
      <c r="C51" s="441">
        <f>'내신(남)'!C48</f>
        <v>600</v>
      </c>
      <c r="D51" s="135">
        <v>48</v>
      </c>
      <c r="E51" s="134">
        <v>524</v>
      </c>
      <c r="F51" s="292"/>
      <c r="G51" s="444"/>
    </row>
    <row r="52" spans="1:7" ht="17.25">
      <c r="A52" s="363" t="s">
        <v>157</v>
      </c>
      <c r="B52" s="30">
        <f t="shared" si="3"/>
        <v>582</v>
      </c>
      <c r="C52" s="441">
        <f>'내신(남)'!C49</f>
        <v>600</v>
      </c>
      <c r="D52" s="135">
        <v>49</v>
      </c>
      <c r="E52" s="134">
        <v>582</v>
      </c>
      <c r="F52" s="292"/>
      <c r="G52" s="444"/>
    </row>
    <row r="53" spans="1:7" ht="17.25">
      <c r="A53" s="366" t="s">
        <v>87</v>
      </c>
      <c r="B53" s="30">
        <f t="shared" si="3"/>
        <v>300</v>
      </c>
      <c r="C53" s="441">
        <f>'내신(남)'!C50</f>
        <v>300</v>
      </c>
      <c r="D53" s="135">
        <v>50</v>
      </c>
      <c r="E53" s="134">
        <f>'내신(남)'!E50</f>
        <v>300</v>
      </c>
      <c r="F53" s="292"/>
      <c r="G53" s="444"/>
    </row>
    <row r="54" spans="1:7" ht="17.25">
      <c r="A54" s="363" t="s">
        <v>169</v>
      </c>
      <c r="B54" s="30">
        <f t="shared" si="3"/>
        <v>200</v>
      </c>
      <c r="C54" s="441">
        <f>'내신(남)'!C51</f>
        <v>200</v>
      </c>
      <c r="D54" s="135">
        <v>51</v>
      </c>
      <c r="E54" s="134">
        <f>'내신(남)'!E51</f>
        <v>200</v>
      </c>
      <c r="F54" s="292"/>
      <c r="G54" s="444"/>
    </row>
    <row r="55" spans="1:7" ht="17.25">
      <c r="A55" s="363" t="s">
        <v>139</v>
      </c>
      <c r="B55" s="30">
        <f t="shared" si="3"/>
        <v>200</v>
      </c>
      <c r="C55" s="441">
        <f>'내신(남)'!C52</f>
        <v>200</v>
      </c>
      <c r="D55" s="135">
        <v>52</v>
      </c>
      <c r="E55" s="134">
        <f>'내신(남)'!E52</f>
        <v>200</v>
      </c>
      <c r="F55" s="292"/>
      <c r="G55" s="444"/>
    </row>
    <row r="56" spans="1:7" ht="17.25">
      <c r="A56" s="363" t="s">
        <v>146</v>
      </c>
      <c r="B56" s="30">
        <f t="shared" si="3"/>
        <v>200</v>
      </c>
      <c r="C56" s="441">
        <f>'내신(남)'!C53</f>
        <v>200</v>
      </c>
      <c r="D56" s="135">
        <v>53</v>
      </c>
      <c r="E56" s="134">
        <f>'내신(남)'!E53</f>
        <v>200</v>
      </c>
      <c r="F56" s="292"/>
      <c r="G56" s="444"/>
    </row>
    <row r="57" spans="1:7" ht="17.25">
      <c r="A57" s="363" t="s">
        <v>681</v>
      </c>
      <c r="B57" s="30">
        <f t="shared" si="3"/>
        <v>260</v>
      </c>
      <c r="C57" s="441">
        <f>'내신(남)'!C54</f>
        <v>300</v>
      </c>
      <c r="D57" s="135">
        <v>54</v>
      </c>
      <c r="E57" s="134">
        <v>260</v>
      </c>
      <c r="F57" s="292"/>
      <c r="G57" s="444"/>
    </row>
    <row r="58" spans="1:7" ht="17.25">
      <c r="A58" s="363" t="s">
        <v>108</v>
      </c>
      <c r="B58" s="30">
        <f t="shared" si="3"/>
        <v>270</v>
      </c>
      <c r="C58" s="441">
        <f>'내신(남)'!C55</f>
        <v>300</v>
      </c>
      <c r="D58" s="135">
        <v>55</v>
      </c>
      <c r="E58" s="134">
        <v>270</v>
      </c>
      <c r="F58" s="292"/>
      <c r="G58" s="444"/>
    </row>
    <row r="59" spans="1:7" ht="17.25">
      <c r="A59" s="363" t="s">
        <v>97</v>
      </c>
      <c r="B59" s="30">
        <f t="shared" si="3"/>
        <v>288</v>
      </c>
      <c r="C59" s="441">
        <v>300</v>
      </c>
      <c r="D59" s="135">
        <v>56</v>
      </c>
      <c r="E59" s="134">
        <v>288</v>
      </c>
      <c r="F59" s="292"/>
      <c r="G59" s="444"/>
    </row>
    <row r="60" spans="1:7" ht="17.25">
      <c r="A60" s="363" t="s">
        <v>113</v>
      </c>
      <c r="B60" s="30">
        <f t="shared" si="3"/>
        <v>180</v>
      </c>
      <c r="C60" s="441">
        <f>'내신(남)'!C57</f>
        <v>200</v>
      </c>
      <c r="D60" s="135">
        <v>57</v>
      </c>
      <c r="E60" s="134">
        <v>180</v>
      </c>
      <c r="F60" s="292"/>
      <c r="G60" s="444"/>
    </row>
    <row r="61" spans="1:7" ht="17.25">
      <c r="A61" s="363" t="s">
        <v>140</v>
      </c>
      <c r="B61" s="30">
        <f t="shared" si="3"/>
        <v>590</v>
      </c>
      <c r="C61" s="441">
        <f>'내신(남)'!C58</f>
        <v>600</v>
      </c>
      <c r="D61" s="135">
        <v>58</v>
      </c>
      <c r="E61" s="134">
        <v>590</v>
      </c>
      <c r="F61" s="292"/>
      <c r="G61" s="444"/>
    </row>
    <row r="62" spans="1:7" s="5" customFormat="1" ht="17.25">
      <c r="A62" s="363" t="s">
        <v>386</v>
      </c>
      <c r="B62" s="30">
        <f t="shared" si="3"/>
        <v>260</v>
      </c>
      <c r="C62" s="441">
        <v>300</v>
      </c>
      <c r="D62" s="135">
        <v>59</v>
      </c>
      <c r="E62" s="134">
        <v>260</v>
      </c>
      <c r="F62" s="292"/>
      <c r="G62" s="444"/>
    </row>
    <row r="63" spans="1:7" ht="17.25">
      <c r="A63" s="363" t="s">
        <v>155</v>
      </c>
      <c r="B63" s="30">
        <f t="shared" si="3"/>
        <v>800</v>
      </c>
      <c r="C63" s="441">
        <f>'내신(남)'!C60</f>
        <v>1000</v>
      </c>
      <c r="D63" s="135">
        <v>60</v>
      </c>
      <c r="E63" s="134">
        <f>'내신(남)'!E60</f>
        <v>800</v>
      </c>
      <c r="F63" s="292"/>
      <c r="G63" s="444"/>
    </row>
    <row r="64" spans="1:7" ht="17.25">
      <c r="A64" s="363" t="s">
        <v>603</v>
      </c>
      <c r="B64" s="30">
        <f t="shared" si="3"/>
        <v>1000</v>
      </c>
      <c r="C64" s="441">
        <f>'내신(남)'!C61</f>
        <v>1000</v>
      </c>
      <c r="D64" s="135">
        <v>61</v>
      </c>
      <c r="E64" s="134">
        <f>'내신(남)'!E61</f>
        <v>1000</v>
      </c>
      <c r="F64" s="292"/>
      <c r="G64" s="444"/>
    </row>
    <row r="65" spans="1:7" ht="17.25">
      <c r="A65" s="363" t="s">
        <v>162</v>
      </c>
      <c r="B65" s="30">
        <f t="shared" si="3"/>
        <v>1000</v>
      </c>
      <c r="C65" s="441">
        <f>'내신(남)'!C62</f>
        <v>1000</v>
      </c>
      <c r="D65" s="135">
        <v>62</v>
      </c>
      <c r="E65" s="134">
        <f>'내신(남)'!E62</f>
        <v>1000</v>
      </c>
      <c r="F65" s="292"/>
      <c r="G65" s="444"/>
    </row>
    <row r="66" spans="1:7" ht="17.25">
      <c r="A66" s="363" t="s">
        <v>519</v>
      </c>
      <c r="B66" s="30">
        <f t="shared" si="3"/>
        <v>999</v>
      </c>
      <c r="C66" s="441">
        <f>'내신(남)'!C63</f>
        <v>1000</v>
      </c>
      <c r="D66" s="135">
        <v>63</v>
      </c>
      <c r="E66" s="134">
        <f>'내신(남)'!E63</f>
        <v>999</v>
      </c>
      <c r="F66" s="292"/>
      <c r="G66" s="444"/>
    </row>
    <row r="67" spans="1:7" ht="17.25">
      <c r="A67" s="363" t="s">
        <v>405</v>
      </c>
      <c r="B67" s="30">
        <f t="shared" si="3"/>
        <v>990</v>
      </c>
      <c r="C67" s="441">
        <f>'내신(남)'!C64</f>
        <v>1000</v>
      </c>
      <c r="D67" s="135">
        <v>64</v>
      </c>
      <c r="E67" s="134">
        <f>'내신(남)'!E64</f>
        <v>990</v>
      </c>
      <c r="F67" s="292"/>
      <c r="G67" s="444"/>
    </row>
    <row r="68" spans="1:7" ht="17.25">
      <c r="A68" s="363" t="s">
        <v>167</v>
      </c>
      <c r="B68" s="30">
        <f t="shared" si="3"/>
        <v>989</v>
      </c>
      <c r="C68" s="441">
        <f>'내신(남)'!C65</f>
        <v>1000</v>
      </c>
      <c r="D68" s="135">
        <v>65</v>
      </c>
      <c r="E68" s="134">
        <f>'내신(남)'!E65</f>
        <v>989</v>
      </c>
      <c r="F68" s="292"/>
      <c r="G68" s="444"/>
    </row>
    <row r="69" spans="1:7" ht="17.25">
      <c r="A69" s="367" t="s">
        <v>78</v>
      </c>
      <c r="B69" s="30">
        <f t="shared" si="3"/>
        <v>380</v>
      </c>
      <c r="C69" s="441">
        <f>'내신(남)'!C66</f>
        <v>400</v>
      </c>
      <c r="D69" s="135">
        <v>66</v>
      </c>
      <c r="E69" s="134">
        <v>380</v>
      </c>
      <c r="F69" s="292"/>
      <c r="G69" s="444"/>
    </row>
    <row r="70" spans="1:7" ht="17.25">
      <c r="A70" s="363" t="s">
        <v>153</v>
      </c>
      <c r="B70" s="30">
        <f t="shared" si="3"/>
        <v>160</v>
      </c>
      <c r="C70" s="441">
        <f>'내신(남)'!C67</f>
        <v>200</v>
      </c>
      <c r="D70" s="135">
        <v>67</v>
      </c>
      <c r="E70" s="134">
        <v>160</v>
      </c>
      <c r="F70" s="292"/>
      <c r="G70" s="444"/>
    </row>
    <row r="71" spans="1:7" ht="17.25">
      <c r="A71" s="363" t="s">
        <v>381</v>
      </c>
      <c r="B71" s="30">
        <f t="shared" si="3"/>
        <v>160</v>
      </c>
      <c r="C71" s="441">
        <f>'내신(남)'!C68</f>
        <v>200</v>
      </c>
      <c r="D71" s="135">
        <v>68</v>
      </c>
      <c r="E71" s="134">
        <v>160</v>
      </c>
      <c r="F71" s="292"/>
      <c r="G71" s="444"/>
    </row>
    <row r="72" spans="1:7" s="17" customFormat="1" ht="17.25">
      <c r="A72" s="368" t="s">
        <v>164</v>
      </c>
      <c r="B72" s="30">
        <f t="shared" si="3"/>
        <v>580</v>
      </c>
      <c r="C72" s="441">
        <f>'내신(남)'!C69</f>
        <v>600</v>
      </c>
      <c r="D72" s="135">
        <v>69</v>
      </c>
      <c r="E72" s="134">
        <v>580</v>
      </c>
    </row>
    <row r="73" spans="1:7" ht="17.25">
      <c r="A73" s="363" t="s">
        <v>565</v>
      </c>
      <c r="B73" s="30">
        <f t="shared" si="3"/>
        <v>0</v>
      </c>
      <c r="C73" s="441">
        <f>'내신(남)'!C70</f>
        <v>0</v>
      </c>
      <c r="D73" s="135">
        <v>70</v>
      </c>
      <c r="E73" s="134">
        <f>'내신(남)'!E70</f>
        <v>0</v>
      </c>
    </row>
    <row r="74" spans="1:7">
      <c r="A74" s="364" t="s">
        <v>148</v>
      </c>
      <c r="B74" s="30">
        <f t="shared" si="3"/>
        <v>190</v>
      </c>
      <c r="C74" s="441">
        <f>'내신(남)'!C71</f>
        <v>200</v>
      </c>
      <c r="D74" s="135">
        <v>71</v>
      </c>
      <c r="E74" s="134">
        <v>190</v>
      </c>
    </row>
    <row r="75" spans="1:7">
      <c r="A75" s="6"/>
      <c r="B75" s="28"/>
      <c r="C75" s="28"/>
      <c r="D75" s="28"/>
      <c r="E75" s="29"/>
    </row>
    <row r="76" spans="1:7">
      <c r="B76" s="28"/>
      <c r="C76" s="28"/>
      <c r="D76" s="28"/>
    </row>
    <row r="77" spans="1:7">
      <c r="B77" s="28"/>
      <c r="C77" s="28"/>
      <c r="D77" s="28"/>
    </row>
    <row r="78" spans="1:7">
      <c r="B78" s="28"/>
      <c r="C78" s="28"/>
      <c r="D78" s="28"/>
    </row>
  </sheetData>
  <mergeCells count="1">
    <mergeCell ref="A1:E1"/>
  </mergeCells>
  <phoneticPr fontId="81" type="noConversion"/>
  <pageMargins left="0.69972223043441772" right="0.69972223043441772" top="0.75" bottom="0.75" header="0.30000001192092896" footer="0.30000001192092896"/>
  <pageSetup paperSize="9" scale="48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E9AE2B"/>
  </sheetPr>
  <dimension ref="A3:P45"/>
  <sheetViews>
    <sheetView zoomScaleNormal="100" zoomScaleSheetLayoutView="75" workbookViewId="0">
      <pane ySplit="3" topLeftCell="A4" activePane="bottomLeft" state="frozen"/>
      <selection pane="bottomLeft" activeCell="D3" sqref="D3"/>
    </sheetView>
  </sheetViews>
  <sheetFormatPr defaultColWidth="8.75" defaultRowHeight="16.5"/>
  <cols>
    <col min="1" max="1" width="23.75" style="25" customWidth="1"/>
    <col min="2" max="2" width="8.875" style="25" bestFit="1" customWidth="1"/>
    <col min="3" max="9" width="8.75" style="25" bestFit="1" customWidth="1"/>
    <col min="15" max="15" width="8.75" style="2" bestFit="1" customWidth="1"/>
    <col min="16" max="16" width="8.75" style="3" bestFit="1" customWidth="1"/>
  </cols>
  <sheetData>
    <row r="3" spans="1:16">
      <c r="A3" s="70" t="s">
        <v>482</v>
      </c>
      <c r="B3" s="96" t="s">
        <v>433</v>
      </c>
      <c r="C3" s="401" t="s">
        <v>860</v>
      </c>
      <c r="D3" s="96"/>
      <c r="E3" s="96"/>
      <c r="F3" s="96"/>
      <c r="G3" s="96"/>
      <c r="H3" s="96"/>
      <c r="I3" s="108"/>
      <c r="J3" s="108"/>
      <c r="K3" s="108"/>
      <c r="L3" s="108"/>
      <c r="M3" s="108"/>
      <c r="N3" s="108"/>
      <c r="O3" s="401"/>
      <c r="P3" s="108"/>
    </row>
    <row r="4" spans="1:16">
      <c r="A4" s="70" t="s">
        <v>313</v>
      </c>
      <c r="B4" s="59">
        <v>300</v>
      </c>
      <c r="C4" s="59">
        <v>255</v>
      </c>
      <c r="D4" s="59">
        <v>255</v>
      </c>
      <c r="E4" s="59">
        <v>260</v>
      </c>
      <c r="F4" s="59">
        <v>270</v>
      </c>
      <c r="G4" s="59">
        <v>295</v>
      </c>
      <c r="H4" s="59">
        <v>260</v>
      </c>
      <c r="I4" s="59">
        <v>300</v>
      </c>
      <c r="J4" s="59">
        <v>295</v>
      </c>
      <c r="K4" s="59"/>
      <c r="L4" s="59">
        <v>295</v>
      </c>
      <c r="M4" s="59">
        <v>288</v>
      </c>
      <c r="O4" s="2">
        <v>285</v>
      </c>
      <c r="P4" s="3">
        <v>290</v>
      </c>
    </row>
    <row r="5" spans="1:16">
      <c r="A5" s="70" t="s">
        <v>402</v>
      </c>
      <c r="B5" s="59">
        <v>85</v>
      </c>
      <c r="C5" s="59"/>
      <c r="D5" s="59"/>
      <c r="E5" s="59"/>
      <c r="F5" s="59"/>
      <c r="G5" s="59"/>
      <c r="H5" s="34"/>
      <c r="I5" s="59"/>
      <c r="J5" s="59"/>
    </row>
    <row r="6" spans="1:16">
      <c r="A6" s="70" t="s">
        <v>400</v>
      </c>
      <c r="B6" s="59">
        <v>85</v>
      </c>
      <c r="C6" s="59"/>
      <c r="D6" s="34"/>
      <c r="E6" s="34"/>
      <c r="F6" s="34"/>
      <c r="G6" s="34"/>
      <c r="H6" s="34"/>
      <c r="I6" s="59"/>
      <c r="J6" s="34"/>
    </row>
    <row r="7" spans="1:16">
      <c r="A7" s="70" t="s">
        <v>407</v>
      </c>
      <c r="B7" s="59">
        <v>40</v>
      </c>
      <c r="C7" s="59"/>
      <c r="D7" s="59"/>
      <c r="E7" s="59"/>
      <c r="F7" s="59"/>
      <c r="G7" s="59"/>
      <c r="H7" s="34"/>
      <c r="I7" s="59"/>
      <c r="J7" s="59"/>
    </row>
    <row r="8" spans="1:16">
      <c r="A8" s="70" t="s">
        <v>393</v>
      </c>
      <c r="B8" s="59">
        <v>77</v>
      </c>
      <c r="C8" s="59">
        <v>66</v>
      </c>
      <c r="D8" s="59">
        <v>61</v>
      </c>
      <c r="E8" s="59">
        <v>50</v>
      </c>
      <c r="F8" s="59"/>
      <c r="G8" s="59">
        <v>72</v>
      </c>
      <c r="H8" s="34">
        <v>55</v>
      </c>
      <c r="I8" s="59"/>
      <c r="J8" s="59"/>
      <c r="K8" s="59"/>
    </row>
    <row r="9" spans="1:16">
      <c r="A9" s="70" t="s">
        <v>560</v>
      </c>
      <c r="B9" s="59">
        <v>80</v>
      </c>
      <c r="C9" s="59"/>
      <c r="D9" s="34"/>
      <c r="E9" s="34"/>
      <c r="F9" s="34"/>
      <c r="G9" s="34"/>
      <c r="H9" s="34"/>
      <c r="I9" s="59"/>
      <c r="J9" s="34"/>
    </row>
    <row r="10" spans="1:16">
      <c r="A10" s="70" t="s">
        <v>451</v>
      </c>
      <c r="B10" s="59">
        <v>245</v>
      </c>
      <c r="C10" s="59">
        <v>201</v>
      </c>
      <c r="D10" s="59"/>
      <c r="E10" s="59"/>
      <c r="F10" s="59"/>
      <c r="G10" s="59">
        <v>245</v>
      </c>
      <c r="H10" s="34">
        <v>222</v>
      </c>
      <c r="I10" s="59">
        <v>2010</v>
      </c>
      <c r="J10" s="34">
        <v>195</v>
      </c>
      <c r="O10" s="2">
        <v>261</v>
      </c>
      <c r="P10" s="3">
        <v>225</v>
      </c>
    </row>
    <row r="11" spans="1:16">
      <c r="A11" s="70" t="s">
        <v>264</v>
      </c>
      <c r="B11" s="59">
        <v>12.8</v>
      </c>
      <c r="C11" s="59"/>
      <c r="D11" s="59"/>
      <c r="E11" s="59"/>
      <c r="F11" s="34"/>
      <c r="G11" s="59">
        <v>12.2</v>
      </c>
      <c r="H11" s="59"/>
      <c r="I11" s="59"/>
      <c r="J11" s="59"/>
      <c r="L11" s="25">
        <v>11</v>
      </c>
      <c r="M11" s="25">
        <v>11</v>
      </c>
      <c r="O11" s="2">
        <v>12.4</v>
      </c>
      <c r="P11" s="3">
        <v>11.2</v>
      </c>
    </row>
    <row r="12" spans="1:16" s="20" customFormat="1">
      <c r="A12" s="70" t="s">
        <v>575</v>
      </c>
      <c r="B12" s="59">
        <v>21</v>
      </c>
      <c r="C12" s="59"/>
      <c r="D12" s="59"/>
      <c r="E12" s="59"/>
      <c r="F12" s="34"/>
      <c r="G12" s="59"/>
      <c r="H12" s="59"/>
      <c r="I12" s="59"/>
      <c r="J12" s="59"/>
      <c r="L12" s="22"/>
      <c r="M12" s="22"/>
    </row>
    <row r="13" spans="1:16">
      <c r="A13" s="70" t="s">
        <v>332</v>
      </c>
      <c r="B13" s="59">
        <v>40</v>
      </c>
      <c r="C13" s="59"/>
      <c r="D13" s="34"/>
      <c r="E13" s="34"/>
      <c r="F13" s="34"/>
      <c r="G13" s="34">
        <v>34</v>
      </c>
      <c r="H13" s="34"/>
      <c r="I13" s="59"/>
      <c r="J13" s="34"/>
    </row>
    <row r="14" spans="1:16">
      <c r="A14" s="70" t="s">
        <v>311</v>
      </c>
      <c r="B14" s="59">
        <v>23</v>
      </c>
      <c r="C14" s="59">
        <v>19</v>
      </c>
      <c r="D14" s="34">
        <v>18</v>
      </c>
      <c r="E14" s="34"/>
      <c r="F14" s="34"/>
      <c r="G14" s="34"/>
      <c r="H14" s="34">
        <v>17</v>
      </c>
      <c r="I14" s="59"/>
      <c r="J14" s="34"/>
    </row>
    <row r="15" spans="1:16">
      <c r="A15" s="70" t="s">
        <v>286</v>
      </c>
      <c r="B15" s="59">
        <v>175</v>
      </c>
      <c r="C15" s="59">
        <v>150</v>
      </c>
      <c r="D15" s="34"/>
      <c r="E15" s="59"/>
      <c r="F15" s="34">
        <v>162</v>
      </c>
      <c r="G15" s="34"/>
      <c r="H15" s="34"/>
      <c r="I15" s="59">
        <v>162</v>
      </c>
      <c r="J15" s="34"/>
    </row>
    <row r="16" spans="1:16">
      <c r="A16" s="70" t="s">
        <v>537</v>
      </c>
      <c r="B16" s="59">
        <v>21</v>
      </c>
      <c r="C16" s="59"/>
      <c r="D16" s="34"/>
      <c r="E16" s="34"/>
      <c r="F16" s="34">
        <v>21</v>
      </c>
      <c r="G16" s="34"/>
      <c r="H16" s="34"/>
      <c r="I16" s="59">
        <v>21</v>
      </c>
      <c r="J16" s="34"/>
    </row>
    <row r="17" spans="1:16">
      <c r="A17" s="70" t="s">
        <v>397</v>
      </c>
      <c r="B17" s="59">
        <v>7.01</v>
      </c>
      <c r="C17" s="59">
        <v>8.3800000000000008</v>
      </c>
      <c r="D17" s="34"/>
      <c r="E17" s="34"/>
      <c r="F17" s="34"/>
      <c r="G17" s="34"/>
      <c r="H17" s="34"/>
      <c r="I17" s="59">
        <v>7.4</v>
      </c>
      <c r="J17" s="34">
        <v>7.38</v>
      </c>
      <c r="O17" s="2">
        <v>7.25</v>
      </c>
    </row>
    <row r="18" spans="1:16" s="4" customFormat="1">
      <c r="A18" s="70" t="s">
        <v>430</v>
      </c>
      <c r="B18" s="59">
        <v>13.45</v>
      </c>
      <c r="C18" s="59"/>
      <c r="D18" s="34"/>
      <c r="E18" s="34"/>
      <c r="F18" s="34"/>
      <c r="G18" s="34"/>
      <c r="H18" s="34"/>
      <c r="I18" s="59"/>
      <c r="J18" s="34"/>
    </row>
    <row r="19" spans="1:16">
      <c r="A19" s="70" t="s">
        <v>170</v>
      </c>
      <c r="B19" s="59">
        <v>11.66</v>
      </c>
      <c r="C19" s="59"/>
      <c r="D19" s="34"/>
      <c r="E19" s="34"/>
      <c r="F19" s="34"/>
      <c r="G19" s="34"/>
      <c r="H19" s="34"/>
      <c r="I19" s="59"/>
      <c r="J19" s="34"/>
      <c r="O19" s="2">
        <v>12.1</v>
      </c>
    </row>
    <row r="20" spans="1:16">
      <c r="A20" s="70" t="s">
        <v>145</v>
      </c>
      <c r="B20" s="59">
        <v>32.5</v>
      </c>
      <c r="C20" s="59"/>
      <c r="D20" s="34"/>
      <c r="E20" s="34"/>
      <c r="F20" s="34">
        <v>30.4</v>
      </c>
      <c r="G20" s="34"/>
      <c r="H20" s="34"/>
      <c r="I20" s="59">
        <v>30.4</v>
      </c>
      <c r="J20" s="34"/>
    </row>
    <row r="21" spans="1:16">
      <c r="A21" s="70" t="s">
        <v>574</v>
      </c>
      <c r="B21" s="59">
        <v>8</v>
      </c>
      <c r="C21" s="59">
        <v>8.6999999999999993</v>
      </c>
      <c r="D21" s="59"/>
      <c r="E21" s="59">
        <v>9.1</v>
      </c>
      <c r="F21" s="59"/>
      <c r="G21" s="59"/>
      <c r="H21" s="34">
        <v>9.1999999999999993</v>
      </c>
      <c r="I21" s="59"/>
      <c r="J21" s="59"/>
    </row>
    <row r="22" spans="1:16">
      <c r="A22" s="70" t="s">
        <v>572</v>
      </c>
      <c r="B22" s="59">
        <v>8</v>
      </c>
      <c r="C22" s="59">
        <v>8.6999999999999993</v>
      </c>
      <c r="D22" s="59">
        <v>8.75</v>
      </c>
      <c r="E22" s="59">
        <v>9</v>
      </c>
      <c r="F22" s="59"/>
      <c r="G22" s="59">
        <v>8.11</v>
      </c>
      <c r="H22" s="34">
        <v>9.1999999999999993</v>
      </c>
      <c r="I22" s="59"/>
      <c r="J22" s="59"/>
      <c r="O22" s="2">
        <v>8.35</v>
      </c>
      <c r="P22" s="3">
        <v>8.31</v>
      </c>
    </row>
    <row r="23" spans="1:16">
      <c r="A23" s="70" t="s">
        <v>567</v>
      </c>
      <c r="B23" s="59">
        <v>13.99</v>
      </c>
      <c r="C23" s="59"/>
      <c r="D23" s="59"/>
      <c r="E23" s="59"/>
      <c r="F23" s="59"/>
      <c r="G23" s="59"/>
      <c r="H23" s="34"/>
      <c r="I23" s="59"/>
      <c r="J23" s="59"/>
      <c r="K23" s="59"/>
    </row>
    <row r="24" spans="1:16">
      <c r="A24" s="70" t="s">
        <v>561</v>
      </c>
      <c r="B24" s="59">
        <v>13.65</v>
      </c>
      <c r="C24" s="59">
        <v>15</v>
      </c>
      <c r="D24" s="59"/>
      <c r="E24" s="59"/>
      <c r="F24" s="59"/>
      <c r="G24" s="59"/>
      <c r="H24" s="34"/>
      <c r="I24" s="59"/>
      <c r="J24" s="59"/>
      <c r="K24" s="59"/>
      <c r="O24" s="2">
        <v>14.3</v>
      </c>
    </row>
    <row r="25" spans="1:16">
      <c r="A25" s="70" t="s">
        <v>174</v>
      </c>
      <c r="B25" s="59">
        <v>14.45</v>
      </c>
      <c r="C25" s="59"/>
      <c r="D25" s="59"/>
      <c r="E25" s="34"/>
      <c r="F25" s="34"/>
      <c r="G25" s="34"/>
      <c r="H25" s="34"/>
      <c r="I25" s="59"/>
      <c r="J25" s="34"/>
    </row>
    <row r="26" spans="1:16">
      <c r="A26" s="70" t="s">
        <v>175</v>
      </c>
      <c r="B26" s="59">
        <v>16.89</v>
      </c>
      <c r="C26" s="59"/>
      <c r="D26" s="34"/>
      <c r="E26" s="34"/>
      <c r="F26" s="34"/>
      <c r="G26" s="34"/>
      <c r="H26" s="34"/>
      <c r="I26" s="59"/>
      <c r="J26" s="34"/>
    </row>
    <row r="27" spans="1:16">
      <c r="A27" s="70" t="s">
        <v>590</v>
      </c>
      <c r="B27" s="59">
        <v>37</v>
      </c>
      <c r="C27" s="59"/>
      <c r="D27" s="34"/>
      <c r="E27" s="34"/>
      <c r="F27" s="34"/>
      <c r="G27" s="34"/>
      <c r="H27" s="34"/>
      <c r="I27" s="59"/>
      <c r="J27" s="34"/>
      <c r="O27" s="2">
        <v>42</v>
      </c>
    </row>
    <row r="28" spans="1:16">
      <c r="A28" s="70" t="s">
        <v>298</v>
      </c>
      <c r="B28" s="59">
        <v>6.22</v>
      </c>
      <c r="C28" s="59"/>
      <c r="D28" s="34"/>
      <c r="E28" s="34"/>
      <c r="F28" s="34"/>
      <c r="G28" s="34"/>
      <c r="H28" s="34"/>
      <c r="I28" s="59"/>
      <c r="J28" s="34"/>
    </row>
    <row r="29" spans="1:16">
      <c r="A29" s="70" t="s">
        <v>273</v>
      </c>
      <c r="B29" s="59">
        <v>9.58</v>
      </c>
      <c r="C29" s="59"/>
      <c r="D29" s="34"/>
      <c r="E29" s="34"/>
      <c r="F29" s="34"/>
      <c r="G29" s="34"/>
      <c r="H29" s="34"/>
      <c r="I29" s="59"/>
      <c r="J29" s="34"/>
    </row>
    <row r="30" spans="1:16">
      <c r="A30" s="70" t="s">
        <v>295</v>
      </c>
      <c r="B30" s="59">
        <v>11.04</v>
      </c>
      <c r="C30" s="59"/>
      <c r="D30" s="34"/>
      <c r="E30" s="34"/>
      <c r="F30" s="34"/>
      <c r="G30" s="34"/>
      <c r="H30" s="34"/>
      <c r="I30" s="59"/>
      <c r="J30" s="34"/>
      <c r="L30" s="25">
        <v>12.1</v>
      </c>
      <c r="M30" s="25">
        <v>12.1</v>
      </c>
    </row>
    <row r="31" spans="1:16">
      <c r="A31" s="70" t="s">
        <v>552</v>
      </c>
      <c r="B31" s="59">
        <v>8.0500000000000007</v>
      </c>
      <c r="C31" s="59"/>
      <c r="D31" s="34"/>
      <c r="E31" s="34"/>
      <c r="F31" s="34"/>
      <c r="G31" s="34"/>
      <c r="H31" s="34"/>
      <c r="I31" s="59"/>
      <c r="J31" s="34"/>
    </row>
    <row r="32" spans="1:16">
      <c r="A32" s="70" t="s">
        <v>582</v>
      </c>
      <c r="B32" s="59">
        <v>19.5</v>
      </c>
      <c r="C32" s="59"/>
      <c r="D32" s="34"/>
      <c r="E32" s="34"/>
      <c r="F32" s="34"/>
      <c r="G32" s="34"/>
      <c r="H32" s="34"/>
      <c r="I32" s="59"/>
      <c r="J32" s="34"/>
    </row>
    <row r="33" spans="1:15">
      <c r="A33" s="70" t="s">
        <v>463</v>
      </c>
      <c r="B33" s="59">
        <v>25</v>
      </c>
      <c r="C33" s="59"/>
      <c r="D33" s="34"/>
      <c r="E33" s="34"/>
      <c r="F33" s="34"/>
      <c r="G33" s="34">
        <v>10</v>
      </c>
      <c r="H33" s="34"/>
      <c r="I33" s="59">
        <v>15</v>
      </c>
      <c r="J33" s="34"/>
    </row>
    <row r="34" spans="1:15">
      <c r="A34" s="70" t="s">
        <v>515</v>
      </c>
      <c r="B34" s="59">
        <v>34</v>
      </c>
      <c r="C34" s="59">
        <v>29</v>
      </c>
      <c r="D34" s="59"/>
      <c r="E34" s="59"/>
      <c r="F34" s="59"/>
      <c r="G34" s="59"/>
      <c r="H34" s="34"/>
      <c r="I34" s="59">
        <v>29</v>
      </c>
      <c r="J34" s="59">
        <v>28</v>
      </c>
      <c r="O34" s="2">
        <v>30</v>
      </c>
    </row>
    <row r="35" spans="1:15">
      <c r="A35" s="70" t="s">
        <v>449</v>
      </c>
      <c r="B35" s="59">
        <v>34</v>
      </c>
      <c r="C35" s="59">
        <v>27</v>
      </c>
      <c r="D35" s="59"/>
      <c r="E35" s="59"/>
      <c r="F35" s="59"/>
      <c r="G35" s="59"/>
      <c r="H35" s="34"/>
      <c r="I35" s="59"/>
      <c r="J35" s="59"/>
    </row>
    <row r="36" spans="1:15">
      <c r="A36" s="70" t="s">
        <v>335</v>
      </c>
      <c r="B36" s="59">
        <v>64</v>
      </c>
      <c r="C36" s="59"/>
      <c r="D36" s="34"/>
      <c r="E36" s="34">
        <v>55</v>
      </c>
      <c r="F36" s="34"/>
      <c r="G36" s="34"/>
      <c r="H36" s="34"/>
      <c r="I36" s="59"/>
      <c r="J36" s="34"/>
    </row>
    <row r="37" spans="1:15">
      <c r="A37" s="70" t="s">
        <v>98</v>
      </c>
      <c r="B37" s="59">
        <v>40</v>
      </c>
      <c r="C37" s="59"/>
      <c r="D37" s="34"/>
      <c r="E37" s="34"/>
      <c r="F37" s="34"/>
      <c r="G37" s="34"/>
      <c r="H37" s="34"/>
      <c r="I37" s="59"/>
      <c r="J37" s="34"/>
    </row>
    <row r="38" spans="1:15">
      <c r="A38" s="70" t="s">
        <v>287</v>
      </c>
      <c r="B38" s="34">
        <v>32</v>
      </c>
      <c r="C38" s="34"/>
      <c r="D38" s="34"/>
      <c r="E38" s="34"/>
      <c r="F38" s="34"/>
      <c r="G38" s="34"/>
      <c r="H38" s="34"/>
      <c r="I38" s="34"/>
      <c r="J38" s="34"/>
    </row>
    <row r="39" spans="1:15">
      <c r="A39" s="70" t="s">
        <v>319</v>
      </c>
      <c r="B39" s="34">
        <v>15</v>
      </c>
      <c r="C39" s="34"/>
      <c r="D39" s="34"/>
      <c r="E39" s="34"/>
      <c r="F39" s="34"/>
      <c r="G39" s="34"/>
      <c r="H39" s="34"/>
      <c r="I39" s="34"/>
      <c r="J39" s="34"/>
    </row>
    <row r="40" spans="1:15">
      <c r="A40" s="100" t="s">
        <v>288</v>
      </c>
      <c r="B40" s="25">
        <v>44</v>
      </c>
      <c r="I40" s="25">
        <v>38</v>
      </c>
    </row>
    <row r="41" spans="1:15">
      <c r="A41" s="379" t="s">
        <v>496</v>
      </c>
      <c r="B41" s="25">
        <v>51</v>
      </c>
    </row>
    <row r="42" spans="1:15">
      <c r="A42" s="379" t="s">
        <v>3</v>
      </c>
      <c r="B42" s="25">
        <v>25</v>
      </c>
    </row>
    <row r="43" spans="1:15">
      <c r="A43" s="379" t="s">
        <v>49</v>
      </c>
      <c r="B43" s="292">
        <v>10.49</v>
      </c>
    </row>
    <row r="44" spans="1:15">
      <c r="A44" s="379" t="s">
        <v>589</v>
      </c>
      <c r="B44" s="292">
        <v>29</v>
      </c>
    </row>
    <row r="45" spans="1:15">
      <c r="A45" s="379" t="s">
        <v>675</v>
      </c>
      <c r="B45" s="292">
        <v>25</v>
      </c>
    </row>
  </sheetData>
  <phoneticPr fontId="81" type="noConversion"/>
  <pageMargins left="0.69972223043441772" right="0.69972223043441772" top="0.75" bottom="0.75" header="0.30000001192092896" footer="0.30000001192092896"/>
  <pageSetup paperSize="9" fitToWidth="0" fitToHeight="0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E9AE2B"/>
  </sheetPr>
  <dimension ref="A3:S46"/>
  <sheetViews>
    <sheetView zoomScaleNormal="100" zoomScaleSheetLayoutView="75" workbookViewId="0">
      <pane xSplit="1" topLeftCell="B1" activePane="topRight" state="frozen"/>
      <selection pane="topRight" activeCell="H3" sqref="H3"/>
    </sheetView>
  </sheetViews>
  <sheetFormatPr defaultColWidth="8.75" defaultRowHeight="16.5"/>
  <cols>
    <col min="1" max="1" width="25" style="25" customWidth="1"/>
    <col min="2" max="4" width="8.75" style="25" bestFit="1" customWidth="1"/>
    <col min="8" max="8" width="8.75" style="2" bestFit="1" customWidth="1"/>
  </cols>
  <sheetData>
    <row r="3" spans="1:19">
      <c r="A3" s="72"/>
      <c r="B3" s="445" t="s">
        <v>627</v>
      </c>
      <c r="C3" s="112" t="s">
        <v>511</v>
      </c>
      <c r="D3" s="113" t="s">
        <v>506</v>
      </c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</row>
    <row r="4" spans="1:19">
      <c r="A4" s="72" t="s">
        <v>313</v>
      </c>
      <c r="B4" s="34">
        <v>250</v>
      </c>
      <c r="C4" s="34">
        <v>235</v>
      </c>
      <c r="D4" s="34">
        <v>235</v>
      </c>
      <c r="E4" s="34"/>
      <c r="H4" s="2">
        <v>250</v>
      </c>
    </row>
    <row r="5" spans="1:19">
      <c r="A5" s="72" t="s">
        <v>402</v>
      </c>
      <c r="B5" s="34">
        <v>68</v>
      </c>
      <c r="C5" s="34">
        <v>40</v>
      </c>
      <c r="D5" s="34"/>
      <c r="E5" s="34"/>
    </row>
    <row r="6" spans="1:19">
      <c r="A6" s="72" t="s">
        <v>400</v>
      </c>
      <c r="B6" s="34">
        <v>68</v>
      </c>
      <c r="C6" s="34"/>
      <c r="D6" s="34"/>
      <c r="E6" s="34"/>
    </row>
    <row r="7" spans="1:19">
      <c r="A7" s="72" t="s">
        <v>407</v>
      </c>
      <c r="B7" s="34">
        <v>40</v>
      </c>
      <c r="C7" s="34"/>
      <c r="D7" s="34"/>
      <c r="E7" s="34"/>
    </row>
    <row r="8" spans="1:19">
      <c r="A8" s="72" t="s">
        <v>393</v>
      </c>
      <c r="B8" s="34">
        <v>72</v>
      </c>
      <c r="C8" s="34">
        <v>67</v>
      </c>
      <c r="D8" s="34">
        <v>69</v>
      </c>
      <c r="E8" s="34"/>
    </row>
    <row r="9" spans="1:19">
      <c r="A9" s="72" t="s">
        <v>560</v>
      </c>
      <c r="B9" s="34">
        <v>75</v>
      </c>
      <c r="C9" s="34"/>
      <c r="D9" s="34"/>
      <c r="E9" s="34"/>
    </row>
    <row r="10" spans="1:19">
      <c r="A10" s="72" t="s">
        <v>451</v>
      </c>
      <c r="B10" s="34">
        <v>165</v>
      </c>
      <c r="C10" s="34">
        <v>120</v>
      </c>
      <c r="D10" s="34"/>
      <c r="E10" s="34"/>
      <c r="H10" s="2">
        <v>151</v>
      </c>
    </row>
    <row r="11" spans="1:19">
      <c r="A11" s="72" t="s">
        <v>264</v>
      </c>
      <c r="B11" s="34">
        <v>10.1</v>
      </c>
      <c r="C11" s="34">
        <v>7</v>
      </c>
      <c r="D11" s="34">
        <v>8</v>
      </c>
      <c r="E11" s="34"/>
    </row>
    <row r="12" spans="1:19" s="20" customFormat="1">
      <c r="A12" s="72" t="s">
        <v>575</v>
      </c>
      <c r="B12" s="34">
        <v>18</v>
      </c>
      <c r="C12" s="34"/>
      <c r="D12" s="34"/>
      <c r="E12" s="34"/>
    </row>
    <row r="13" spans="1:19">
      <c r="A13" s="72" t="s">
        <v>332</v>
      </c>
      <c r="B13" s="34">
        <v>28</v>
      </c>
      <c r="C13" s="34"/>
      <c r="D13" s="34">
        <v>18</v>
      </c>
      <c r="E13" s="34"/>
    </row>
    <row r="14" spans="1:19">
      <c r="A14" s="72" t="s">
        <v>311</v>
      </c>
      <c r="B14" s="34">
        <v>18</v>
      </c>
      <c r="C14" s="34"/>
      <c r="D14" s="34"/>
      <c r="E14" s="34"/>
    </row>
    <row r="15" spans="1:19">
      <c r="A15" s="72" t="s">
        <v>286</v>
      </c>
      <c r="B15" s="34">
        <v>140</v>
      </c>
      <c r="C15" s="34">
        <v>130</v>
      </c>
      <c r="D15" s="34">
        <v>130</v>
      </c>
      <c r="E15" s="34"/>
    </row>
    <row r="16" spans="1:19">
      <c r="A16" s="72" t="s">
        <v>537</v>
      </c>
      <c r="B16" s="34">
        <v>19</v>
      </c>
      <c r="C16" s="34"/>
      <c r="D16" s="34"/>
      <c r="E16" s="34"/>
    </row>
    <row r="17" spans="1:8">
      <c r="A17" s="72" t="s">
        <v>397</v>
      </c>
      <c r="B17" s="34">
        <v>7.29</v>
      </c>
      <c r="C17" s="34"/>
      <c r="D17" s="34"/>
      <c r="E17" s="34"/>
      <c r="H17" s="2">
        <v>7.67</v>
      </c>
    </row>
    <row r="18" spans="1:8" s="4" customFormat="1">
      <c r="A18" s="72" t="s">
        <v>430</v>
      </c>
      <c r="B18" s="34">
        <v>14</v>
      </c>
      <c r="C18" s="34"/>
      <c r="D18" s="34"/>
      <c r="E18" s="34"/>
    </row>
    <row r="19" spans="1:8">
      <c r="A19" s="72" t="s">
        <v>170</v>
      </c>
      <c r="B19" s="34">
        <v>12.4</v>
      </c>
      <c r="C19" s="34"/>
      <c r="D19" s="34"/>
      <c r="E19" s="34"/>
    </row>
    <row r="20" spans="1:8">
      <c r="A20" s="72" t="s">
        <v>145</v>
      </c>
      <c r="B20" s="34">
        <v>31.9</v>
      </c>
      <c r="C20" s="34"/>
      <c r="D20" s="34"/>
      <c r="E20" s="34"/>
    </row>
    <row r="21" spans="1:8">
      <c r="A21" s="72" t="s">
        <v>574</v>
      </c>
      <c r="B21" s="34">
        <v>8.99</v>
      </c>
      <c r="C21" s="34">
        <v>9.11</v>
      </c>
      <c r="D21" s="34">
        <v>9.7799999999999994</v>
      </c>
      <c r="E21" s="34"/>
    </row>
    <row r="22" spans="1:8">
      <c r="A22" s="72" t="s">
        <v>572</v>
      </c>
      <c r="B22" s="34">
        <v>8.8800000000000008</v>
      </c>
      <c r="C22" s="34">
        <v>9</v>
      </c>
      <c r="D22" s="34">
        <v>9.5</v>
      </c>
      <c r="E22" s="34"/>
    </row>
    <row r="23" spans="1:8">
      <c r="A23" s="72" t="s">
        <v>567</v>
      </c>
      <c r="B23" s="34">
        <v>14.9</v>
      </c>
      <c r="C23" s="34">
        <v>15.65</v>
      </c>
      <c r="D23" s="34">
        <v>16.350000000000001</v>
      </c>
      <c r="E23" s="34"/>
    </row>
    <row r="24" spans="1:8">
      <c r="A24" s="72" t="s">
        <v>561</v>
      </c>
      <c r="B24" s="34">
        <v>14.5</v>
      </c>
      <c r="C24" s="34">
        <v>15.5</v>
      </c>
      <c r="D24" s="34">
        <v>16.7</v>
      </c>
      <c r="E24" s="34"/>
    </row>
    <row r="25" spans="1:8">
      <c r="A25" s="72" t="s">
        <v>174</v>
      </c>
      <c r="B25" s="34">
        <v>16</v>
      </c>
      <c r="C25" s="34">
        <v>17.399999999999999</v>
      </c>
      <c r="D25" s="34">
        <v>18.02</v>
      </c>
      <c r="E25" s="34"/>
    </row>
    <row r="26" spans="1:8">
      <c r="A26" s="72" t="s">
        <v>175</v>
      </c>
      <c r="B26" s="34">
        <v>18.89</v>
      </c>
      <c r="C26" s="34"/>
      <c r="D26" s="34"/>
      <c r="E26" s="34"/>
    </row>
    <row r="27" spans="1:8">
      <c r="A27" s="72" t="s">
        <v>590</v>
      </c>
      <c r="B27" s="34">
        <v>38</v>
      </c>
      <c r="C27" s="34"/>
      <c r="D27" s="34"/>
      <c r="E27" s="34"/>
    </row>
    <row r="28" spans="1:8">
      <c r="A28" s="72" t="s">
        <v>298</v>
      </c>
      <c r="B28" s="34">
        <v>6.5</v>
      </c>
      <c r="C28" s="34"/>
      <c r="D28" s="34"/>
      <c r="E28" s="34"/>
    </row>
    <row r="29" spans="1:8">
      <c r="A29" s="72" t="s">
        <v>273</v>
      </c>
      <c r="B29" s="34">
        <v>9.99</v>
      </c>
      <c r="C29" s="34"/>
      <c r="D29" s="34"/>
      <c r="E29" s="34"/>
    </row>
    <row r="30" spans="1:8">
      <c r="A30" s="72" t="s">
        <v>295</v>
      </c>
      <c r="B30" s="34">
        <v>13.89</v>
      </c>
      <c r="C30" s="34"/>
      <c r="D30" s="34"/>
      <c r="E30" s="34"/>
    </row>
    <row r="31" spans="1:8">
      <c r="A31" s="72" t="s">
        <v>552</v>
      </c>
      <c r="B31" s="34">
        <v>8.5500000000000007</v>
      </c>
      <c r="C31" s="34"/>
      <c r="D31" s="34"/>
      <c r="E31" s="34"/>
    </row>
    <row r="32" spans="1:8">
      <c r="A32" s="72" t="s">
        <v>582</v>
      </c>
      <c r="B32" s="34">
        <v>20</v>
      </c>
      <c r="C32" s="34"/>
      <c r="D32" s="34"/>
      <c r="E32" s="34"/>
    </row>
    <row r="33" spans="1:8">
      <c r="A33" s="72" t="s">
        <v>515</v>
      </c>
      <c r="B33" s="34">
        <v>36.799999999999997</v>
      </c>
      <c r="C33" s="34">
        <v>28.5</v>
      </c>
      <c r="D33" s="34">
        <v>23</v>
      </c>
      <c r="E33" s="34"/>
      <c r="H33" s="2">
        <v>32</v>
      </c>
    </row>
    <row r="34" spans="1:8">
      <c r="A34" s="72" t="s">
        <v>449</v>
      </c>
      <c r="B34" s="34">
        <v>35</v>
      </c>
      <c r="C34" s="34">
        <v>21</v>
      </c>
      <c r="D34" s="34">
        <v>20</v>
      </c>
      <c r="E34" s="34"/>
    </row>
    <row r="35" spans="1:8">
      <c r="A35" s="72" t="s">
        <v>335</v>
      </c>
      <c r="B35" s="34">
        <v>56</v>
      </c>
      <c r="C35" s="34">
        <v>43</v>
      </c>
      <c r="D35" s="34">
        <v>45</v>
      </c>
      <c r="E35" s="34"/>
    </row>
    <row r="36" spans="1:8">
      <c r="A36" s="72" t="s">
        <v>282</v>
      </c>
      <c r="B36" s="34">
        <v>40</v>
      </c>
      <c r="C36" s="34"/>
      <c r="D36" s="34"/>
      <c r="E36" s="34"/>
    </row>
    <row r="37" spans="1:8">
      <c r="A37" s="72" t="s">
        <v>336</v>
      </c>
      <c r="B37" s="34">
        <v>50</v>
      </c>
      <c r="C37" s="34"/>
      <c r="D37" s="34"/>
      <c r="E37" s="34"/>
    </row>
    <row r="38" spans="1:8">
      <c r="A38" s="72" t="s">
        <v>98</v>
      </c>
      <c r="B38" s="34">
        <v>36</v>
      </c>
      <c r="C38" s="34"/>
      <c r="D38" s="34"/>
      <c r="E38" s="34"/>
    </row>
    <row r="39" spans="1:8">
      <c r="A39" s="72" t="s">
        <v>287</v>
      </c>
      <c r="B39" s="34">
        <v>28</v>
      </c>
      <c r="C39" s="34"/>
      <c r="D39" s="34"/>
      <c r="E39" s="34"/>
    </row>
    <row r="40" spans="1:8">
      <c r="A40" s="72" t="s">
        <v>319</v>
      </c>
      <c r="B40" s="34">
        <v>25</v>
      </c>
    </row>
    <row r="41" spans="1:8">
      <c r="A41" s="101" t="s">
        <v>288</v>
      </c>
      <c r="B41" s="25">
        <v>44</v>
      </c>
    </row>
    <row r="42" spans="1:8">
      <c r="A42" s="378" t="s">
        <v>496</v>
      </c>
      <c r="B42" s="34">
        <v>33</v>
      </c>
    </row>
    <row r="43" spans="1:8">
      <c r="A43" s="378" t="s">
        <v>3</v>
      </c>
      <c r="B43" s="34">
        <v>21</v>
      </c>
    </row>
    <row r="44" spans="1:8">
      <c r="A44" s="378" t="s">
        <v>49</v>
      </c>
      <c r="B44" s="34">
        <v>11.89</v>
      </c>
    </row>
    <row r="45" spans="1:8">
      <c r="A45" s="378" t="s">
        <v>589</v>
      </c>
      <c r="B45" s="34">
        <v>22</v>
      </c>
      <c r="C45" s="25">
        <v>22</v>
      </c>
      <c r="D45" s="25">
        <v>22</v>
      </c>
    </row>
    <row r="46" spans="1:8">
      <c r="A46" s="378" t="s">
        <v>675</v>
      </c>
      <c r="B46" s="34">
        <v>19</v>
      </c>
    </row>
  </sheetData>
  <phoneticPr fontId="81" type="noConversion"/>
  <pageMargins left="0.69972223043441772" right="0.69972223043441772" top="0.75" bottom="0.75" header="0.30000001192092896" footer="0.30000001192092896"/>
  <pageSetup paperSize="9" fitToWidth="0" fitToHeight="0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tabColor rgb="FF0070C0"/>
  </sheetPr>
  <dimension ref="A1:V74"/>
  <sheetViews>
    <sheetView zoomScale="70" zoomScaleNormal="70" zoomScaleSheetLayoutView="75" workbookViewId="0">
      <pane xSplit="6" ySplit="2" topLeftCell="G8" activePane="bottomRight" state="frozen"/>
      <selection pane="topRight" activeCell="G1" sqref="G1"/>
      <selection pane="bottomLeft" activeCell="A3" sqref="A3"/>
      <selection pane="bottomRight" activeCell="E40" sqref="E40"/>
    </sheetView>
  </sheetViews>
  <sheetFormatPr defaultColWidth="8.75" defaultRowHeight="24"/>
  <cols>
    <col min="1" max="1" width="11" style="241" customWidth="1"/>
    <col min="2" max="2" width="38.875" style="509" customWidth="1"/>
    <col min="3" max="4" width="14.25" style="242" customWidth="1"/>
    <col min="5" max="8" width="14.25" style="243" customWidth="1"/>
    <col min="9" max="10" width="11.75" style="243" customWidth="1"/>
    <col min="11" max="13" width="11" style="243" customWidth="1"/>
    <col min="14" max="19" width="10.125" style="244" customWidth="1"/>
    <col min="20" max="22" width="10.125" style="245" customWidth="1"/>
    <col min="23" max="16384" width="8.75" style="244"/>
  </cols>
  <sheetData>
    <row r="1" spans="1:22" ht="18.75" customHeight="1">
      <c r="N1" s="531" t="s">
        <v>69</v>
      </c>
      <c r="O1" s="532" t="s">
        <v>66</v>
      </c>
      <c r="P1" s="533" t="s">
        <v>80</v>
      </c>
      <c r="Q1" s="528" t="s">
        <v>86</v>
      </c>
      <c r="R1" s="528" t="s">
        <v>68</v>
      </c>
      <c r="S1" s="528" t="s">
        <v>46</v>
      </c>
      <c r="T1" s="528" t="s">
        <v>612</v>
      </c>
      <c r="U1" s="528" t="s">
        <v>693</v>
      </c>
      <c r="V1" s="526" t="s">
        <v>694</v>
      </c>
    </row>
    <row r="2" spans="1:22" ht="37.15" customHeight="1">
      <c r="A2" s="246" t="s">
        <v>419</v>
      </c>
      <c r="B2" s="510" t="s">
        <v>504</v>
      </c>
      <c r="C2" s="247" t="s">
        <v>184</v>
      </c>
      <c r="D2" s="247" t="s">
        <v>557</v>
      </c>
      <c r="E2" s="247" t="s">
        <v>468</v>
      </c>
      <c r="F2" s="247" t="s">
        <v>456</v>
      </c>
      <c r="G2" s="288" t="s">
        <v>613</v>
      </c>
      <c r="H2" s="288" t="s">
        <v>48</v>
      </c>
      <c r="I2" s="247" t="s">
        <v>124</v>
      </c>
      <c r="J2" s="288" t="s">
        <v>411</v>
      </c>
      <c r="K2" s="247" t="s">
        <v>112</v>
      </c>
      <c r="L2" s="247" t="s">
        <v>77</v>
      </c>
      <c r="M2" s="247" t="s">
        <v>88</v>
      </c>
      <c r="N2" s="531"/>
      <c r="O2" s="532"/>
      <c r="P2" s="533"/>
      <c r="Q2" s="528"/>
      <c r="R2" s="528"/>
      <c r="S2" s="528"/>
      <c r="T2" s="528"/>
      <c r="U2" s="528"/>
      <c r="V2" s="527"/>
    </row>
    <row r="3" spans="1:22" ht="26.25">
      <c r="A3" s="344" t="s">
        <v>425</v>
      </c>
      <c r="B3" s="510" t="s">
        <v>297</v>
      </c>
      <c r="C3" s="489">
        <v>294</v>
      </c>
      <c r="D3" s="490">
        <v>273</v>
      </c>
      <c r="E3" s="491">
        <v>984</v>
      </c>
      <c r="F3" s="492">
        <v>973</v>
      </c>
      <c r="G3" s="415">
        <v>40</v>
      </c>
      <c r="H3" s="415">
        <v>40</v>
      </c>
      <c r="I3" s="415">
        <v>30</v>
      </c>
      <c r="J3" s="416">
        <v>20</v>
      </c>
      <c r="K3" s="417">
        <v>20</v>
      </c>
      <c r="L3" s="418">
        <v>12</v>
      </c>
      <c r="M3" s="419">
        <v>12</v>
      </c>
      <c r="N3" s="249">
        <v>3</v>
      </c>
      <c r="O3" s="250">
        <v>4</v>
      </c>
      <c r="P3" s="251">
        <v>14</v>
      </c>
      <c r="Q3" s="250">
        <v>3</v>
      </c>
      <c r="R3" s="250">
        <v>3</v>
      </c>
      <c r="S3" s="250">
        <v>37</v>
      </c>
      <c r="T3" s="250">
        <v>20</v>
      </c>
      <c r="U3" s="474" t="s">
        <v>696</v>
      </c>
      <c r="V3" s="474" t="s">
        <v>695</v>
      </c>
    </row>
    <row r="4" spans="1:22" ht="26.25">
      <c r="A4" s="344" t="s">
        <v>417</v>
      </c>
      <c r="B4" s="510" t="s">
        <v>166</v>
      </c>
      <c r="C4" s="489">
        <v>661</v>
      </c>
      <c r="D4" s="490">
        <v>621</v>
      </c>
      <c r="E4" s="458">
        <f>C4+284</f>
        <v>945</v>
      </c>
      <c r="F4" s="492">
        <v>921</v>
      </c>
      <c r="G4" s="416">
        <v>20</v>
      </c>
      <c r="H4" s="416">
        <v>20</v>
      </c>
      <c r="I4" s="416">
        <v>20</v>
      </c>
      <c r="J4" s="416">
        <v>20</v>
      </c>
      <c r="K4" s="417">
        <v>20</v>
      </c>
      <c r="L4" s="418">
        <v>20</v>
      </c>
      <c r="M4" s="419">
        <v>28</v>
      </c>
      <c r="N4" s="249">
        <v>35</v>
      </c>
      <c r="O4" s="250">
        <v>30</v>
      </c>
      <c r="P4" s="251">
        <v>26</v>
      </c>
      <c r="Q4" s="250">
        <v>34</v>
      </c>
      <c r="R4" s="250">
        <v>32</v>
      </c>
      <c r="S4" s="250">
        <v>27</v>
      </c>
      <c r="T4" s="250">
        <v>20</v>
      </c>
      <c r="U4" s="474" t="s">
        <v>698</v>
      </c>
      <c r="V4" s="474" t="s">
        <v>697</v>
      </c>
    </row>
    <row r="5" spans="1:22" ht="26.25">
      <c r="A5" s="344" t="s">
        <v>417</v>
      </c>
      <c r="B5" s="510" t="s">
        <v>856</v>
      </c>
      <c r="C5" s="489">
        <v>485</v>
      </c>
      <c r="D5" s="490">
        <v>414</v>
      </c>
      <c r="E5" s="458">
        <f>C5+350</f>
        <v>835</v>
      </c>
      <c r="F5" s="453">
        <v>814</v>
      </c>
      <c r="G5" s="416">
        <v>41</v>
      </c>
      <c r="H5" s="416">
        <v>40</v>
      </c>
      <c r="I5" s="420">
        <v>40</v>
      </c>
      <c r="J5" s="529">
        <v>96</v>
      </c>
      <c r="K5" s="417">
        <v>40</v>
      </c>
      <c r="L5" s="418">
        <v>35</v>
      </c>
      <c r="M5" s="419">
        <v>35</v>
      </c>
      <c r="N5" s="249">
        <v>38</v>
      </c>
      <c r="O5" s="250">
        <v>30</v>
      </c>
      <c r="P5" s="251">
        <v>46</v>
      </c>
      <c r="Q5" s="250">
        <v>64</v>
      </c>
      <c r="R5" s="250" t="s">
        <v>493</v>
      </c>
      <c r="S5" s="250">
        <v>7</v>
      </c>
      <c r="T5" s="250">
        <v>59</v>
      </c>
      <c r="U5" s="475" t="s">
        <v>700</v>
      </c>
      <c r="V5" s="475" t="s">
        <v>699</v>
      </c>
    </row>
    <row r="6" spans="1:22" ht="26.25">
      <c r="A6" s="344" t="s">
        <v>417</v>
      </c>
      <c r="B6" s="510" t="s">
        <v>857</v>
      </c>
      <c r="C6" s="489">
        <v>500</v>
      </c>
      <c r="D6" s="490">
        <v>455</v>
      </c>
      <c r="E6" s="458">
        <f>C6+378</f>
        <v>878</v>
      </c>
      <c r="F6" s="453">
        <v>855</v>
      </c>
      <c r="G6" s="415">
        <v>40</v>
      </c>
      <c r="H6" s="415">
        <v>40</v>
      </c>
      <c r="I6" s="420">
        <v>31</v>
      </c>
      <c r="J6" s="530"/>
      <c r="K6" s="417">
        <v>31</v>
      </c>
      <c r="L6" s="418">
        <v>27</v>
      </c>
      <c r="M6" s="419">
        <v>27</v>
      </c>
      <c r="N6" s="249">
        <v>43</v>
      </c>
      <c r="O6" s="250">
        <v>38</v>
      </c>
      <c r="P6" s="251">
        <v>39</v>
      </c>
      <c r="Q6" s="250">
        <v>57</v>
      </c>
      <c r="R6" s="250" t="s">
        <v>493</v>
      </c>
      <c r="S6" s="250">
        <v>49</v>
      </c>
      <c r="T6" s="250">
        <v>46</v>
      </c>
      <c r="U6" s="476" t="s">
        <v>702</v>
      </c>
      <c r="V6" s="476" t="s">
        <v>701</v>
      </c>
    </row>
    <row r="7" spans="1:22" ht="26.25">
      <c r="A7" s="344" t="s">
        <v>425</v>
      </c>
      <c r="B7" s="510" t="s">
        <v>16</v>
      </c>
      <c r="C7" s="489">
        <v>291</v>
      </c>
      <c r="D7" s="493">
        <v>271</v>
      </c>
      <c r="E7" s="494">
        <v>979</v>
      </c>
      <c r="F7" s="492">
        <v>971</v>
      </c>
      <c r="G7" s="416">
        <v>29</v>
      </c>
      <c r="H7" s="416">
        <v>29</v>
      </c>
      <c r="I7" s="416">
        <v>29</v>
      </c>
      <c r="J7" s="415">
        <v>29</v>
      </c>
      <c r="K7" s="417">
        <v>22</v>
      </c>
      <c r="L7" s="418">
        <v>22</v>
      </c>
      <c r="M7" s="419">
        <v>16</v>
      </c>
      <c r="N7" s="249">
        <v>26</v>
      </c>
      <c r="O7" s="250">
        <v>16</v>
      </c>
      <c r="P7" s="251">
        <v>19</v>
      </c>
      <c r="Q7" s="250">
        <v>19</v>
      </c>
      <c r="R7" s="250">
        <v>38</v>
      </c>
      <c r="S7" s="250">
        <v>38</v>
      </c>
      <c r="T7" s="250">
        <v>36</v>
      </c>
      <c r="U7" s="477" t="s">
        <v>704</v>
      </c>
      <c r="V7" s="477" t="s">
        <v>703</v>
      </c>
    </row>
    <row r="8" spans="1:22" ht="26.25">
      <c r="A8" s="344" t="s">
        <v>415</v>
      </c>
      <c r="B8" s="510" t="s">
        <v>577</v>
      </c>
      <c r="C8" s="495">
        <v>165</v>
      </c>
      <c r="D8" s="496">
        <v>121</v>
      </c>
      <c r="E8" s="458">
        <f>C8+786</f>
        <v>951</v>
      </c>
      <c r="F8" s="453">
        <v>921</v>
      </c>
      <c r="G8" s="420">
        <v>20</v>
      </c>
      <c r="H8" s="420">
        <v>20</v>
      </c>
      <c r="I8" s="415">
        <v>22</v>
      </c>
      <c r="J8" s="416">
        <v>18</v>
      </c>
      <c r="K8" s="417">
        <v>18</v>
      </c>
      <c r="L8" s="418">
        <v>14</v>
      </c>
      <c r="M8" s="419">
        <v>12</v>
      </c>
      <c r="N8" s="249" t="s">
        <v>493</v>
      </c>
      <c r="O8" s="250">
        <v>3</v>
      </c>
      <c r="P8" s="251">
        <v>14</v>
      </c>
      <c r="Q8" s="250">
        <v>8</v>
      </c>
      <c r="R8" s="250">
        <v>9</v>
      </c>
      <c r="S8" s="250">
        <v>15</v>
      </c>
      <c r="T8" s="250">
        <v>15</v>
      </c>
      <c r="U8" s="477" t="s">
        <v>706</v>
      </c>
      <c r="V8" s="477" t="s">
        <v>705</v>
      </c>
    </row>
    <row r="9" spans="1:22" ht="26.25">
      <c r="A9" s="344" t="s">
        <v>425</v>
      </c>
      <c r="B9" s="510" t="s">
        <v>76</v>
      </c>
      <c r="C9" s="495">
        <v>29.49</v>
      </c>
      <c r="D9" s="496">
        <v>29.17</v>
      </c>
      <c r="E9" s="491">
        <v>99.3</v>
      </c>
      <c r="F9" s="450">
        <v>99.17</v>
      </c>
      <c r="G9" s="416">
        <v>19</v>
      </c>
      <c r="H9" s="416">
        <v>10</v>
      </c>
      <c r="I9" s="416">
        <v>10</v>
      </c>
      <c r="J9" s="415">
        <v>10</v>
      </c>
      <c r="K9" s="417" t="s">
        <v>233</v>
      </c>
      <c r="L9" s="418"/>
      <c r="M9" s="419"/>
      <c r="N9" s="249"/>
      <c r="O9" s="250"/>
      <c r="P9" s="251"/>
      <c r="Q9" s="248" t="s">
        <v>233</v>
      </c>
      <c r="R9" s="250">
        <v>15</v>
      </c>
      <c r="S9" s="250">
        <v>4</v>
      </c>
      <c r="T9" s="250">
        <v>13</v>
      </c>
      <c r="U9" s="474" t="s">
        <v>708</v>
      </c>
      <c r="V9" s="474" t="s">
        <v>707</v>
      </c>
    </row>
    <row r="10" spans="1:22" ht="26.25" hidden="1">
      <c r="A10" s="344" t="s">
        <v>425</v>
      </c>
      <c r="B10" s="510" t="s">
        <v>328</v>
      </c>
      <c r="C10" s="495"/>
      <c r="D10" s="496"/>
      <c r="E10" s="497"/>
      <c r="F10" s="498"/>
      <c r="G10" s="416" t="s">
        <v>621</v>
      </c>
      <c r="H10" s="421"/>
      <c r="I10" s="416">
        <v>5</v>
      </c>
      <c r="J10" s="415">
        <v>5</v>
      </c>
      <c r="K10" s="417" t="s">
        <v>233</v>
      </c>
      <c r="L10" s="418"/>
      <c r="M10" s="419"/>
      <c r="N10" s="249"/>
      <c r="O10" s="250"/>
      <c r="P10" s="251"/>
      <c r="Q10" s="248" t="s">
        <v>233</v>
      </c>
      <c r="R10" s="250">
        <v>3</v>
      </c>
      <c r="S10" s="348">
        <v>3</v>
      </c>
      <c r="T10" s="250" t="s">
        <v>621</v>
      </c>
      <c r="U10" s="478"/>
      <c r="V10" s="478" t="s">
        <v>709</v>
      </c>
    </row>
    <row r="11" spans="1:22" s="245" customFormat="1" ht="26.25">
      <c r="A11" s="344" t="s">
        <v>415</v>
      </c>
      <c r="B11" s="510" t="s">
        <v>619</v>
      </c>
      <c r="C11" s="489">
        <v>160</v>
      </c>
      <c r="D11" s="490">
        <v>116</v>
      </c>
      <c r="E11" s="463">
        <f>C11+760</f>
        <v>920</v>
      </c>
      <c r="F11" s="453">
        <f>D11+773.33</f>
        <v>889.33</v>
      </c>
      <c r="G11" s="420">
        <v>29</v>
      </c>
      <c r="H11" s="420">
        <v>16</v>
      </c>
      <c r="I11" s="420">
        <v>26</v>
      </c>
      <c r="J11" s="420">
        <v>30</v>
      </c>
      <c r="K11" s="422">
        <v>19</v>
      </c>
      <c r="L11" s="418">
        <v>15</v>
      </c>
      <c r="M11" s="423">
        <v>30</v>
      </c>
      <c r="N11" s="249">
        <v>25</v>
      </c>
      <c r="O11" s="250">
        <v>53</v>
      </c>
      <c r="P11" s="251">
        <v>44</v>
      </c>
      <c r="Q11" s="250">
        <v>12</v>
      </c>
      <c r="R11" s="287" t="s">
        <v>493</v>
      </c>
      <c r="S11" s="250" t="s">
        <v>513</v>
      </c>
      <c r="T11" s="250">
        <v>1</v>
      </c>
      <c r="U11" s="477" t="s">
        <v>711</v>
      </c>
      <c r="V11" s="477" t="s">
        <v>710</v>
      </c>
    </row>
    <row r="12" spans="1:22" ht="26.25">
      <c r="A12" s="344" t="s">
        <v>418</v>
      </c>
      <c r="B12" s="510" t="s">
        <v>173</v>
      </c>
      <c r="C12" s="489">
        <v>85</v>
      </c>
      <c r="D12" s="490">
        <v>72</v>
      </c>
      <c r="E12" s="458">
        <f>C12+880</f>
        <v>965</v>
      </c>
      <c r="F12" s="453">
        <v>923</v>
      </c>
      <c r="G12" s="416">
        <v>55</v>
      </c>
      <c r="H12" s="416">
        <v>30</v>
      </c>
      <c r="I12" s="416">
        <v>30</v>
      </c>
      <c r="J12" s="420">
        <v>30</v>
      </c>
      <c r="K12" s="422">
        <v>30</v>
      </c>
      <c r="L12" s="418">
        <v>35</v>
      </c>
      <c r="M12" s="423">
        <v>10</v>
      </c>
      <c r="N12" s="249" t="s">
        <v>493</v>
      </c>
      <c r="O12" s="250">
        <v>27</v>
      </c>
      <c r="P12" s="251">
        <v>36</v>
      </c>
      <c r="Q12" s="250">
        <v>17</v>
      </c>
      <c r="R12" s="250">
        <v>26</v>
      </c>
      <c r="S12" s="250">
        <v>48</v>
      </c>
      <c r="T12" s="250">
        <v>39</v>
      </c>
      <c r="U12" s="477" t="s">
        <v>713</v>
      </c>
      <c r="V12" s="477" t="s">
        <v>712</v>
      </c>
    </row>
    <row r="13" spans="1:22" s="245" customFormat="1" ht="26.25">
      <c r="A13" s="344" t="s">
        <v>418</v>
      </c>
      <c r="B13" s="510" t="s">
        <v>583</v>
      </c>
      <c r="C13" s="489">
        <v>210</v>
      </c>
      <c r="D13" s="490">
        <v>154</v>
      </c>
      <c r="E13" s="458">
        <v>851</v>
      </c>
      <c r="F13" s="453">
        <v>805</v>
      </c>
      <c r="G13" s="420">
        <v>42</v>
      </c>
      <c r="H13" s="420">
        <v>41</v>
      </c>
      <c r="I13" s="420">
        <v>36</v>
      </c>
      <c r="J13" s="415">
        <v>38</v>
      </c>
      <c r="K13" s="422">
        <v>27</v>
      </c>
      <c r="L13" s="418">
        <v>33</v>
      </c>
      <c r="M13" s="423" t="s">
        <v>493</v>
      </c>
      <c r="N13" s="249" t="s">
        <v>493</v>
      </c>
      <c r="O13" s="250" t="s">
        <v>493</v>
      </c>
      <c r="P13" s="251">
        <v>26</v>
      </c>
      <c r="Q13" s="250">
        <v>48</v>
      </c>
      <c r="R13" s="287">
        <v>100</v>
      </c>
      <c r="S13" s="250">
        <v>86</v>
      </c>
      <c r="T13" s="250">
        <v>52</v>
      </c>
      <c r="U13" s="477" t="s">
        <v>715</v>
      </c>
      <c r="V13" s="477" t="s">
        <v>714</v>
      </c>
    </row>
    <row r="14" spans="1:22" s="245" customFormat="1" ht="26.25">
      <c r="A14" s="344" t="s">
        <v>418</v>
      </c>
      <c r="B14" s="510" t="s">
        <v>593</v>
      </c>
      <c r="C14" s="489">
        <v>210</v>
      </c>
      <c r="D14" s="490">
        <v>136</v>
      </c>
      <c r="E14" s="491">
        <v>840</v>
      </c>
      <c r="F14" s="492">
        <v>784</v>
      </c>
      <c r="G14" s="420">
        <v>42</v>
      </c>
      <c r="H14" s="420">
        <v>40</v>
      </c>
      <c r="I14" s="420">
        <v>35</v>
      </c>
      <c r="J14" s="415">
        <v>38</v>
      </c>
      <c r="K14" s="422">
        <v>27</v>
      </c>
      <c r="L14" s="418">
        <v>34</v>
      </c>
      <c r="M14" s="423" t="s">
        <v>493</v>
      </c>
      <c r="N14" s="249" t="s">
        <v>493</v>
      </c>
      <c r="O14" s="250" t="s">
        <v>493</v>
      </c>
      <c r="P14" s="251">
        <v>22</v>
      </c>
      <c r="Q14" s="250">
        <v>43</v>
      </c>
      <c r="R14" s="287">
        <v>74</v>
      </c>
      <c r="S14" s="250">
        <v>50</v>
      </c>
      <c r="T14" s="250">
        <v>37</v>
      </c>
      <c r="U14" s="477" t="s">
        <v>717</v>
      </c>
      <c r="V14" s="477" t="s">
        <v>716</v>
      </c>
    </row>
    <row r="15" spans="1:22" s="245" customFormat="1" ht="26.25">
      <c r="A15" s="344" t="s">
        <v>425</v>
      </c>
      <c r="B15" s="510" t="s">
        <v>43</v>
      </c>
      <c r="C15" s="489">
        <v>686</v>
      </c>
      <c r="D15" s="490">
        <v>668</v>
      </c>
      <c r="E15" s="458">
        <f>C15+296</f>
        <v>982</v>
      </c>
      <c r="F15" s="492">
        <v>968</v>
      </c>
      <c r="G15" s="420">
        <v>10</v>
      </c>
      <c r="H15" s="420">
        <v>10</v>
      </c>
      <c r="I15" s="420"/>
      <c r="J15" s="415"/>
      <c r="K15" s="422"/>
      <c r="L15" s="418"/>
      <c r="M15" s="423"/>
      <c r="N15" s="249"/>
      <c r="O15" s="250"/>
      <c r="P15" s="251"/>
      <c r="Q15" s="250"/>
      <c r="R15" s="287"/>
      <c r="S15" s="250"/>
      <c r="T15" s="250">
        <v>2</v>
      </c>
      <c r="U15" s="477" t="s">
        <v>718</v>
      </c>
      <c r="V15" s="477"/>
    </row>
    <row r="16" spans="1:22" ht="26.25">
      <c r="A16" s="344" t="s">
        <v>418</v>
      </c>
      <c r="B16" s="510" t="s">
        <v>375</v>
      </c>
      <c r="C16" s="489">
        <v>190</v>
      </c>
      <c r="D16" s="490">
        <v>180</v>
      </c>
      <c r="E16" s="458">
        <f>C16+800</f>
        <v>990</v>
      </c>
      <c r="F16" s="453">
        <f>D16+800</f>
        <v>980</v>
      </c>
      <c r="G16" s="420">
        <v>14</v>
      </c>
      <c r="H16" s="420">
        <v>14</v>
      </c>
      <c r="I16" s="416">
        <v>15</v>
      </c>
      <c r="J16" s="416">
        <v>15</v>
      </c>
      <c r="K16" s="417" t="s">
        <v>233</v>
      </c>
      <c r="L16" s="418"/>
      <c r="M16" s="423"/>
      <c r="N16" s="249"/>
      <c r="O16" s="250"/>
      <c r="P16" s="251"/>
      <c r="Q16" s="248" t="s">
        <v>233</v>
      </c>
      <c r="R16" s="250">
        <v>3</v>
      </c>
      <c r="S16" s="250">
        <v>8</v>
      </c>
      <c r="T16" s="250">
        <v>12</v>
      </c>
      <c r="U16" s="474" t="s">
        <v>720</v>
      </c>
      <c r="V16" s="474" t="s">
        <v>719</v>
      </c>
    </row>
    <row r="17" spans="1:22" ht="26.25" hidden="1">
      <c r="A17" s="344" t="s">
        <v>418</v>
      </c>
      <c r="B17" s="510" t="s">
        <v>363</v>
      </c>
      <c r="C17" s="489">
        <v>194.8</v>
      </c>
      <c r="D17" s="490">
        <v>192.2</v>
      </c>
      <c r="E17" s="491"/>
      <c r="F17" s="492"/>
      <c r="G17" s="416" t="s">
        <v>621</v>
      </c>
      <c r="H17" s="416">
        <v>5</v>
      </c>
      <c r="I17" s="420">
        <v>5</v>
      </c>
      <c r="J17" s="416">
        <v>6</v>
      </c>
      <c r="K17" s="417" t="s">
        <v>233</v>
      </c>
      <c r="L17" s="418"/>
      <c r="M17" s="423"/>
      <c r="N17" s="249"/>
      <c r="O17" s="250"/>
      <c r="P17" s="251"/>
      <c r="Q17" s="248" t="s">
        <v>233</v>
      </c>
      <c r="R17" s="250">
        <v>1</v>
      </c>
      <c r="S17" s="250">
        <v>4</v>
      </c>
      <c r="T17" s="250">
        <v>5</v>
      </c>
      <c r="U17" s="478" t="s">
        <v>722</v>
      </c>
      <c r="V17" s="478" t="s">
        <v>721</v>
      </c>
    </row>
    <row r="18" spans="1:22" s="245" customFormat="1" ht="26.25">
      <c r="A18" s="252" t="s">
        <v>420</v>
      </c>
      <c r="B18" s="510" t="s">
        <v>44</v>
      </c>
      <c r="C18" s="489">
        <v>352</v>
      </c>
      <c r="D18" s="490">
        <v>330</v>
      </c>
      <c r="E18" s="458">
        <f>C18+590</f>
        <v>942</v>
      </c>
      <c r="F18" s="492">
        <v>930</v>
      </c>
      <c r="G18" s="424">
        <v>27</v>
      </c>
      <c r="H18" s="417">
        <v>25</v>
      </c>
      <c r="I18" s="417">
        <v>25</v>
      </c>
      <c r="J18" s="415">
        <v>25</v>
      </c>
      <c r="K18" s="422">
        <v>23</v>
      </c>
      <c r="L18" s="418">
        <v>15</v>
      </c>
      <c r="M18" s="423">
        <v>11</v>
      </c>
      <c r="N18" s="249">
        <v>17</v>
      </c>
      <c r="O18" s="250">
        <v>23</v>
      </c>
      <c r="P18" s="251">
        <v>31</v>
      </c>
      <c r="Q18" s="250">
        <v>42</v>
      </c>
      <c r="R18" s="250">
        <v>54</v>
      </c>
      <c r="S18" s="250">
        <v>37</v>
      </c>
      <c r="T18" s="250">
        <v>28</v>
      </c>
      <c r="U18" s="477" t="s">
        <v>724</v>
      </c>
      <c r="V18" s="477" t="s">
        <v>723</v>
      </c>
    </row>
    <row r="19" spans="1:22" s="245" customFormat="1" ht="26.25">
      <c r="A19" s="252" t="s">
        <v>420</v>
      </c>
      <c r="B19" s="510" t="s">
        <v>45</v>
      </c>
      <c r="C19" s="489">
        <v>348</v>
      </c>
      <c r="D19" s="490">
        <v>320</v>
      </c>
      <c r="E19" s="458">
        <f>C19+590</f>
        <v>938</v>
      </c>
      <c r="F19" s="453">
        <f>D19+600</f>
        <v>920</v>
      </c>
      <c r="G19" s="424">
        <v>32</v>
      </c>
      <c r="H19" s="422">
        <v>32</v>
      </c>
      <c r="I19" s="422">
        <v>23</v>
      </c>
      <c r="J19" s="416">
        <v>20</v>
      </c>
      <c r="K19" s="422">
        <v>20</v>
      </c>
      <c r="L19" s="418">
        <v>15</v>
      </c>
      <c r="M19" s="423">
        <v>15</v>
      </c>
      <c r="N19" s="249">
        <v>21</v>
      </c>
      <c r="O19" s="250">
        <v>20</v>
      </c>
      <c r="P19" s="251">
        <v>17</v>
      </c>
      <c r="Q19" s="250">
        <v>37</v>
      </c>
      <c r="R19" s="250">
        <v>30</v>
      </c>
      <c r="S19" s="250">
        <v>35</v>
      </c>
      <c r="T19" s="250">
        <v>22</v>
      </c>
      <c r="U19" s="477" t="s">
        <v>726</v>
      </c>
      <c r="V19" s="477" t="s">
        <v>725</v>
      </c>
    </row>
    <row r="20" spans="1:22" ht="26.25">
      <c r="A20" s="252" t="s">
        <v>425</v>
      </c>
      <c r="B20" s="510" t="s">
        <v>41</v>
      </c>
      <c r="C20" s="495">
        <v>184</v>
      </c>
      <c r="D20" s="496">
        <v>179.3</v>
      </c>
      <c r="E20" s="458">
        <f>C20+800</f>
        <v>984</v>
      </c>
      <c r="F20" s="372">
        <f>D20+800</f>
        <v>979.3</v>
      </c>
      <c r="G20" s="424">
        <v>25</v>
      </c>
      <c r="H20" s="416">
        <v>25</v>
      </c>
      <c r="I20" s="415">
        <v>25</v>
      </c>
      <c r="J20" s="415">
        <v>22</v>
      </c>
      <c r="K20" s="422">
        <v>20</v>
      </c>
      <c r="L20" s="418">
        <v>17</v>
      </c>
      <c r="M20" s="423">
        <v>13</v>
      </c>
      <c r="N20" s="249">
        <v>14</v>
      </c>
      <c r="O20" s="250">
        <v>15</v>
      </c>
      <c r="P20" s="251">
        <v>10</v>
      </c>
      <c r="Q20" s="250">
        <v>21</v>
      </c>
      <c r="R20" s="250">
        <v>33</v>
      </c>
      <c r="S20" s="250">
        <v>32</v>
      </c>
      <c r="T20" s="250">
        <v>22</v>
      </c>
      <c r="U20" s="477" t="s">
        <v>728</v>
      </c>
      <c r="V20" s="477" t="s">
        <v>727</v>
      </c>
    </row>
    <row r="21" spans="1:22" ht="26.25">
      <c r="A21" s="252" t="s">
        <v>416</v>
      </c>
      <c r="B21" s="510" t="s">
        <v>151</v>
      </c>
      <c r="C21" s="489">
        <v>298.39999999999998</v>
      </c>
      <c r="D21" s="490">
        <v>294.3</v>
      </c>
      <c r="E21" s="491">
        <v>996.5</v>
      </c>
      <c r="F21" s="492">
        <v>994.3</v>
      </c>
      <c r="G21" s="424">
        <v>22</v>
      </c>
      <c r="H21" s="416">
        <v>23</v>
      </c>
      <c r="I21" s="416">
        <v>23</v>
      </c>
      <c r="J21" s="416">
        <v>23</v>
      </c>
      <c r="K21" s="422">
        <v>23</v>
      </c>
      <c r="L21" s="418">
        <v>28</v>
      </c>
      <c r="M21" s="423">
        <v>28</v>
      </c>
      <c r="N21" s="249" t="s">
        <v>493</v>
      </c>
      <c r="O21" s="250" t="s">
        <v>493</v>
      </c>
      <c r="P21" s="251" t="s">
        <v>493</v>
      </c>
      <c r="Q21" s="250" t="s">
        <v>493</v>
      </c>
      <c r="R21" s="250">
        <v>0</v>
      </c>
      <c r="S21" s="250">
        <v>0</v>
      </c>
      <c r="T21" s="250">
        <v>0</v>
      </c>
      <c r="U21" s="474" t="s">
        <v>730</v>
      </c>
      <c r="V21" s="474" t="s">
        <v>729</v>
      </c>
    </row>
    <row r="22" spans="1:22" ht="26.25" hidden="1">
      <c r="A22" s="252" t="s">
        <v>416</v>
      </c>
      <c r="B22" s="510" t="s">
        <v>290</v>
      </c>
      <c r="C22" s="489">
        <v>396.8</v>
      </c>
      <c r="D22" s="490">
        <v>392.8</v>
      </c>
      <c r="E22" s="491"/>
      <c r="F22" s="492"/>
      <c r="G22" s="459" t="s">
        <v>655</v>
      </c>
      <c r="H22" s="425"/>
      <c r="I22" s="420"/>
      <c r="J22" s="420"/>
      <c r="K22" s="415">
        <v>5</v>
      </c>
      <c r="L22" s="418">
        <v>6</v>
      </c>
      <c r="M22" s="423" t="s">
        <v>493</v>
      </c>
      <c r="N22" s="249" t="s">
        <v>493</v>
      </c>
      <c r="O22" s="250" t="s">
        <v>493</v>
      </c>
      <c r="P22" s="251">
        <v>1</v>
      </c>
      <c r="Q22" s="250" t="s">
        <v>493</v>
      </c>
      <c r="R22" s="250" t="s">
        <v>493</v>
      </c>
      <c r="S22" s="348"/>
      <c r="T22" s="348"/>
      <c r="U22" s="479"/>
      <c r="V22" s="479"/>
    </row>
    <row r="23" spans="1:22" s="245" customFormat="1" ht="26.25">
      <c r="A23" s="252" t="s">
        <v>420</v>
      </c>
      <c r="B23" s="510" t="s">
        <v>84</v>
      </c>
      <c r="C23" s="489">
        <v>86</v>
      </c>
      <c r="D23" s="490">
        <v>50</v>
      </c>
      <c r="E23" s="494">
        <v>918</v>
      </c>
      <c r="F23" s="492">
        <v>888</v>
      </c>
      <c r="G23" s="424">
        <v>30</v>
      </c>
      <c r="H23" s="416">
        <v>33</v>
      </c>
      <c r="I23" s="420">
        <v>33</v>
      </c>
      <c r="J23" s="415">
        <v>54</v>
      </c>
      <c r="K23" s="422">
        <v>53</v>
      </c>
      <c r="L23" s="418">
        <v>42</v>
      </c>
      <c r="M23" s="423">
        <v>37</v>
      </c>
      <c r="N23" s="249" t="s">
        <v>493</v>
      </c>
      <c r="O23" s="250" t="s">
        <v>493</v>
      </c>
      <c r="P23" s="251">
        <v>72</v>
      </c>
      <c r="Q23" s="250">
        <v>129</v>
      </c>
      <c r="R23" s="250">
        <v>149</v>
      </c>
      <c r="S23" s="250">
        <v>126</v>
      </c>
      <c r="T23" s="250">
        <v>76</v>
      </c>
      <c r="U23" s="477" t="s">
        <v>732</v>
      </c>
      <c r="V23" s="477" t="s">
        <v>731</v>
      </c>
    </row>
    <row r="24" spans="1:22" ht="26.25">
      <c r="A24" s="252" t="s">
        <v>418</v>
      </c>
      <c r="B24" s="510" t="s">
        <v>377</v>
      </c>
      <c r="C24" s="489">
        <v>552</v>
      </c>
      <c r="D24" s="490">
        <v>516</v>
      </c>
      <c r="E24" s="499">
        <f>C24+378.67</f>
        <v>930.67000000000007</v>
      </c>
      <c r="F24" s="453">
        <f>D24+400</f>
        <v>916</v>
      </c>
      <c r="G24" s="424">
        <v>27</v>
      </c>
      <c r="H24" s="416">
        <v>27</v>
      </c>
      <c r="I24" s="415">
        <v>27</v>
      </c>
      <c r="J24" s="415">
        <v>26</v>
      </c>
      <c r="K24" s="422">
        <v>22</v>
      </c>
      <c r="L24" s="418">
        <v>22</v>
      </c>
      <c r="M24" s="423">
        <v>20</v>
      </c>
      <c r="N24" s="249">
        <v>25</v>
      </c>
      <c r="O24" s="250">
        <v>26</v>
      </c>
      <c r="P24" s="251">
        <v>20</v>
      </c>
      <c r="Q24" s="250">
        <v>16</v>
      </c>
      <c r="R24" s="250">
        <v>32</v>
      </c>
      <c r="S24" s="250">
        <v>28</v>
      </c>
      <c r="T24" s="250">
        <v>16</v>
      </c>
      <c r="U24" s="477" t="s">
        <v>734</v>
      </c>
      <c r="V24" s="477" t="s">
        <v>733</v>
      </c>
    </row>
    <row r="25" spans="1:22" ht="26.25">
      <c r="A25" s="252" t="s">
        <v>418</v>
      </c>
      <c r="B25" s="510" t="s">
        <v>387</v>
      </c>
      <c r="C25" s="489">
        <v>349</v>
      </c>
      <c r="D25" s="490">
        <v>323</v>
      </c>
      <c r="E25" s="463">
        <f>C25+592</f>
        <v>941</v>
      </c>
      <c r="F25" s="453">
        <f>D25+600</f>
        <v>923</v>
      </c>
      <c r="G25" s="424">
        <v>73</v>
      </c>
      <c r="H25" s="420">
        <v>73</v>
      </c>
      <c r="I25" s="415">
        <v>75</v>
      </c>
      <c r="J25" s="415">
        <v>46</v>
      </c>
      <c r="K25" s="422">
        <v>41</v>
      </c>
      <c r="L25" s="418">
        <v>50</v>
      </c>
      <c r="M25" s="423">
        <v>50</v>
      </c>
      <c r="N25" s="249">
        <v>33</v>
      </c>
      <c r="O25" s="250">
        <v>22</v>
      </c>
      <c r="P25" s="251">
        <v>67</v>
      </c>
      <c r="Q25" s="250">
        <v>19</v>
      </c>
      <c r="R25" s="250">
        <v>30</v>
      </c>
      <c r="S25" s="250">
        <v>42</v>
      </c>
      <c r="T25" s="250">
        <v>36</v>
      </c>
      <c r="U25" s="477" t="s">
        <v>736</v>
      </c>
      <c r="V25" s="477" t="s">
        <v>735</v>
      </c>
    </row>
    <row r="26" spans="1:22" ht="26.25">
      <c r="A26" s="252" t="s">
        <v>416</v>
      </c>
      <c r="B26" s="510" t="s">
        <v>255</v>
      </c>
      <c r="C26" s="489">
        <v>392</v>
      </c>
      <c r="D26" s="490">
        <v>386</v>
      </c>
      <c r="E26" s="463">
        <f>C26+598</f>
        <v>990</v>
      </c>
      <c r="F26" s="453">
        <f>D26+600</f>
        <v>986</v>
      </c>
      <c r="G26" s="426">
        <v>12</v>
      </c>
      <c r="H26" s="420">
        <v>10</v>
      </c>
      <c r="I26" s="415">
        <v>11</v>
      </c>
      <c r="J26" s="416">
        <v>9</v>
      </c>
      <c r="K26" s="422">
        <v>9</v>
      </c>
      <c r="L26" s="418">
        <v>8</v>
      </c>
      <c r="M26" s="423">
        <v>6</v>
      </c>
      <c r="N26" s="249">
        <v>4</v>
      </c>
      <c r="O26" s="250">
        <v>12</v>
      </c>
      <c r="P26" s="251">
        <v>10</v>
      </c>
      <c r="Q26" s="250">
        <v>14</v>
      </c>
      <c r="R26" s="250">
        <v>3</v>
      </c>
      <c r="S26" s="250">
        <v>4</v>
      </c>
      <c r="T26" s="250">
        <v>4</v>
      </c>
      <c r="U26" s="474" t="s">
        <v>738</v>
      </c>
      <c r="V26" s="474" t="s">
        <v>737</v>
      </c>
    </row>
    <row r="27" spans="1:22" s="245" customFormat="1" ht="26.25">
      <c r="A27" s="344" t="s">
        <v>416</v>
      </c>
      <c r="B27" s="510" t="s">
        <v>42</v>
      </c>
      <c r="C27" s="489">
        <v>282</v>
      </c>
      <c r="D27" s="490">
        <v>235</v>
      </c>
      <c r="E27" s="463">
        <f>C27+679</f>
        <v>961</v>
      </c>
      <c r="F27" s="453">
        <f>D27+700</f>
        <v>935</v>
      </c>
      <c r="G27" s="426">
        <v>12</v>
      </c>
      <c r="H27" s="415">
        <v>12</v>
      </c>
      <c r="I27" s="415"/>
      <c r="J27" s="416"/>
      <c r="K27" s="422"/>
      <c r="L27" s="418"/>
      <c r="M27" s="423"/>
      <c r="N27" s="249"/>
      <c r="O27" s="250"/>
      <c r="P27" s="251"/>
      <c r="Q27" s="250"/>
      <c r="R27" s="250"/>
      <c r="S27" s="250"/>
      <c r="T27" s="250">
        <v>12</v>
      </c>
      <c r="U27" s="474" t="s">
        <v>739</v>
      </c>
      <c r="V27" s="474"/>
    </row>
    <row r="28" spans="1:22" ht="26.25">
      <c r="A28" s="252" t="s">
        <v>418</v>
      </c>
      <c r="B28" s="510" t="s">
        <v>562</v>
      </c>
      <c r="C28" s="489">
        <v>357</v>
      </c>
      <c r="D28" s="490">
        <v>288</v>
      </c>
      <c r="E28" s="494">
        <v>910</v>
      </c>
      <c r="F28" s="492">
        <v>888</v>
      </c>
      <c r="G28" s="426">
        <v>38</v>
      </c>
      <c r="H28" s="416">
        <v>38</v>
      </c>
      <c r="I28" s="420">
        <v>38</v>
      </c>
      <c r="J28" s="415">
        <v>43</v>
      </c>
      <c r="K28" s="422">
        <v>42</v>
      </c>
      <c r="L28" s="418">
        <v>40</v>
      </c>
      <c r="M28" s="423">
        <v>34</v>
      </c>
      <c r="N28" s="249" t="s">
        <v>493</v>
      </c>
      <c r="O28" s="250">
        <v>36</v>
      </c>
      <c r="P28" s="251">
        <v>29</v>
      </c>
      <c r="Q28" s="250">
        <v>33</v>
      </c>
      <c r="R28" s="250">
        <v>27</v>
      </c>
      <c r="S28" s="250">
        <v>37</v>
      </c>
      <c r="T28" s="250">
        <v>23</v>
      </c>
      <c r="U28" s="477" t="s">
        <v>741</v>
      </c>
      <c r="V28" s="477" t="s">
        <v>740</v>
      </c>
    </row>
    <row r="29" spans="1:22" ht="26.25">
      <c r="A29" s="252" t="s">
        <v>417</v>
      </c>
      <c r="B29" s="510" t="s">
        <v>281</v>
      </c>
      <c r="C29" s="489">
        <v>233</v>
      </c>
      <c r="D29" s="490">
        <v>197</v>
      </c>
      <c r="E29" s="491">
        <v>920</v>
      </c>
      <c r="F29" s="453">
        <f>D29+700</f>
        <v>897</v>
      </c>
      <c r="G29" s="424">
        <v>40</v>
      </c>
      <c r="H29" s="420">
        <v>40</v>
      </c>
      <c r="I29" s="416">
        <v>55</v>
      </c>
      <c r="J29" s="415">
        <v>60</v>
      </c>
      <c r="K29" s="422">
        <v>40</v>
      </c>
      <c r="L29" s="418">
        <v>30</v>
      </c>
      <c r="M29" s="423">
        <v>28</v>
      </c>
      <c r="N29" s="249">
        <v>37</v>
      </c>
      <c r="O29" s="250">
        <v>64</v>
      </c>
      <c r="P29" s="251">
        <v>62</v>
      </c>
      <c r="Q29" s="250">
        <v>47</v>
      </c>
      <c r="R29" s="250">
        <v>24</v>
      </c>
      <c r="S29" s="250">
        <v>40</v>
      </c>
      <c r="T29" s="250">
        <v>56</v>
      </c>
      <c r="U29" s="477" t="s">
        <v>743</v>
      </c>
      <c r="V29" s="477" t="s">
        <v>742</v>
      </c>
    </row>
    <row r="30" spans="1:22" s="245" customFormat="1" ht="26.25" hidden="1">
      <c r="A30" s="344" t="s">
        <v>416</v>
      </c>
      <c r="B30" s="510" t="s">
        <v>595</v>
      </c>
      <c r="C30" s="489">
        <v>294</v>
      </c>
      <c r="D30" s="490">
        <v>281</v>
      </c>
      <c r="E30" s="491">
        <v>687.33</v>
      </c>
      <c r="F30" s="492">
        <v>680.67</v>
      </c>
      <c r="G30" s="427">
        <v>30</v>
      </c>
      <c r="H30" s="416">
        <v>30</v>
      </c>
      <c r="I30" s="416"/>
      <c r="J30" s="415"/>
      <c r="K30" s="422"/>
      <c r="L30" s="418"/>
      <c r="M30" s="423"/>
      <c r="N30" s="249"/>
      <c r="O30" s="250"/>
      <c r="P30" s="251"/>
      <c r="Q30" s="250"/>
      <c r="R30" s="250"/>
      <c r="S30" s="250">
        <v>7</v>
      </c>
      <c r="T30" s="250">
        <v>2</v>
      </c>
      <c r="U30" s="477" t="s">
        <v>745</v>
      </c>
      <c r="V30" s="477" t="s">
        <v>744</v>
      </c>
    </row>
    <row r="31" spans="1:22" ht="26.25">
      <c r="A31" s="252" t="s">
        <v>416</v>
      </c>
      <c r="B31" s="510" t="s">
        <v>578</v>
      </c>
      <c r="C31" s="489">
        <v>58</v>
      </c>
      <c r="D31" s="490">
        <v>55.49</v>
      </c>
      <c r="E31" s="491">
        <v>97.7</v>
      </c>
      <c r="F31" s="371">
        <f>D31+40</f>
        <v>95.490000000000009</v>
      </c>
      <c r="G31" s="424">
        <v>10</v>
      </c>
      <c r="H31" s="416">
        <v>10</v>
      </c>
      <c r="I31" s="416">
        <v>10</v>
      </c>
      <c r="J31" s="416">
        <v>10</v>
      </c>
      <c r="K31" s="415">
        <v>10</v>
      </c>
      <c r="L31" s="418">
        <v>12</v>
      </c>
      <c r="M31" s="423">
        <v>14</v>
      </c>
      <c r="N31" s="249">
        <v>6</v>
      </c>
      <c r="O31" s="250">
        <v>6</v>
      </c>
      <c r="P31" s="251">
        <v>11</v>
      </c>
      <c r="Q31" s="250">
        <v>3</v>
      </c>
      <c r="R31" s="250">
        <v>6</v>
      </c>
      <c r="S31" s="250">
        <v>10</v>
      </c>
      <c r="T31" s="250">
        <v>10</v>
      </c>
      <c r="U31" s="477" t="s">
        <v>747</v>
      </c>
      <c r="V31" s="477" t="s">
        <v>746</v>
      </c>
    </row>
    <row r="32" spans="1:22" ht="26.25">
      <c r="A32" s="252" t="s">
        <v>418</v>
      </c>
      <c r="B32" s="510" t="s">
        <v>179</v>
      </c>
      <c r="C32" s="489">
        <v>588</v>
      </c>
      <c r="D32" s="490">
        <v>576</v>
      </c>
      <c r="E32" s="369">
        <f>C32+393.6</f>
        <v>981.6</v>
      </c>
      <c r="F32" s="500">
        <v>976</v>
      </c>
      <c r="G32" s="424">
        <v>28</v>
      </c>
      <c r="H32" s="416">
        <v>23</v>
      </c>
      <c r="I32" s="416">
        <v>23</v>
      </c>
      <c r="J32" s="415">
        <v>23</v>
      </c>
      <c r="K32" s="422">
        <v>20</v>
      </c>
      <c r="L32" s="418">
        <v>12</v>
      </c>
      <c r="M32" s="423">
        <v>10</v>
      </c>
      <c r="N32" s="249" t="s">
        <v>493</v>
      </c>
      <c r="O32" s="250">
        <v>12</v>
      </c>
      <c r="P32" s="251">
        <v>12</v>
      </c>
      <c r="Q32" s="250">
        <v>13</v>
      </c>
      <c r="R32" s="250" t="s">
        <v>493</v>
      </c>
      <c r="S32" s="250">
        <v>23</v>
      </c>
      <c r="T32" s="250">
        <v>36</v>
      </c>
      <c r="U32" s="477" t="s">
        <v>749</v>
      </c>
      <c r="V32" s="477" t="s">
        <v>748</v>
      </c>
    </row>
    <row r="33" spans="1:22" ht="26.25">
      <c r="A33" s="252" t="s">
        <v>418</v>
      </c>
      <c r="B33" s="510" t="s">
        <v>394</v>
      </c>
      <c r="C33" s="489">
        <v>190.5</v>
      </c>
      <c r="D33" s="490">
        <v>170</v>
      </c>
      <c r="E33" s="370">
        <f>C33+787.8</f>
        <v>978.3</v>
      </c>
      <c r="F33" s="372">
        <f>D33+793.6</f>
        <v>963.6</v>
      </c>
      <c r="G33" s="424">
        <v>31</v>
      </c>
      <c r="H33" s="415">
        <v>48</v>
      </c>
      <c r="I33" s="420">
        <v>45</v>
      </c>
      <c r="J33" s="415">
        <v>58</v>
      </c>
      <c r="K33" s="422">
        <v>35</v>
      </c>
      <c r="L33" s="418">
        <v>15</v>
      </c>
      <c r="M33" s="423">
        <v>15</v>
      </c>
      <c r="N33" s="249" t="s">
        <v>493</v>
      </c>
      <c r="O33" s="250" t="s">
        <v>493</v>
      </c>
      <c r="P33" s="251">
        <v>31</v>
      </c>
      <c r="Q33" s="250">
        <v>48</v>
      </c>
      <c r="R33" s="250" t="s">
        <v>493</v>
      </c>
      <c r="S33" s="250">
        <v>176</v>
      </c>
      <c r="T33" s="250">
        <v>157</v>
      </c>
      <c r="U33" s="477" t="s">
        <v>751</v>
      </c>
      <c r="V33" s="477" t="s">
        <v>750</v>
      </c>
    </row>
    <row r="34" spans="1:22" ht="26.25">
      <c r="A34" s="252" t="s">
        <v>418</v>
      </c>
      <c r="B34" s="510" t="s">
        <v>120</v>
      </c>
      <c r="C34" s="489">
        <v>193</v>
      </c>
      <c r="D34" s="490">
        <v>175</v>
      </c>
      <c r="E34" s="370">
        <f>C34+793.6</f>
        <v>986.6</v>
      </c>
      <c r="F34" s="372">
        <f>D34+796.4</f>
        <v>971.4</v>
      </c>
      <c r="G34" s="424">
        <v>25</v>
      </c>
      <c r="H34" s="416">
        <v>25</v>
      </c>
      <c r="I34" s="415">
        <v>25</v>
      </c>
      <c r="J34" s="415">
        <v>30</v>
      </c>
      <c r="K34" s="422" t="s">
        <v>233</v>
      </c>
      <c r="L34" s="418"/>
      <c r="M34" s="423"/>
      <c r="N34" s="249"/>
      <c r="O34" s="250"/>
      <c r="P34" s="251"/>
      <c r="Q34" s="250" t="s">
        <v>233</v>
      </c>
      <c r="R34" s="250" t="s">
        <v>493</v>
      </c>
      <c r="S34" s="250">
        <v>60</v>
      </c>
      <c r="T34" s="250">
        <v>46</v>
      </c>
      <c r="U34" s="477" t="s">
        <v>753</v>
      </c>
      <c r="V34" s="477" t="s">
        <v>752</v>
      </c>
    </row>
    <row r="35" spans="1:22" ht="26.25">
      <c r="A35" s="252" t="s">
        <v>418</v>
      </c>
      <c r="B35" s="510" t="s">
        <v>669</v>
      </c>
      <c r="C35" s="489">
        <v>120</v>
      </c>
      <c r="D35" s="490">
        <v>40</v>
      </c>
      <c r="E35" s="463">
        <v>830</v>
      </c>
      <c r="F35" s="492">
        <v>795</v>
      </c>
      <c r="G35" s="424">
        <v>27</v>
      </c>
      <c r="H35" s="415">
        <v>26</v>
      </c>
      <c r="I35" s="420">
        <v>24</v>
      </c>
      <c r="J35" s="415">
        <v>25</v>
      </c>
      <c r="K35" s="422">
        <v>40</v>
      </c>
      <c r="L35" s="418">
        <v>16</v>
      </c>
      <c r="M35" s="423">
        <v>16</v>
      </c>
      <c r="N35" s="249">
        <v>29</v>
      </c>
      <c r="O35" s="250">
        <v>19</v>
      </c>
      <c r="P35" s="251">
        <v>36</v>
      </c>
      <c r="Q35" s="250">
        <v>63</v>
      </c>
      <c r="R35" s="250">
        <v>18</v>
      </c>
      <c r="S35" s="250">
        <v>33</v>
      </c>
      <c r="T35" s="250">
        <v>16</v>
      </c>
      <c r="U35" s="477" t="s">
        <v>755</v>
      </c>
      <c r="V35" s="477" t="s">
        <v>754</v>
      </c>
    </row>
    <row r="36" spans="1:22" ht="26.25">
      <c r="A36" s="252" t="s">
        <v>418</v>
      </c>
      <c r="B36" s="510" t="s">
        <v>412</v>
      </c>
      <c r="C36" s="489">
        <v>120</v>
      </c>
      <c r="D36" s="490">
        <v>40</v>
      </c>
      <c r="E36" s="463">
        <v>780</v>
      </c>
      <c r="F36" s="492">
        <v>734</v>
      </c>
      <c r="G36" s="424">
        <v>27</v>
      </c>
      <c r="H36" s="415">
        <v>25</v>
      </c>
      <c r="I36" s="420">
        <v>24</v>
      </c>
      <c r="J36" s="415">
        <v>25</v>
      </c>
      <c r="K36" s="422"/>
      <c r="L36" s="418"/>
      <c r="M36" s="423"/>
      <c r="N36" s="249"/>
      <c r="O36" s="250"/>
      <c r="P36" s="251"/>
      <c r="Q36" s="250" t="s">
        <v>493</v>
      </c>
      <c r="R36" s="250">
        <v>31</v>
      </c>
      <c r="S36" s="250">
        <v>46</v>
      </c>
      <c r="T36" s="250">
        <v>19</v>
      </c>
      <c r="U36" s="477" t="s">
        <v>757</v>
      </c>
      <c r="V36" s="477" t="s">
        <v>756</v>
      </c>
    </row>
    <row r="37" spans="1:22" ht="26.25">
      <c r="A37" s="252" t="s">
        <v>425</v>
      </c>
      <c r="B37" s="510" t="s">
        <v>149</v>
      </c>
      <c r="C37" s="489">
        <v>395</v>
      </c>
      <c r="D37" s="490">
        <v>385</v>
      </c>
      <c r="E37" s="458">
        <f>C37+596</f>
        <v>991</v>
      </c>
      <c r="F37" s="453">
        <f>D37+600</f>
        <v>985</v>
      </c>
      <c r="G37" s="424">
        <v>14</v>
      </c>
      <c r="H37" s="416">
        <v>14</v>
      </c>
      <c r="I37" s="415">
        <v>14</v>
      </c>
      <c r="J37" s="420">
        <v>8</v>
      </c>
      <c r="K37" s="422">
        <v>8</v>
      </c>
      <c r="L37" s="418">
        <v>9</v>
      </c>
      <c r="M37" s="423">
        <v>8</v>
      </c>
      <c r="N37" s="249" t="s">
        <v>493</v>
      </c>
      <c r="O37" s="250" t="s">
        <v>493</v>
      </c>
      <c r="P37" s="251">
        <v>3</v>
      </c>
      <c r="Q37" s="250">
        <v>6</v>
      </c>
      <c r="R37" s="250">
        <v>3</v>
      </c>
      <c r="S37" s="250">
        <v>8</v>
      </c>
      <c r="T37" s="250">
        <v>6</v>
      </c>
      <c r="U37" s="474" t="s">
        <v>759</v>
      </c>
      <c r="V37" s="474" t="s">
        <v>758</v>
      </c>
    </row>
    <row r="38" spans="1:22" ht="26.25">
      <c r="A38" s="252" t="s">
        <v>415</v>
      </c>
      <c r="B38" s="510" t="s">
        <v>171</v>
      </c>
      <c r="C38" s="489">
        <v>120</v>
      </c>
      <c r="D38" s="490">
        <v>40</v>
      </c>
      <c r="E38" s="463">
        <f>C38+740</f>
        <v>860</v>
      </c>
      <c r="F38" s="464">
        <v>740</v>
      </c>
      <c r="G38" s="424">
        <v>30</v>
      </c>
      <c r="H38" s="428">
        <v>25</v>
      </c>
      <c r="I38" s="428">
        <v>25</v>
      </c>
      <c r="J38" s="429">
        <v>25</v>
      </c>
      <c r="K38" s="422">
        <v>31</v>
      </c>
      <c r="L38" s="418">
        <v>25</v>
      </c>
      <c r="M38" s="423">
        <v>20</v>
      </c>
      <c r="N38" s="249">
        <v>27</v>
      </c>
      <c r="O38" s="250">
        <v>27</v>
      </c>
      <c r="P38" s="251">
        <v>36</v>
      </c>
      <c r="Q38" s="250">
        <v>53</v>
      </c>
      <c r="R38" s="250">
        <v>116</v>
      </c>
      <c r="S38" s="250">
        <v>43</v>
      </c>
      <c r="T38" s="250">
        <v>51</v>
      </c>
      <c r="U38" s="480" t="s">
        <v>761</v>
      </c>
      <c r="V38" s="480" t="s">
        <v>760</v>
      </c>
    </row>
    <row r="39" spans="1:22" ht="57.6" customHeight="1">
      <c r="A39" s="252" t="s">
        <v>425</v>
      </c>
      <c r="B39" s="510" t="s">
        <v>398</v>
      </c>
      <c r="C39" s="489">
        <v>380</v>
      </c>
      <c r="D39" s="490">
        <v>367</v>
      </c>
      <c r="E39" s="494">
        <v>974</v>
      </c>
      <c r="F39" s="453">
        <f>D39+600</f>
        <v>967</v>
      </c>
      <c r="G39" s="440" t="s">
        <v>600</v>
      </c>
      <c r="H39" s="440" t="s">
        <v>600</v>
      </c>
      <c r="I39" s="430">
        <v>20</v>
      </c>
      <c r="J39" s="430">
        <v>20</v>
      </c>
      <c r="K39" s="431">
        <v>20</v>
      </c>
      <c r="L39" s="432">
        <v>25</v>
      </c>
      <c r="M39" s="423">
        <v>35</v>
      </c>
      <c r="N39" s="249">
        <v>13</v>
      </c>
      <c r="O39" s="250">
        <v>11</v>
      </c>
      <c r="P39" s="251">
        <v>13</v>
      </c>
      <c r="Q39" s="257">
        <v>9</v>
      </c>
      <c r="R39" s="257">
        <v>16</v>
      </c>
      <c r="S39" s="250" t="s">
        <v>501</v>
      </c>
      <c r="T39" s="250">
        <v>23</v>
      </c>
      <c r="U39" s="483" t="s">
        <v>822</v>
      </c>
      <c r="V39" s="483" t="s">
        <v>821</v>
      </c>
    </row>
    <row r="40" spans="1:22" ht="26.25">
      <c r="A40" s="252" t="s">
        <v>416</v>
      </c>
      <c r="B40" s="510" t="s">
        <v>160</v>
      </c>
      <c r="C40" s="489">
        <v>380</v>
      </c>
      <c r="D40" s="490">
        <v>354</v>
      </c>
      <c r="E40" s="501"/>
      <c r="F40" s="502"/>
      <c r="G40" s="424">
        <v>6</v>
      </c>
      <c r="H40" s="416">
        <v>6</v>
      </c>
      <c r="I40" s="415">
        <v>6</v>
      </c>
      <c r="J40" s="416">
        <v>5</v>
      </c>
      <c r="K40" s="415">
        <v>5</v>
      </c>
      <c r="L40" s="418">
        <v>5</v>
      </c>
      <c r="M40" s="423">
        <v>6</v>
      </c>
      <c r="N40" s="249" t="s">
        <v>493</v>
      </c>
      <c r="O40" s="250" t="s">
        <v>493</v>
      </c>
      <c r="P40" s="251" t="s">
        <v>493</v>
      </c>
      <c r="Q40" s="250">
        <v>2</v>
      </c>
      <c r="R40" s="250">
        <v>0</v>
      </c>
      <c r="S40" s="250">
        <v>0</v>
      </c>
      <c r="T40" s="250"/>
      <c r="U40" s="474" t="s">
        <v>763</v>
      </c>
      <c r="V40" s="474" t="s">
        <v>762</v>
      </c>
    </row>
    <row r="41" spans="1:22" ht="26.25">
      <c r="A41" s="252" t="s">
        <v>418</v>
      </c>
      <c r="B41" s="510" t="s">
        <v>150</v>
      </c>
      <c r="C41" s="489">
        <v>276</v>
      </c>
      <c r="D41" s="490">
        <v>252</v>
      </c>
      <c r="E41" s="494">
        <v>962</v>
      </c>
      <c r="F41" s="492">
        <v>952</v>
      </c>
      <c r="G41" s="424">
        <v>16</v>
      </c>
      <c r="H41" s="420">
        <v>16</v>
      </c>
      <c r="I41" s="416">
        <v>17</v>
      </c>
      <c r="J41" s="416">
        <v>17</v>
      </c>
      <c r="K41" s="422">
        <v>16</v>
      </c>
      <c r="L41" s="418">
        <v>19</v>
      </c>
      <c r="M41" s="423">
        <v>19</v>
      </c>
      <c r="N41" s="249">
        <v>8</v>
      </c>
      <c r="O41" s="250">
        <v>7</v>
      </c>
      <c r="P41" s="251">
        <v>30</v>
      </c>
      <c r="Q41" s="250">
        <v>7</v>
      </c>
      <c r="R41" s="250">
        <v>7</v>
      </c>
      <c r="S41" s="250">
        <v>13</v>
      </c>
      <c r="T41" s="250">
        <v>7</v>
      </c>
      <c r="U41" s="477" t="s">
        <v>765</v>
      </c>
      <c r="V41" s="477" t="s">
        <v>764</v>
      </c>
    </row>
    <row r="42" spans="1:22" ht="26.25">
      <c r="A42" s="252" t="s">
        <v>418</v>
      </c>
      <c r="B42" s="510" t="s">
        <v>147</v>
      </c>
      <c r="C42" s="489">
        <v>382</v>
      </c>
      <c r="D42" s="490">
        <v>369</v>
      </c>
      <c r="E42" s="494">
        <v>976</v>
      </c>
      <c r="F42" s="492">
        <v>969</v>
      </c>
      <c r="G42" s="424">
        <v>13</v>
      </c>
      <c r="H42" s="415">
        <v>13</v>
      </c>
      <c r="I42" s="420">
        <v>12</v>
      </c>
      <c r="J42" s="416">
        <v>15</v>
      </c>
      <c r="K42" s="422">
        <v>15</v>
      </c>
      <c r="L42" s="418">
        <v>16</v>
      </c>
      <c r="M42" s="423">
        <v>17</v>
      </c>
      <c r="N42" s="249">
        <v>22</v>
      </c>
      <c r="O42" s="250">
        <v>13</v>
      </c>
      <c r="P42" s="251">
        <v>8</v>
      </c>
      <c r="Q42" s="250">
        <v>25</v>
      </c>
      <c r="R42" s="250">
        <v>18</v>
      </c>
      <c r="S42" s="250">
        <v>19</v>
      </c>
      <c r="T42" s="250">
        <v>27</v>
      </c>
      <c r="U42" s="474" t="s">
        <v>767</v>
      </c>
      <c r="V42" s="474" t="s">
        <v>766</v>
      </c>
    </row>
    <row r="43" spans="1:22" ht="26.25">
      <c r="A43" s="252" t="s">
        <v>418</v>
      </c>
      <c r="B43" s="510" t="s">
        <v>618</v>
      </c>
      <c r="C43" s="489">
        <v>276</v>
      </c>
      <c r="D43" s="490">
        <v>262</v>
      </c>
      <c r="E43" s="494">
        <v>968</v>
      </c>
      <c r="F43" s="492">
        <v>962</v>
      </c>
      <c r="G43" s="424">
        <v>20</v>
      </c>
      <c r="H43" s="415">
        <v>20</v>
      </c>
      <c r="I43" s="416">
        <v>19</v>
      </c>
      <c r="J43" s="416">
        <v>19</v>
      </c>
      <c r="K43" s="422">
        <v>19</v>
      </c>
      <c r="L43" s="418">
        <v>15</v>
      </c>
      <c r="M43" s="423">
        <v>15</v>
      </c>
      <c r="N43" s="249">
        <v>23</v>
      </c>
      <c r="O43" s="250">
        <v>21</v>
      </c>
      <c r="P43" s="251">
        <v>19</v>
      </c>
      <c r="Q43" s="250">
        <v>20</v>
      </c>
      <c r="R43" s="250">
        <v>26</v>
      </c>
      <c r="S43" s="250">
        <v>26</v>
      </c>
      <c r="T43" s="250">
        <v>6</v>
      </c>
      <c r="U43" s="477" t="s">
        <v>769</v>
      </c>
      <c r="V43" s="477" t="s">
        <v>768</v>
      </c>
    </row>
    <row r="44" spans="1:22" ht="26.25">
      <c r="A44" s="252" t="s">
        <v>862</v>
      </c>
      <c r="B44" s="510" t="s">
        <v>355</v>
      </c>
      <c r="C44" s="489">
        <v>282</v>
      </c>
      <c r="D44" s="490">
        <v>230</v>
      </c>
      <c r="E44" s="463">
        <f>C44+570</f>
        <v>852</v>
      </c>
      <c r="F44" s="492">
        <v>830</v>
      </c>
      <c r="G44" s="424">
        <v>10</v>
      </c>
      <c r="H44" s="420">
        <v>7</v>
      </c>
      <c r="I44" s="415">
        <v>14</v>
      </c>
      <c r="J44" s="420">
        <v>12</v>
      </c>
      <c r="K44" s="422">
        <v>25</v>
      </c>
      <c r="L44" s="418" t="s">
        <v>493</v>
      </c>
      <c r="M44" s="423" t="s">
        <v>493</v>
      </c>
      <c r="N44" s="249" t="s">
        <v>493</v>
      </c>
      <c r="O44" s="250" t="s">
        <v>493</v>
      </c>
      <c r="P44" s="251" t="s">
        <v>260</v>
      </c>
      <c r="Q44" s="250">
        <v>64</v>
      </c>
      <c r="R44" s="250">
        <v>20</v>
      </c>
      <c r="S44" s="250">
        <v>42</v>
      </c>
      <c r="T44" s="250">
        <v>27</v>
      </c>
      <c r="U44" s="481" t="s">
        <v>771</v>
      </c>
      <c r="V44" s="481" t="s">
        <v>770</v>
      </c>
    </row>
    <row r="45" spans="1:22" ht="26.25" hidden="1">
      <c r="A45" s="252" t="s">
        <v>425</v>
      </c>
      <c r="B45" s="510" t="s">
        <v>676</v>
      </c>
      <c r="C45" s="489"/>
      <c r="D45" s="490"/>
      <c r="E45" s="494">
        <v>800</v>
      </c>
      <c r="F45" s="492">
        <v>730</v>
      </c>
      <c r="G45" s="465" t="s">
        <v>677</v>
      </c>
      <c r="H45" s="420">
        <v>4</v>
      </c>
      <c r="I45" s="415">
        <v>16</v>
      </c>
      <c r="J45" s="420"/>
      <c r="K45" s="422"/>
      <c r="L45" s="418"/>
      <c r="M45" s="423"/>
      <c r="N45" s="249"/>
      <c r="O45" s="250"/>
      <c r="P45" s="251"/>
      <c r="Q45" s="250"/>
      <c r="R45" s="250" t="s">
        <v>243</v>
      </c>
      <c r="S45" s="250" t="s">
        <v>501</v>
      </c>
      <c r="T45" s="250">
        <v>3</v>
      </c>
      <c r="U45" s="482" t="s">
        <v>773</v>
      </c>
      <c r="V45" s="482" t="s">
        <v>772</v>
      </c>
    </row>
    <row r="46" spans="1:22" s="245" customFormat="1" ht="26.25">
      <c r="A46" s="344" t="s">
        <v>862</v>
      </c>
      <c r="B46" s="510" t="s">
        <v>40</v>
      </c>
      <c r="C46" s="489">
        <v>322</v>
      </c>
      <c r="D46" s="490">
        <v>250</v>
      </c>
      <c r="E46" s="463">
        <f>C46+582</f>
        <v>904</v>
      </c>
      <c r="F46" s="492">
        <v>850</v>
      </c>
      <c r="G46" s="424">
        <v>15</v>
      </c>
      <c r="H46" s="420">
        <v>15</v>
      </c>
      <c r="I46" s="415"/>
      <c r="J46" s="420"/>
      <c r="K46" s="422"/>
      <c r="L46" s="418"/>
      <c r="M46" s="423"/>
      <c r="N46" s="249"/>
      <c r="O46" s="250"/>
      <c r="P46" s="251"/>
      <c r="Q46" s="250"/>
      <c r="R46" s="250"/>
      <c r="S46" s="250" t="s">
        <v>18</v>
      </c>
      <c r="T46" s="250">
        <v>24</v>
      </c>
      <c r="U46" s="481" t="s">
        <v>774</v>
      </c>
      <c r="V46" s="481"/>
    </row>
    <row r="47" spans="1:22" ht="26.25">
      <c r="A47" s="252" t="s">
        <v>861</v>
      </c>
      <c r="B47" s="510" t="s">
        <v>176</v>
      </c>
      <c r="C47" s="489">
        <v>138.5</v>
      </c>
      <c r="D47" s="490">
        <v>131</v>
      </c>
      <c r="E47" s="369">
        <f>C47+345</f>
        <v>483.5</v>
      </c>
      <c r="F47" s="453">
        <f>D47+345</f>
        <v>476</v>
      </c>
      <c r="G47" s="424">
        <v>8</v>
      </c>
      <c r="H47" s="415">
        <v>9</v>
      </c>
      <c r="I47" s="415">
        <v>16</v>
      </c>
      <c r="J47" s="415">
        <v>15</v>
      </c>
      <c r="K47" s="422">
        <v>14</v>
      </c>
      <c r="L47" s="418">
        <v>14</v>
      </c>
      <c r="M47" s="423">
        <v>15</v>
      </c>
      <c r="N47" s="249">
        <v>2</v>
      </c>
      <c r="O47" s="250">
        <v>4</v>
      </c>
      <c r="P47" s="251">
        <v>2</v>
      </c>
      <c r="Q47" s="250">
        <v>9</v>
      </c>
      <c r="R47" s="250">
        <v>23</v>
      </c>
      <c r="S47" s="250">
        <v>16</v>
      </c>
      <c r="T47" s="250">
        <v>1</v>
      </c>
      <c r="U47" s="477" t="s">
        <v>775</v>
      </c>
      <c r="V47" s="477" t="s">
        <v>766</v>
      </c>
    </row>
    <row r="48" spans="1:22" ht="26.25">
      <c r="A48" s="252" t="s">
        <v>425</v>
      </c>
      <c r="B48" s="510" t="s">
        <v>180</v>
      </c>
      <c r="C48" s="489">
        <v>142.5</v>
      </c>
      <c r="D48" s="490">
        <v>140.69999999999999</v>
      </c>
      <c r="E48" s="494">
        <v>492.5</v>
      </c>
      <c r="F48" s="372">
        <f>D48+350</f>
        <v>490.7</v>
      </c>
      <c r="G48" s="424">
        <v>12</v>
      </c>
      <c r="H48" s="416">
        <v>12</v>
      </c>
      <c r="I48" s="420">
        <v>12</v>
      </c>
      <c r="J48" s="415">
        <v>13</v>
      </c>
      <c r="K48" s="422">
        <v>10</v>
      </c>
      <c r="L48" s="418">
        <v>10</v>
      </c>
      <c r="M48" s="423">
        <v>10</v>
      </c>
      <c r="N48" s="249">
        <v>2</v>
      </c>
      <c r="O48" s="250">
        <v>5</v>
      </c>
      <c r="P48" s="251">
        <v>0</v>
      </c>
      <c r="Q48" s="250">
        <v>22</v>
      </c>
      <c r="R48" s="250">
        <v>19</v>
      </c>
      <c r="S48" s="250">
        <v>14</v>
      </c>
      <c r="T48" s="250">
        <v>15</v>
      </c>
      <c r="U48" s="477" t="s">
        <v>777</v>
      </c>
      <c r="V48" s="477" t="s">
        <v>776</v>
      </c>
    </row>
    <row r="49" spans="1:22" s="245" customFormat="1" ht="26.25">
      <c r="A49" s="344" t="s">
        <v>425</v>
      </c>
      <c r="B49" s="510" t="s">
        <v>8</v>
      </c>
      <c r="C49" s="489">
        <v>139.5</v>
      </c>
      <c r="D49" s="490">
        <v>137</v>
      </c>
      <c r="E49" s="369">
        <f>C49+345</f>
        <v>484.5</v>
      </c>
      <c r="F49" s="453">
        <f>D49+345</f>
        <v>482</v>
      </c>
      <c r="G49" s="424">
        <v>13</v>
      </c>
      <c r="H49" s="420">
        <v>12</v>
      </c>
      <c r="I49" s="420"/>
      <c r="J49" s="415"/>
      <c r="K49" s="422"/>
      <c r="L49" s="418"/>
      <c r="M49" s="423"/>
      <c r="N49" s="249"/>
      <c r="O49" s="250"/>
      <c r="P49" s="251"/>
      <c r="Q49" s="250"/>
      <c r="R49" s="250"/>
      <c r="S49" s="250" t="s">
        <v>18</v>
      </c>
      <c r="T49" s="250">
        <v>16</v>
      </c>
      <c r="U49" s="477" t="s">
        <v>778</v>
      </c>
      <c r="V49" s="477"/>
    </row>
    <row r="50" spans="1:22" ht="26.25">
      <c r="A50" s="252" t="s">
        <v>423</v>
      </c>
      <c r="B50" s="510" t="s">
        <v>144</v>
      </c>
      <c r="C50" s="489">
        <v>540</v>
      </c>
      <c r="D50" s="490">
        <v>530</v>
      </c>
      <c r="E50" s="463">
        <v>1455</v>
      </c>
      <c r="F50" s="453">
        <v>1354</v>
      </c>
      <c r="G50" s="424">
        <v>45</v>
      </c>
      <c r="H50" s="433">
        <v>45</v>
      </c>
      <c r="I50" s="417">
        <v>53</v>
      </c>
      <c r="J50" s="420">
        <v>53</v>
      </c>
      <c r="K50" s="422">
        <v>44</v>
      </c>
      <c r="L50" s="418">
        <v>46</v>
      </c>
      <c r="M50" s="423">
        <v>44</v>
      </c>
      <c r="N50" s="249">
        <v>20</v>
      </c>
      <c r="O50" s="250">
        <v>18</v>
      </c>
      <c r="P50" s="251">
        <v>29</v>
      </c>
      <c r="Q50" s="250">
        <v>61</v>
      </c>
      <c r="R50" s="250">
        <v>106</v>
      </c>
      <c r="S50" s="250">
        <v>115</v>
      </c>
      <c r="T50" s="250">
        <v>67</v>
      </c>
      <c r="U50" s="477" t="s">
        <v>780</v>
      </c>
      <c r="V50" s="477" t="s">
        <v>779</v>
      </c>
    </row>
    <row r="51" spans="1:22" ht="26.25">
      <c r="A51" s="252" t="s">
        <v>423</v>
      </c>
      <c r="B51" s="510" t="s">
        <v>157</v>
      </c>
      <c r="C51" s="489">
        <v>582.5</v>
      </c>
      <c r="D51" s="490">
        <v>530</v>
      </c>
      <c r="E51" s="463">
        <v>1450</v>
      </c>
      <c r="F51" s="453">
        <v>1250</v>
      </c>
      <c r="G51" s="424">
        <v>18</v>
      </c>
      <c r="H51" s="417">
        <v>18</v>
      </c>
      <c r="I51" s="417">
        <v>18</v>
      </c>
      <c r="J51" s="416">
        <v>18</v>
      </c>
      <c r="K51" s="422">
        <v>18</v>
      </c>
      <c r="L51" s="418">
        <v>18</v>
      </c>
      <c r="M51" s="423">
        <v>18</v>
      </c>
      <c r="N51" s="249">
        <v>2</v>
      </c>
      <c r="O51" s="250">
        <v>2</v>
      </c>
      <c r="P51" s="251">
        <v>3</v>
      </c>
      <c r="Q51" s="250">
        <v>4</v>
      </c>
      <c r="R51" s="250">
        <v>4</v>
      </c>
      <c r="S51" s="250">
        <v>10</v>
      </c>
      <c r="T51" s="250">
        <v>9</v>
      </c>
      <c r="U51" s="477" t="s">
        <v>782</v>
      </c>
      <c r="V51" s="477" t="s">
        <v>781</v>
      </c>
    </row>
    <row r="52" spans="1:22" s="245" customFormat="1" ht="26.25" hidden="1">
      <c r="A52" s="346" t="s">
        <v>425</v>
      </c>
      <c r="B52" s="511" t="s">
        <v>87</v>
      </c>
      <c r="C52" s="503">
        <v>255.7</v>
      </c>
      <c r="D52" s="504">
        <v>185.1</v>
      </c>
      <c r="E52" s="497">
        <v>916</v>
      </c>
      <c r="F52" s="498">
        <v>892</v>
      </c>
      <c r="G52" s="424" t="s">
        <v>617</v>
      </c>
      <c r="H52" s="425"/>
      <c r="I52" s="425">
        <v>25</v>
      </c>
      <c r="J52" s="434">
        <v>27</v>
      </c>
      <c r="K52" s="435">
        <v>24</v>
      </c>
      <c r="L52" s="436">
        <v>27</v>
      </c>
      <c r="M52" s="437">
        <v>27</v>
      </c>
      <c r="N52" s="347" t="s">
        <v>493</v>
      </c>
      <c r="O52" s="348">
        <v>15</v>
      </c>
      <c r="P52" s="349">
        <v>25</v>
      </c>
      <c r="Q52" s="348">
        <v>27</v>
      </c>
      <c r="R52" s="348">
        <v>26</v>
      </c>
      <c r="S52" s="348"/>
      <c r="T52" s="348"/>
      <c r="U52" s="478"/>
      <c r="V52" s="478"/>
    </row>
    <row r="53" spans="1:22" s="243" customFormat="1" ht="26.25">
      <c r="A53" s="252" t="s">
        <v>421</v>
      </c>
      <c r="B53" s="510" t="s">
        <v>169</v>
      </c>
      <c r="C53" s="489">
        <v>194.6</v>
      </c>
      <c r="D53" s="490">
        <v>190.1</v>
      </c>
      <c r="E53" s="369">
        <f>C53+286+7</f>
        <v>487.6</v>
      </c>
      <c r="F53" s="372">
        <f>D53+286+7</f>
        <v>483.1</v>
      </c>
      <c r="G53" s="424">
        <v>20</v>
      </c>
      <c r="H53" s="416">
        <v>20</v>
      </c>
      <c r="I53" s="420">
        <v>20</v>
      </c>
      <c r="J53" s="416">
        <v>24</v>
      </c>
      <c r="K53" s="422">
        <v>24</v>
      </c>
      <c r="L53" s="418">
        <v>22</v>
      </c>
      <c r="M53" s="423">
        <v>22</v>
      </c>
      <c r="N53" s="253">
        <v>3</v>
      </c>
      <c r="O53" s="254">
        <v>5</v>
      </c>
      <c r="P53" s="255">
        <v>1</v>
      </c>
      <c r="Q53" s="254">
        <v>5</v>
      </c>
      <c r="R53" s="254">
        <v>7</v>
      </c>
      <c r="S53" s="254">
        <v>4</v>
      </c>
      <c r="T53" s="254">
        <v>1</v>
      </c>
      <c r="U53" s="474" t="s">
        <v>784</v>
      </c>
      <c r="V53" s="474" t="s">
        <v>783</v>
      </c>
    </row>
    <row r="54" spans="1:22" ht="26.25">
      <c r="A54" s="252" t="s">
        <v>421</v>
      </c>
      <c r="B54" s="510" t="s">
        <v>139</v>
      </c>
      <c r="C54" s="489">
        <v>195.4</v>
      </c>
      <c r="D54" s="490">
        <v>192.1</v>
      </c>
      <c r="E54" s="370">
        <f>C54+279+7+7</f>
        <v>488.4</v>
      </c>
      <c r="F54" s="372">
        <f>D54+286+7</f>
        <v>485.1</v>
      </c>
      <c r="G54" s="427">
        <v>27</v>
      </c>
      <c r="H54" s="416">
        <v>27</v>
      </c>
      <c r="I54" s="416">
        <v>27</v>
      </c>
      <c r="J54" s="416">
        <v>27</v>
      </c>
      <c r="K54" s="422">
        <v>27</v>
      </c>
      <c r="L54" s="418">
        <v>27</v>
      </c>
      <c r="M54" s="423">
        <v>27</v>
      </c>
      <c r="N54" s="253">
        <v>9</v>
      </c>
      <c r="O54" s="254">
        <v>12</v>
      </c>
      <c r="P54" s="255">
        <v>10</v>
      </c>
      <c r="Q54" s="254">
        <v>6</v>
      </c>
      <c r="R54" s="254">
        <v>3</v>
      </c>
      <c r="S54" s="254">
        <v>3</v>
      </c>
      <c r="T54" s="254">
        <v>4</v>
      </c>
      <c r="U54" s="474" t="s">
        <v>786</v>
      </c>
      <c r="V54" s="474" t="s">
        <v>785</v>
      </c>
    </row>
    <row r="55" spans="1:22" ht="26.25">
      <c r="A55" s="252" t="s">
        <v>421</v>
      </c>
      <c r="B55" s="510" t="s">
        <v>146</v>
      </c>
      <c r="C55" s="489">
        <v>198.4</v>
      </c>
      <c r="D55" s="490">
        <v>197.1</v>
      </c>
      <c r="E55" s="369">
        <f>C55+197</f>
        <v>395.4</v>
      </c>
      <c r="F55" s="373">
        <f>C55+194</f>
        <v>392.4</v>
      </c>
      <c r="G55" s="424">
        <v>8</v>
      </c>
      <c r="H55" s="416">
        <v>7</v>
      </c>
      <c r="I55" s="415">
        <v>7</v>
      </c>
      <c r="J55" s="416">
        <v>6</v>
      </c>
      <c r="K55" s="422">
        <v>6</v>
      </c>
      <c r="L55" s="418">
        <v>6</v>
      </c>
      <c r="M55" s="423">
        <v>6</v>
      </c>
      <c r="N55" s="256">
        <v>0</v>
      </c>
      <c r="O55" s="257">
        <v>2</v>
      </c>
      <c r="P55" s="258">
        <v>2</v>
      </c>
      <c r="Q55" s="257">
        <v>6</v>
      </c>
      <c r="R55" s="257">
        <v>1</v>
      </c>
      <c r="S55" s="257">
        <v>0</v>
      </c>
      <c r="T55" s="257">
        <v>3</v>
      </c>
      <c r="U55" s="474" t="s">
        <v>788</v>
      </c>
      <c r="V55" s="474" t="s">
        <v>787</v>
      </c>
    </row>
    <row r="56" spans="1:22" s="245" customFormat="1" ht="26.25">
      <c r="A56" s="252" t="s">
        <v>418</v>
      </c>
      <c r="B56" s="510" t="s">
        <v>138</v>
      </c>
      <c r="C56" s="489">
        <v>235</v>
      </c>
      <c r="D56" s="490">
        <v>160</v>
      </c>
      <c r="E56" s="463">
        <f>C56+647</f>
        <v>882</v>
      </c>
      <c r="F56" s="453">
        <f>D56+676</f>
        <v>836</v>
      </c>
      <c r="G56" s="424">
        <v>10</v>
      </c>
      <c r="H56" s="420">
        <v>10</v>
      </c>
      <c r="I56" s="415">
        <v>26</v>
      </c>
      <c r="J56" s="420">
        <v>22</v>
      </c>
      <c r="K56" s="415">
        <v>30</v>
      </c>
      <c r="L56" s="418">
        <v>29</v>
      </c>
      <c r="M56" s="423">
        <v>24</v>
      </c>
      <c r="N56" s="249">
        <v>42</v>
      </c>
      <c r="O56" s="250">
        <v>57</v>
      </c>
      <c r="P56" s="251">
        <v>62</v>
      </c>
      <c r="Q56" s="250">
        <v>101</v>
      </c>
      <c r="R56" s="250">
        <v>60</v>
      </c>
      <c r="S56" s="250">
        <v>22</v>
      </c>
      <c r="T56" s="250">
        <v>25</v>
      </c>
      <c r="U56" s="477" t="s">
        <v>790</v>
      </c>
      <c r="V56" s="477" t="s">
        <v>789</v>
      </c>
    </row>
    <row r="57" spans="1:22" s="245" customFormat="1" ht="26.25">
      <c r="A57" s="252" t="s">
        <v>418</v>
      </c>
      <c r="B57" s="510" t="s">
        <v>622</v>
      </c>
      <c r="C57" s="489">
        <v>220</v>
      </c>
      <c r="D57" s="490">
        <v>160</v>
      </c>
      <c r="E57" s="463">
        <f>C57+628</f>
        <v>848</v>
      </c>
      <c r="F57" s="453">
        <f>D57+648</f>
        <v>808</v>
      </c>
      <c r="G57" s="424">
        <v>12</v>
      </c>
      <c r="H57" s="420">
        <v>10</v>
      </c>
      <c r="I57" s="420">
        <v>21</v>
      </c>
      <c r="J57" s="416">
        <v>25</v>
      </c>
      <c r="K57" s="415">
        <v>25</v>
      </c>
      <c r="L57" s="418">
        <v>25</v>
      </c>
      <c r="M57" s="423" t="s">
        <v>493</v>
      </c>
      <c r="N57" s="249" t="s">
        <v>493</v>
      </c>
      <c r="O57" s="250" t="s">
        <v>493</v>
      </c>
      <c r="P57" s="251">
        <v>74</v>
      </c>
      <c r="Q57" s="250">
        <v>78</v>
      </c>
      <c r="R57" s="250">
        <v>71</v>
      </c>
      <c r="S57" s="250">
        <v>67</v>
      </c>
      <c r="T57" s="250">
        <v>35</v>
      </c>
      <c r="U57" s="477" t="s">
        <v>792</v>
      </c>
      <c r="V57" s="477" t="s">
        <v>791</v>
      </c>
    </row>
    <row r="58" spans="1:22" s="245" customFormat="1" ht="26.25">
      <c r="A58" s="252" t="s">
        <v>425</v>
      </c>
      <c r="B58" s="510" t="s">
        <v>97</v>
      </c>
      <c r="C58" s="489">
        <v>280</v>
      </c>
      <c r="D58" s="490">
        <v>225</v>
      </c>
      <c r="E58" s="463">
        <f>C58+675</f>
        <v>955</v>
      </c>
      <c r="F58" s="492">
        <v>925</v>
      </c>
      <c r="G58" s="427">
        <v>18</v>
      </c>
      <c r="H58" s="416">
        <v>18</v>
      </c>
      <c r="I58" s="416">
        <v>18</v>
      </c>
      <c r="J58" s="416">
        <v>18</v>
      </c>
      <c r="K58" s="415">
        <v>18</v>
      </c>
      <c r="L58" s="418">
        <v>18</v>
      </c>
      <c r="M58" s="423">
        <v>18</v>
      </c>
      <c r="N58" s="249">
        <v>8</v>
      </c>
      <c r="O58" s="250">
        <v>18</v>
      </c>
      <c r="P58" s="251">
        <v>27</v>
      </c>
      <c r="Q58" s="250">
        <v>29</v>
      </c>
      <c r="R58" s="250">
        <v>44</v>
      </c>
      <c r="S58" s="250">
        <v>35</v>
      </c>
      <c r="T58" s="250">
        <v>31</v>
      </c>
      <c r="U58" s="474" t="s">
        <v>794</v>
      </c>
      <c r="V58" s="474" t="s">
        <v>793</v>
      </c>
    </row>
    <row r="59" spans="1:22" s="245" customFormat="1" ht="26.25" hidden="1">
      <c r="A59" s="252" t="s">
        <v>415</v>
      </c>
      <c r="B59" s="510" t="s">
        <v>620</v>
      </c>
      <c r="C59" s="489">
        <v>134</v>
      </c>
      <c r="D59" s="490">
        <v>104</v>
      </c>
      <c r="E59" s="494"/>
      <c r="F59" s="492"/>
      <c r="G59" s="427" t="s">
        <v>501</v>
      </c>
      <c r="H59" s="416">
        <v>19</v>
      </c>
      <c r="I59" s="416">
        <v>15</v>
      </c>
      <c r="J59" s="415">
        <v>15</v>
      </c>
      <c r="K59" s="422">
        <v>29</v>
      </c>
      <c r="L59" s="418">
        <v>23</v>
      </c>
      <c r="M59" s="423">
        <v>29</v>
      </c>
      <c r="N59" s="249" t="s">
        <v>493</v>
      </c>
      <c r="O59" s="250">
        <v>46</v>
      </c>
      <c r="P59" s="251" t="s">
        <v>493</v>
      </c>
      <c r="Q59" s="250">
        <v>79</v>
      </c>
      <c r="R59" s="250">
        <v>19</v>
      </c>
      <c r="S59" s="250" t="s">
        <v>501</v>
      </c>
      <c r="T59" s="250"/>
      <c r="U59" s="479" t="s">
        <v>795</v>
      </c>
      <c r="V59" s="479" t="s">
        <v>701</v>
      </c>
    </row>
    <row r="60" spans="1:22" s="245" customFormat="1" ht="26.25">
      <c r="A60" s="252" t="s">
        <v>415</v>
      </c>
      <c r="B60" s="510" t="s">
        <v>140</v>
      </c>
      <c r="C60" s="489">
        <v>561</v>
      </c>
      <c r="D60" s="490">
        <v>500</v>
      </c>
      <c r="E60" s="463">
        <f>C60+370</f>
        <v>931</v>
      </c>
      <c r="F60" s="492">
        <v>900</v>
      </c>
      <c r="G60" s="427">
        <v>13</v>
      </c>
      <c r="H60" s="416">
        <v>13</v>
      </c>
      <c r="I60" s="420">
        <v>13</v>
      </c>
      <c r="J60" s="415">
        <v>27</v>
      </c>
      <c r="K60" s="422">
        <v>21</v>
      </c>
      <c r="L60" s="418">
        <v>20</v>
      </c>
      <c r="M60" s="423">
        <v>21</v>
      </c>
      <c r="N60" s="249">
        <v>10</v>
      </c>
      <c r="O60" s="250">
        <v>8</v>
      </c>
      <c r="P60" s="251">
        <v>14</v>
      </c>
      <c r="Q60" s="250">
        <v>28</v>
      </c>
      <c r="R60" s="250">
        <v>34</v>
      </c>
      <c r="S60" s="250">
        <v>10</v>
      </c>
      <c r="T60" s="250">
        <v>10</v>
      </c>
      <c r="U60" s="477" t="s">
        <v>797</v>
      </c>
      <c r="V60" s="477" t="s">
        <v>796</v>
      </c>
    </row>
    <row r="61" spans="1:22" ht="26.25">
      <c r="A61" s="252" t="s">
        <v>415</v>
      </c>
      <c r="B61" s="510" t="s">
        <v>386</v>
      </c>
      <c r="C61" s="489">
        <v>232</v>
      </c>
      <c r="D61" s="490">
        <v>195</v>
      </c>
      <c r="E61" s="463">
        <f>C61+665</f>
        <v>897</v>
      </c>
      <c r="F61" s="453">
        <f>D61+680</f>
        <v>875</v>
      </c>
      <c r="G61" s="427">
        <v>10</v>
      </c>
      <c r="H61" s="420">
        <v>10</v>
      </c>
      <c r="I61" s="420">
        <v>11</v>
      </c>
      <c r="J61" s="415" t="s">
        <v>493</v>
      </c>
      <c r="K61" s="422" t="s">
        <v>493</v>
      </c>
      <c r="L61" s="418" t="s">
        <v>493</v>
      </c>
      <c r="M61" s="423" t="s">
        <v>493</v>
      </c>
      <c r="N61" s="249" t="s">
        <v>493</v>
      </c>
      <c r="O61" s="250" t="s">
        <v>493</v>
      </c>
      <c r="P61" s="251" t="s">
        <v>493</v>
      </c>
      <c r="Q61" s="250" t="s">
        <v>493</v>
      </c>
      <c r="R61" s="250" t="s">
        <v>493</v>
      </c>
      <c r="S61" s="250">
        <v>10</v>
      </c>
      <c r="T61" s="250">
        <v>10</v>
      </c>
      <c r="U61" s="477" t="s">
        <v>799</v>
      </c>
      <c r="V61" s="477" t="s">
        <v>798</v>
      </c>
    </row>
    <row r="62" spans="1:22" ht="26.25">
      <c r="A62" s="252" t="s">
        <v>416</v>
      </c>
      <c r="B62" s="510" t="s">
        <v>155</v>
      </c>
      <c r="C62" s="489">
        <v>991.03</v>
      </c>
      <c r="D62" s="490">
        <v>989.5</v>
      </c>
      <c r="E62" s="491">
        <v>173.68</v>
      </c>
      <c r="F62" s="492">
        <v>157.88999999999999</v>
      </c>
      <c r="G62" s="424">
        <v>7</v>
      </c>
      <c r="H62" s="416">
        <v>7</v>
      </c>
      <c r="I62" s="416">
        <v>7</v>
      </c>
      <c r="J62" s="416">
        <v>7</v>
      </c>
      <c r="K62" s="422">
        <v>12</v>
      </c>
      <c r="L62" s="418">
        <v>8</v>
      </c>
      <c r="M62" s="423">
        <v>8</v>
      </c>
      <c r="N62" s="249" t="s">
        <v>493</v>
      </c>
      <c r="O62" s="250" t="s">
        <v>493</v>
      </c>
      <c r="P62" s="251" t="s">
        <v>493</v>
      </c>
      <c r="Q62" s="250" t="s">
        <v>493</v>
      </c>
      <c r="R62" s="250" t="s">
        <v>493</v>
      </c>
      <c r="S62" s="250">
        <v>0</v>
      </c>
      <c r="T62" s="250">
        <v>0</v>
      </c>
      <c r="U62" s="477" t="s">
        <v>801</v>
      </c>
      <c r="V62" s="477" t="s">
        <v>800</v>
      </c>
    </row>
    <row r="63" spans="1:22" ht="26.25">
      <c r="A63" s="252" t="s">
        <v>416</v>
      </c>
      <c r="B63" s="510" t="s">
        <v>854</v>
      </c>
      <c r="C63" s="489">
        <v>991.2</v>
      </c>
      <c r="D63" s="490">
        <v>989.4</v>
      </c>
      <c r="E63" s="491">
        <v>175.96</v>
      </c>
      <c r="F63" s="492">
        <v>157.02000000000001</v>
      </c>
      <c r="G63" s="424">
        <v>5</v>
      </c>
      <c r="H63" s="416">
        <v>10</v>
      </c>
      <c r="I63" s="416">
        <v>10</v>
      </c>
      <c r="J63" s="416">
        <v>10</v>
      </c>
      <c r="K63" s="422">
        <v>16</v>
      </c>
      <c r="L63" s="418">
        <v>3</v>
      </c>
      <c r="M63" s="423">
        <v>3</v>
      </c>
      <c r="N63" s="249" t="s">
        <v>493</v>
      </c>
      <c r="O63" s="250" t="s">
        <v>493</v>
      </c>
      <c r="P63" s="251" t="s">
        <v>493</v>
      </c>
      <c r="Q63" s="250" t="s">
        <v>493</v>
      </c>
      <c r="R63" s="250" t="s">
        <v>493</v>
      </c>
      <c r="S63" s="250">
        <v>1</v>
      </c>
      <c r="T63" s="250">
        <v>3</v>
      </c>
      <c r="U63" s="474" t="s">
        <v>803</v>
      </c>
      <c r="V63" s="474" t="s">
        <v>802</v>
      </c>
    </row>
    <row r="64" spans="1:22" ht="26.25">
      <c r="A64" s="252" t="s">
        <v>416</v>
      </c>
      <c r="B64" s="510" t="s">
        <v>162</v>
      </c>
      <c r="C64" s="489">
        <v>990.32</v>
      </c>
      <c r="D64" s="490">
        <v>988.85</v>
      </c>
      <c r="E64" s="491">
        <v>355.95</v>
      </c>
      <c r="F64" s="492">
        <v>311.18</v>
      </c>
      <c r="G64" s="424">
        <v>10</v>
      </c>
      <c r="H64" s="416">
        <v>5</v>
      </c>
      <c r="I64" s="415">
        <v>5</v>
      </c>
      <c r="J64" s="416">
        <v>5</v>
      </c>
      <c r="K64" s="422">
        <v>11</v>
      </c>
      <c r="L64" s="418">
        <v>42</v>
      </c>
      <c r="M64" s="423">
        <v>42</v>
      </c>
      <c r="N64" s="249" t="s">
        <v>493</v>
      </c>
      <c r="O64" s="250" t="s">
        <v>493</v>
      </c>
      <c r="P64" s="251" t="s">
        <v>493</v>
      </c>
      <c r="Q64" s="250" t="s">
        <v>493</v>
      </c>
      <c r="R64" s="250" t="s">
        <v>493</v>
      </c>
      <c r="S64" s="250">
        <v>2</v>
      </c>
      <c r="T64" s="250">
        <v>0</v>
      </c>
      <c r="U64" s="474" t="s">
        <v>713</v>
      </c>
      <c r="V64" s="474" t="s">
        <v>804</v>
      </c>
    </row>
    <row r="65" spans="1:22" s="245" customFormat="1" ht="26.25">
      <c r="A65" s="252" t="s">
        <v>416</v>
      </c>
      <c r="B65" s="510" t="s">
        <v>855</v>
      </c>
      <c r="C65" s="489">
        <v>991.45</v>
      </c>
      <c r="D65" s="490">
        <v>990.15</v>
      </c>
      <c r="E65" s="491">
        <v>169.86</v>
      </c>
      <c r="F65" s="492">
        <v>145.62</v>
      </c>
      <c r="G65" s="424">
        <v>11</v>
      </c>
      <c r="H65" s="416">
        <v>11</v>
      </c>
      <c r="I65" s="416">
        <v>11</v>
      </c>
      <c r="J65" s="416">
        <v>11</v>
      </c>
      <c r="K65" s="422">
        <v>5</v>
      </c>
      <c r="L65" s="418">
        <v>14</v>
      </c>
      <c r="M65" s="423">
        <v>14</v>
      </c>
      <c r="N65" s="249" t="s">
        <v>493</v>
      </c>
      <c r="O65" s="250" t="s">
        <v>493</v>
      </c>
      <c r="P65" s="251" t="s">
        <v>493</v>
      </c>
      <c r="Q65" s="250" t="s">
        <v>493</v>
      </c>
      <c r="R65" s="250" t="s">
        <v>493</v>
      </c>
      <c r="S65" s="250">
        <v>0</v>
      </c>
      <c r="T65" s="250">
        <v>5</v>
      </c>
      <c r="U65" s="474" t="s">
        <v>805</v>
      </c>
      <c r="V65" s="474" t="s">
        <v>766</v>
      </c>
    </row>
    <row r="66" spans="1:22" ht="26.25">
      <c r="A66" s="252" t="s">
        <v>416</v>
      </c>
      <c r="B66" s="510" t="s">
        <v>405</v>
      </c>
      <c r="C66" s="489">
        <v>995.31</v>
      </c>
      <c r="D66" s="490">
        <v>992.85</v>
      </c>
      <c r="E66" s="491">
        <v>261.95</v>
      </c>
      <c r="F66" s="492">
        <v>242.11</v>
      </c>
      <c r="G66" s="424">
        <v>5</v>
      </c>
      <c r="H66" s="416">
        <v>10</v>
      </c>
      <c r="I66" s="416">
        <v>10</v>
      </c>
      <c r="J66" s="416">
        <v>10</v>
      </c>
      <c r="K66" s="422">
        <v>14</v>
      </c>
      <c r="L66" s="418" t="s">
        <v>493</v>
      </c>
      <c r="M66" s="423" t="s">
        <v>493</v>
      </c>
      <c r="N66" s="249" t="s">
        <v>493</v>
      </c>
      <c r="O66" s="250" t="s">
        <v>493</v>
      </c>
      <c r="P66" s="251" t="s">
        <v>493</v>
      </c>
      <c r="Q66" s="250" t="s">
        <v>493</v>
      </c>
      <c r="R66" s="250" t="s">
        <v>493</v>
      </c>
      <c r="S66" s="250">
        <v>0</v>
      </c>
      <c r="T66" s="250">
        <v>1</v>
      </c>
      <c r="U66" s="477" t="s">
        <v>807</v>
      </c>
      <c r="V66" s="477" t="s">
        <v>806</v>
      </c>
    </row>
    <row r="67" spans="1:22" ht="26.25">
      <c r="A67" s="252" t="s">
        <v>416</v>
      </c>
      <c r="B67" s="510" t="s">
        <v>167</v>
      </c>
      <c r="C67" s="489">
        <v>994.61</v>
      </c>
      <c r="D67" s="490">
        <v>992.4</v>
      </c>
      <c r="E67" s="491">
        <v>253.05</v>
      </c>
      <c r="F67" s="492">
        <v>226.32</v>
      </c>
      <c r="G67" s="424">
        <v>19</v>
      </c>
      <c r="H67" s="416">
        <v>19</v>
      </c>
      <c r="I67" s="416">
        <v>19</v>
      </c>
      <c r="J67" s="416">
        <v>19</v>
      </c>
      <c r="K67" s="422">
        <v>22</v>
      </c>
      <c r="L67" s="418">
        <v>15</v>
      </c>
      <c r="M67" s="423">
        <v>15</v>
      </c>
      <c r="N67" s="249" t="s">
        <v>493</v>
      </c>
      <c r="O67" s="250" t="s">
        <v>493</v>
      </c>
      <c r="P67" s="251" t="s">
        <v>493</v>
      </c>
      <c r="Q67" s="250" t="s">
        <v>493</v>
      </c>
      <c r="R67" s="250" t="s">
        <v>493</v>
      </c>
      <c r="S67" s="250">
        <v>4</v>
      </c>
      <c r="T67" s="250">
        <v>6</v>
      </c>
      <c r="U67" s="477" t="s">
        <v>809</v>
      </c>
      <c r="V67" s="477" t="s">
        <v>808</v>
      </c>
    </row>
    <row r="68" spans="1:22" ht="26.25">
      <c r="A68" s="252" t="s">
        <v>420</v>
      </c>
      <c r="B68" s="512" t="s">
        <v>78</v>
      </c>
      <c r="C68" s="489">
        <v>352</v>
      </c>
      <c r="D68" s="490">
        <v>312</v>
      </c>
      <c r="E68" s="491">
        <v>940</v>
      </c>
      <c r="F68" s="492">
        <v>912</v>
      </c>
      <c r="G68" s="424">
        <v>30</v>
      </c>
      <c r="H68" s="416">
        <v>30</v>
      </c>
      <c r="I68" s="416">
        <v>30</v>
      </c>
      <c r="J68" s="416">
        <v>30</v>
      </c>
      <c r="K68" s="422">
        <v>30</v>
      </c>
      <c r="L68" s="418">
        <v>30</v>
      </c>
      <c r="M68" s="423">
        <v>30</v>
      </c>
      <c r="N68" s="249" t="s">
        <v>493</v>
      </c>
      <c r="O68" s="250">
        <v>23</v>
      </c>
      <c r="P68" s="251" t="s">
        <v>493</v>
      </c>
      <c r="Q68" s="250">
        <v>18</v>
      </c>
      <c r="R68" s="250">
        <v>15</v>
      </c>
      <c r="S68" s="250">
        <v>55</v>
      </c>
      <c r="T68" s="250">
        <v>31</v>
      </c>
      <c r="U68" s="477" t="s">
        <v>811</v>
      </c>
      <c r="V68" s="477" t="s">
        <v>810</v>
      </c>
    </row>
    <row r="69" spans="1:22" s="243" customFormat="1" ht="26.25">
      <c r="A69" s="252" t="s">
        <v>418</v>
      </c>
      <c r="B69" s="510" t="s">
        <v>153</v>
      </c>
      <c r="C69" s="489">
        <v>165</v>
      </c>
      <c r="D69" s="490">
        <v>100</v>
      </c>
      <c r="E69" s="494">
        <v>580</v>
      </c>
      <c r="F69" s="492">
        <v>490</v>
      </c>
      <c r="G69" s="424">
        <v>25</v>
      </c>
      <c r="H69" s="415">
        <v>25</v>
      </c>
      <c r="I69" s="416">
        <v>20</v>
      </c>
      <c r="J69" s="416">
        <v>20</v>
      </c>
      <c r="K69" s="422">
        <v>20</v>
      </c>
      <c r="L69" s="418">
        <v>20</v>
      </c>
      <c r="M69" s="423">
        <v>20</v>
      </c>
      <c r="N69" s="249">
        <v>6</v>
      </c>
      <c r="O69" s="250">
        <v>6</v>
      </c>
      <c r="P69" s="251">
        <v>19</v>
      </c>
      <c r="Q69" s="250">
        <v>30</v>
      </c>
      <c r="R69" s="250">
        <v>21</v>
      </c>
      <c r="S69" s="250">
        <v>26</v>
      </c>
      <c r="T69" s="250">
        <v>15</v>
      </c>
      <c r="U69" s="477" t="s">
        <v>813</v>
      </c>
      <c r="V69" s="477" t="s">
        <v>812</v>
      </c>
    </row>
    <row r="70" spans="1:22" s="243" customFormat="1" ht="30" customHeight="1">
      <c r="A70" s="252" t="s">
        <v>418</v>
      </c>
      <c r="B70" s="510" t="s">
        <v>381</v>
      </c>
      <c r="C70" s="489">
        <v>170</v>
      </c>
      <c r="D70" s="490">
        <v>100</v>
      </c>
      <c r="E70" s="491">
        <v>880</v>
      </c>
      <c r="F70" s="492">
        <v>745</v>
      </c>
      <c r="G70" s="424">
        <v>45</v>
      </c>
      <c r="H70" s="415">
        <v>45</v>
      </c>
      <c r="I70" s="420">
        <v>40</v>
      </c>
      <c r="J70" s="416">
        <v>45</v>
      </c>
      <c r="K70" s="422">
        <v>45</v>
      </c>
      <c r="L70" s="418">
        <v>35</v>
      </c>
      <c r="M70" s="423">
        <v>30</v>
      </c>
      <c r="N70" s="249">
        <v>46</v>
      </c>
      <c r="O70" s="250">
        <v>24</v>
      </c>
      <c r="P70" s="251">
        <v>41</v>
      </c>
      <c r="Q70" s="250">
        <v>72</v>
      </c>
      <c r="R70" s="250">
        <v>53</v>
      </c>
      <c r="S70" s="250">
        <v>76</v>
      </c>
      <c r="T70" s="250">
        <v>72</v>
      </c>
      <c r="U70" s="477" t="s">
        <v>815</v>
      </c>
      <c r="V70" s="477" t="s">
        <v>814</v>
      </c>
    </row>
    <row r="71" spans="1:22" ht="26.25">
      <c r="A71" s="252" t="s">
        <v>425</v>
      </c>
      <c r="B71" s="513" t="s">
        <v>164</v>
      </c>
      <c r="C71" s="489">
        <v>583</v>
      </c>
      <c r="D71" s="490">
        <v>573</v>
      </c>
      <c r="E71" s="494">
        <v>980</v>
      </c>
      <c r="F71" s="492">
        <v>973</v>
      </c>
      <c r="G71" s="424">
        <v>22</v>
      </c>
      <c r="H71" s="416">
        <v>22</v>
      </c>
      <c r="I71" s="416">
        <v>22</v>
      </c>
      <c r="J71" s="416">
        <v>22</v>
      </c>
      <c r="K71" s="422">
        <v>22</v>
      </c>
      <c r="L71" s="418">
        <v>22</v>
      </c>
      <c r="M71" s="423">
        <v>25</v>
      </c>
      <c r="N71" s="249">
        <v>26</v>
      </c>
      <c r="O71" s="250">
        <v>15</v>
      </c>
      <c r="P71" s="251">
        <v>14</v>
      </c>
      <c r="Q71" s="250">
        <v>17</v>
      </c>
      <c r="R71" s="250">
        <v>30</v>
      </c>
      <c r="S71" s="250">
        <v>17</v>
      </c>
      <c r="T71" s="250">
        <v>27</v>
      </c>
      <c r="U71" s="474" t="s">
        <v>817</v>
      </c>
      <c r="V71" s="474" t="s">
        <v>816</v>
      </c>
    </row>
    <row r="72" spans="1:22" ht="26.25" hidden="1">
      <c r="A72" s="252" t="s">
        <v>425</v>
      </c>
      <c r="B72" s="510" t="s">
        <v>565</v>
      </c>
      <c r="C72" s="489"/>
      <c r="D72" s="490"/>
      <c r="E72" s="491"/>
      <c r="F72" s="492"/>
      <c r="G72" s="424" t="s">
        <v>621</v>
      </c>
      <c r="H72" s="415">
        <v>32</v>
      </c>
      <c r="I72" s="416">
        <v>15</v>
      </c>
      <c r="J72" s="415">
        <v>15</v>
      </c>
      <c r="K72" s="422">
        <v>13</v>
      </c>
      <c r="L72" s="418">
        <v>19</v>
      </c>
      <c r="M72" s="423">
        <v>19</v>
      </c>
      <c r="N72" s="249" t="s">
        <v>493</v>
      </c>
      <c r="O72" s="250" t="s">
        <v>493</v>
      </c>
      <c r="P72" s="251" t="s">
        <v>493</v>
      </c>
      <c r="Q72" s="250">
        <v>0</v>
      </c>
      <c r="R72" s="250">
        <v>1</v>
      </c>
      <c r="S72" s="250">
        <v>2</v>
      </c>
      <c r="T72" s="250"/>
      <c r="U72" s="478" t="s">
        <v>819</v>
      </c>
      <c r="V72" s="478" t="s">
        <v>818</v>
      </c>
    </row>
    <row r="73" spans="1:22" ht="26.25">
      <c r="A73" s="252" t="s">
        <v>418</v>
      </c>
      <c r="B73" s="510" t="s">
        <v>148</v>
      </c>
      <c r="C73" s="489">
        <v>156</v>
      </c>
      <c r="D73" s="490">
        <v>124</v>
      </c>
      <c r="E73" s="494">
        <v>940</v>
      </c>
      <c r="F73" s="492">
        <v>924</v>
      </c>
      <c r="G73" s="424">
        <v>19</v>
      </c>
      <c r="H73" s="438">
        <v>19</v>
      </c>
      <c r="I73" s="438">
        <v>19</v>
      </c>
      <c r="J73" s="439">
        <v>19</v>
      </c>
      <c r="K73" s="422">
        <v>26</v>
      </c>
      <c r="L73" s="418">
        <v>20</v>
      </c>
      <c r="M73" s="423">
        <v>14</v>
      </c>
      <c r="N73" s="249">
        <v>14</v>
      </c>
      <c r="O73" s="250">
        <v>8</v>
      </c>
      <c r="P73" s="251">
        <v>18</v>
      </c>
      <c r="Q73" s="250">
        <v>30</v>
      </c>
      <c r="R73" s="250">
        <v>27</v>
      </c>
      <c r="S73" s="250">
        <v>64</v>
      </c>
      <c r="T73" s="250">
        <v>37</v>
      </c>
      <c r="U73" s="474" t="s">
        <v>820</v>
      </c>
      <c r="V73" s="474" t="s">
        <v>816</v>
      </c>
    </row>
    <row r="74" spans="1:22">
      <c r="S74" s="245"/>
    </row>
  </sheetData>
  <autoFilter ref="A2:P74" xr:uid="{00000000-0009-0000-0000-000009000000}"/>
  <mergeCells count="10">
    <mergeCell ref="V1:V2"/>
    <mergeCell ref="U1:U2"/>
    <mergeCell ref="T1:T2"/>
    <mergeCell ref="S1:S2"/>
    <mergeCell ref="J5:J6"/>
    <mergeCell ref="N1:N2"/>
    <mergeCell ref="O1:O2"/>
    <mergeCell ref="P1:P2"/>
    <mergeCell ref="Q1:Q2"/>
    <mergeCell ref="R1:R2"/>
  </mergeCells>
  <phoneticPr fontId="81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rgb="FF7F7F7F"/>
  </sheetPr>
  <dimension ref="A1:AE1101"/>
  <sheetViews>
    <sheetView topLeftCell="A1022" zoomScale="91" zoomScaleNormal="91" zoomScaleSheetLayoutView="75" workbookViewId="0">
      <selection activeCell="W1032" sqref="W1032"/>
    </sheetView>
  </sheetViews>
  <sheetFormatPr defaultColWidth="8.75" defaultRowHeight="16.5"/>
  <cols>
    <col min="1" max="1" width="22.5" style="25" customWidth="1"/>
    <col min="2" max="2" width="10.875" style="25" customWidth="1"/>
    <col min="3" max="3" width="7.625" style="25" customWidth="1"/>
    <col min="4" max="4" width="8.625" style="25" customWidth="1"/>
    <col min="5" max="7" width="7.625" style="25" customWidth="1"/>
    <col min="8" max="8" width="9.5" style="25" customWidth="1"/>
    <col min="9" max="10" width="7.625" style="25" customWidth="1"/>
    <col min="11" max="11" width="11" style="25" customWidth="1"/>
    <col min="12" max="13" width="11" style="24" customWidth="1"/>
    <col min="14" max="14" width="11.25" style="25" customWidth="1"/>
    <col min="15" max="15" width="7.875" style="25" customWidth="1"/>
    <col min="16" max="16" width="11.125" style="25" customWidth="1"/>
    <col min="17" max="17" width="7.625" style="25" customWidth="1"/>
    <col min="18" max="18" width="11.125" style="25" customWidth="1"/>
    <col min="19" max="19" width="7.125" style="25" customWidth="1"/>
    <col min="20" max="20" width="11.125" style="25" customWidth="1"/>
    <col min="21" max="21" width="6.5" style="25" customWidth="1"/>
    <col min="22" max="22" width="9" style="25" customWidth="1"/>
    <col min="23" max="23" width="6.5" style="25" customWidth="1"/>
    <col min="24" max="24" width="15.375" style="25" customWidth="1"/>
    <col min="29" max="29" width="8.75" style="21" bestFit="1" customWidth="1"/>
    <col min="31" max="31" width="8.75" style="21" bestFit="1" customWidth="1"/>
  </cols>
  <sheetData>
    <row r="1" spans="1:23">
      <c r="A1" s="25" t="s">
        <v>297</v>
      </c>
      <c r="B1" s="534" t="s">
        <v>486</v>
      </c>
      <c r="C1" s="534"/>
      <c r="D1" s="534"/>
      <c r="E1" s="534"/>
      <c r="F1" s="534"/>
      <c r="G1" s="534"/>
      <c r="H1" s="534"/>
      <c r="I1" s="32"/>
      <c r="J1" s="32"/>
      <c r="K1" s="32"/>
      <c r="L1" s="32"/>
      <c r="M1" s="32"/>
      <c r="N1" s="534" t="s">
        <v>435</v>
      </c>
      <c r="O1" s="534"/>
      <c r="P1" s="534"/>
      <c r="Q1" s="534"/>
      <c r="R1" s="534"/>
      <c r="S1" s="534"/>
      <c r="T1" s="534"/>
      <c r="U1" s="32"/>
      <c r="V1" s="32"/>
      <c r="W1" s="32"/>
    </row>
    <row r="2" spans="1:23">
      <c r="B2" s="25" t="s">
        <v>457</v>
      </c>
      <c r="C2" s="25" t="s">
        <v>471</v>
      </c>
      <c r="D2" s="25" t="s">
        <v>451</v>
      </c>
      <c r="E2" s="25" t="s">
        <v>471</v>
      </c>
      <c r="F2" s="25" t="s">
        <v>497</v>
      </c>
      <c r="G2" s="25" t="s">
        <v>471</v>
      </c>
      <c r="H2" s="25" t="s">
        <v>448</v>
      </c>
      <c r="I2" s="25" t="s">
        <v>471</v>
      </c>
      <c r="N2" s="25" t="s">
        <v>457</v>
      </c>
      <c r="O2" s="25" t="s">
        <v>471</v>
      </c>
      <c r="P2" s="25" t="s">
        <v>451</v>
      </c>
      <c r="Q2" s="25" t="s">
        <v>471</v>
      </c>
      <c r="R2" s="25" t="s">
        <v>497</v>
      </c>
      <c r="S2" s="25" t="s">
        <v>471</v>
      </c>
      <c r="T2" s="25" t="s">
        <v>448</v>
      </c>
      <c r="U2" s="25" t="s">
        <v>471</v>
      </c>
    </row>
    <row r="3" spans="1:23">
      <c r="A3" s="236"/>
      <c r="B3" s="299">
        <v>0</v>
      </c>
      <c r="C3" s="97">
        <v>100</v>
      </c>
      <c r="D3" s="300">
        <v>0</v>
      </c>
      <c r="E3" s="97">
        <v>0</v>
      </c>
      <c r="F3" s="300">
        <v>0</v>
      </c>
      <c r="G3" s="97">
        <v>0</v>
      </c>
      <c r="H3" s="301">
        <v>0</v>
      </c>
      <c r="I3" s="97">
        <v>0</v>
      </c>
      <c r="J3" s="97"/>
      <c r="K3" s="97"/>
      <c r="L3" s="97"/>
      <c r="M3" s="97"/>
      <c r="N3" s="299">
        <v>0</v>
      </c>
      <c r="O3" s="302">
        <v>100</v>
      </c>
      <c r="P3" s="299">
        <v>0</v>
      </c>
      <c r="Q3" s="302">
        <v>0</v>
      </c>
      <c r="R3" s="299">
        <v>0</v>
      </c>
      <c r="S3" s="302">
        <v>0</v>
      </c>
      <c r="T3" s="302">
        <v>0</v>
      </c>
      <c r="U3" s="78">
        <v>0</v>
      </c>
      <c r="V3" s="78"/>
      <c r="W3" s="78"/>
    </row>
    <row r="4" spans="1:23">
      <c r="A4" s="236"/>
      <c r="B4" s="301">
        <v>8.01</v>
      </c>
      <c r="C4" s="97">
        <v>95</v>
      </c>
      <c r="D4" s="300">
        <v>126</v>
      </c>
      <c r="E4" s="97">
        <v>5</v>
      </c>
      <c r="F4" s="300">
        <v>4.8999999999997046</v>
      </c>
      <c r="G4" s="97">
        <v>5</v>
      </c>
      <c r="H4" s="301">
        <v>205</v>
      </c>
      <c r="I4" s="97">
        <v>5</v>
      </c>
      <c r="J4" s="97"/>
      <c r="K4" s="97"/>
      <c r="L4" s="97"/>
      <c r="M4" s="97"/>
      <c r="N4" s="303">
        <v>9.2100000000000009</v>
      </c>
      <c r="O4" s="302">
        <v>95</v>
      </c>
      <c r="P4" s="299">
        <v>66</v>
      </c>
      <c r="Q4" s="302">
        <v>5</v>
      </c>
      <c r="R4" s="299">
        <v>2.1999999999998536</v>
      </c>
      <c r="S4" s="302">
        <v>5</v>
      </c>
      <c r="T4" s="302">
        <v>145</v>
      </c>
      <c r="U4" s="78">
        <v>5</v>
      </c>
      <c r="V4" s="78"/>
      <c r="W4" s="78"/>
    </row>
    <row r="5" spans="1:23">
      <c r="A5" s="236"/>
      <c r="B5" s="301">
        <v>8.11</v>
      </c>
      <c r="C5" s="97">
        <v>90</v>
      </c>
      <c r="D5" s="300">
        <v>131</v>
      </c>
      <c r="E5" s="97">
        <v>10</v>
      </c>
      <c r="F5" s="300">
        <v>5.2999999999997209</v>
      </c>
      <c r="G5" s="97">
        <v>10</v>
      </c>
      <c r="H5" s="301">
        <v>210</v>
      </c>
      <c r="I5" s="97">
        <v>10</v>
      </c>
      <c r="J5" s="97"/>
      <c r="K5" s="97"/>
      <c r="L5" s="97"/>
      <c r="M5" s="97"/>
      <c r="N5" s="303">
        <v>9.31</v>
      </c>
      <c r="O5" s="302">
        <v>90</v>
      </c>
      <c r="P5" s="299">
        <v>71</v>
      </c>
      <c r="Q5" s="302">
        <v>10</v>
      </c>
      <c r="R5" s="299">
        <v>2.599999999999862</v>
      </c>
      <c r="S5" s="302">
        <v>10</v>
      </c>
      <c r="T5" s="302">
        <v>150</v>
      </c>
      <c r="U5" s="78">
        <v>10</v>
      </c>
      <c r="V5" s="78"/>
      <c r="W5" s="78"/>
    </row>
    <row r="6" spans="1:23">
      <c r="A6" s="236"/>
      <c r="B6" s="301">
        <v>8.2099999999999973</v>
      </c>
      <c r="C6" s="97">
        <v>85</v>
      </c>
      <c r="D6" s="300">
        <v>136</v>
      </c>
      <c r="E6" s="97">
        <v>15</v>
      </c>
      <c r="F6" s="300">
        <v>5.6999999999997364</v>
      </c>
      <c r="G6" s="97">
        <v>15</v>
      </c>
      <c r="H6" s="301">
        <v>215</v>
      </c>
      <c r="I6" s="97">
        <v>15</v>
      </c>
      <c r="J6" s="97"/>
      <c r="K6" s="97"/>
      <c r="L6" s="97"/>
      <c r="M6" s="97"/>
      <c r="N6" s="303">
        <v>9.4099999999999895</v>
      </c>
      <c r="O6" s="302">
        <v>85</v>
      </c>
      <c r="P6" s="299">
        <v>76</v>
      </c>
      <c r="Q6" s="302">
        <v>15</v>
      </c>
      <c r="R6" s="299">
        <v>2.9999999999998694</v>
      </c>
      <c r="S6" s="302">
        <v>15</v>
      </c>
      <c r="T6" s="302">
        <v>155</v>
      </c>
      <c r="U6" s="78">
        <v>15</v>
      </c>
      <c r="V6" s="78"/>
      <c r="W6" s="78"/>
    </row>
    <row r="7" spans="1:23">
      <c r="A7" s="236"/>
      <c r="B7" s="301">
        <v>8.3099999999999987</v>
      </c>
      <c r="C7" s="97">
        <v>80</v>
      </c>
      <c r="D7" s="300">
        <v>141</v>
      </c>
      <c r="E7" s="97">
        <v>20</v>
      </c>
      <c r="F7" s="300">
        <v>6.0999999999997527</v>
      </c>
      <c r="G7" s="97">
        <v>20</v>
      </c>
      <c r="H7" s="301">
        <v>220</v>
      </c>
      <c r="I7" s="97">
        <v>20</v>
      </c>
      <c r="J7" s="97"/>
      <c r="K7" s="97"/>
      <c r="L7" s="97"/>
      <c r="M7" s="97"/>
      <c r="N7" s="303">
        <v>9.509999999999982</v>
      </c>
      <c r="O7" s="302">
        <v>80</v>
      </c>
      <c r="P7" s="299">
        <v>81</v>
      </c>
      <c r="Q7" s="302">
        <v>20</v>
      </c>
      <c r="R7" s="299">
        <v>3.3999999999998778</v>
      </c>
      <c r="S7" s="302">
        <v>20</v>
      </c>
      <c r="T7" s="302">
        <v>160</v>
      </c>
      <c r="U7" s="78">
        <v>20</v>
      </c>
      <c r="V7" s="78"/>
      <c r="W7" s="78"/>
    </row>
    <row r="8" spans="1:23">
      <c r="A8" s="236"/>
      <c r="B8" s="301">
        <v>8.4099999999999984</v>
      </c>
      <c r="C8" s="97">
        <v>75</v>
      </c>
      <c r="D8" s="300">
        <v>146</v>
      </c>
      <c r="E8" s="97">
        <v>25</v>
      </c>
      <c r="F8" s="300">
        <v>6.4999999999997691</v>
      </c>
      <c r="G8" s="97">
        <v>25</v>
      </c>
      <c r="H8" s="301">
        <v>225</v>
      </c>
      <c r="I8" s="97">
        <v>25</v>
      </c>
      <c r="J8" s="97"/>
      <c r="K8" s="97"/>
      <c r="L8" s="97"/>
      <c r="M8" s="97"/>
      <c r="N8" s="303">
        <v>10.01</v>
      </c>
      <c r="O8" s="302">
        <v>75</v>
      </c>
      <c r="P8" s="299">
        <v>86</v>
      </c>
      <c r="Q8" s="302">
        <v>25</v>
      </c>
      <c r="R8" s="299">
        <v>3.7999999999998861</v>
      </c>
      <c r="S8" s="302">
        <v>25</v>
      </c>
      <c r="T8" s="302">
        <v>165</v>
      </c>
      <c r="U8" s="78">
        <v>25</v>
      </c>
      <c r="V8" s="78"/>
      <c r="W8" s="78"/>
    </row>
    <row r="9" spans="1:23">
      <c r="A9" s="236"/>
      <c r="B9" s="301">
        <v>8.509999999999998</v>
      </c>
      <c r="C9" s="97">
        <v>70</v>
      </c>
      <c r="D9" s="300">
        <v>151</v>
      </c>
      <c r="E9" s="97">
        <v>30</v>
      </c>
      <c r="F9" s="300">
        <v>6.8999999999997845</v>
      </c>
      <c r="G9" s="97">
        <v>30</v>
      </c>
      <c r="H9" s="301">
        <v>230</v>
      </c>
      <c r="I9" s="97">
        <v>30</v>
      </c>
      <c r="J9" s="97"/>
      <c r="K9" s="97"/>
      <c r="L9" s="97"/>
      <c r="M9" s="97"/>
      <c r="N9" s="303">
        <v>10.11</v>
      </c>
      <c r="O9" s="302">
        <v>70</v>
      </c>
      <c r="P9" s="299">
        <v>91</v>
      </c>
      <c r="Q9" s="302">
        <v>30</v>
      </c>
      <c r="R9" s="299">
        <v>4.1999999999998936</v>
      </c>
      <c r="S9" s="302">
        <v>30</v>
      </c>
      <c r="T9" s="302">
        <v>170</v>
      </c>
      <c r="U9" s="78">
        <v>30</v>
      </c>
      <c r="V9" s="78"/>
      <c r="W9" s="78"/>
    </row>
    <row r="10" spans="1:23">
      <c r="A10" s="236"/>
      <c r="B10" s="301">
        <v>8.6099999999999977</v>
      </c>
      <c r="C10" s="97">
        <v>65</v>
      </c>
      <c r="D10" s="300">
        <v>156</v>
      </c>
      <c r="E10" s="97">
        <v>35</v>
      </c>
      <c r="F10" s="300">
        <v>7.2999999999998009</v>
      </c>
      <c r="G10" s="97">
        <v>35</v>
      </c>
      <c r="H10" s="301">
        <v>235</v>
      </c>
      <c r="I10" s="97">
        <v>35</v>
      </c>
      <c r="J10" s="97"/>
      <c r="K10" s="97"/>
      <c r="L10" s="97"/>
      <c r="M10" s="97"/>
      <c r="N10" s="303">
        <v>10.209999999999997</v>
      </c>
      <c r="O10" s="302">
        <v>65</v>
      </c>
      <c r="P10" s="299">
        <v>96</v>
      </c>
      <c r="Q10" s="302">
        <v>35</v>
      </c>
      <c r="R10" s="299">
        <v>4.5999999999999019</v>
      </c>
      <c r="S10" s="302">
        <v>35</v>
      </c>
      <c r="T10" s="302">
        <v>175</v>
      </c>
      <c r="U10" s="78">
        <v>35</v>
      </c>
      <c r="V10" s="78"/>
      <c r="W10" s="78"/>
    </row>
    <row r="11" spans="1:23">
      <c r="A11" s="236"/>
      <c r="B11" s="301">
        <v>8.7099999999999973</v>
      </c>
      <c r="C11" s="97">
        <v>60</v>
      </c>
      <c r="D11" s="300">
        <v>161</v>
      </c>
      <c r="E11" s="97">
        <v>40</v>
      </c>
      <c r="F11" s="300">
        <v>7.6999999999998163</v>
      </c>
      <c r="G11" s="97">
        <v>40</v>
      </c>
      <c r="H11" s="301">
        <v>240</v>
      </c>
      <c r="I11" s="97">
        <v>40</v>
      </c>
      <c r="J11" s="97"/>
      <c r="K11" s="97"/>
      <c r="L11" s="97"/>
      <c r="M11" s="97"/>
      <c r="N11" s="303">
        <v>10.309999999999999</v>
      </c>
      <c r="O11" s="302">
        <v>60</v>
      </c>
      <c r="P11" s="299">
        <v>101</v>
      </c>
      <c r="Q11" s="302">
        <v>40</v>
      </c>
      <c r="R11" s="299">
        <v>4.9999999999999094</v>
      </c>
      <c r="S11" s="302">
        <v>40</v>
      </c>
      <c r="T11" s="302">
        <v>180</v>
      </c>
      <c r="U11" s="78">
        <v>40</v>
      </c>
      <c r="V11" s="78"/>
      <c r="W11" s="78"/>
    </row>
    <row r="12" spans="1:23">
      <c r="A12" s="236"/>
      <c r="B12" s="301">
        <v>8.8099999999999987</v>
      </c>
      <c r="C12" s="97">
        <v>55</v>
      </c>
      <c r="D12" s="300">
        <v>166</v>
      </c>
      <c r="E12" s="97">
        <v>45</v>
      </c>
      <c r="F12" s="300">
        <v>8.0999999999998327</v>
      </c>
      <c r="G12" s="97">
        <v>45</v>
      </c>
      <c r="H12" s="301">
        <v>245</v>
      </c>
      <c r="I12" s="97">
        <v>45</v>
      </c>
      <c r="J12" s="97"/>
      <c r="K12" s="97"/>
      <c r="L12" s="97"/>
      <c r="M12" s="97"/>
      <c r="N12" s="303">
        <v>10.409999999999998</v>
      </c>
      <c r="O12" s="302">
        <v>55</v>
      </c>
      <c r="P12" s="299">
        <v>106</v>
      </c>
      <c r="Q12" s="302">
        <v>45</v>
      </c>
      <c r="R12" s="299">
        <v>5.3999999999999178</v>
      </c>
      <c r="S12" s="302">
        <v>45</v>
      </c>
      <c r="T12" s="302">
        <v>185</v>
      </c>
      <c r="U12" s="78">
        <v>45</v>
      </c>
      <c r="V12" s="78"/>
      <c r="W12" s="78"/>
    </row>
    <row r="13" spans="1:23">
      <c r="A13" s="236"/>
      <c r="B13" s="301">
        <v>8.9099999999999984</v>
      </c>
      <c r="C13" s="97">
        <v>50</v>
      </c>
      <c r="D13" s="300">
        <v>171</v>
      </c>
      <c r="E13" s="97">
        <v>50</v>
      </c>
      <c r="F13" s="300">
        <v>8.499999999999849</v>
      </c>
      <c r="G13" s="97">
        <v>50</v>
      </c>
      <c r="H13" s="301">
        <v>250</v>
      </c>
      <c r="I13" s="97">
        <v>50</v>
      </c>
      <c r="J13" s="97"/>
      <c r="K13" s="97"/>
      <c r="L13" s="97"/>
      <c r="M13" s="97"/>
      <c r="N13" s="303">
        <v>10.509999999999998</v>
      </c>
      <c r="O13" s="302">
        <v>50</v>
      </c>
      <c r="P13" s="299">
        <v>111</v>
      </c>
      <c r="Q13" s="302">
        <v>50</v>
      </c>
      <c r="R13" s="299">
        <v>5.7999999999999261</v>
      </c>
      <c r="S13" s="302">
        <v>50</v>
      </c>
      <c r="T13" s="302">
        <v>190</v>
      </c>
      <c r="U13" s="78">
        <v>50</v>
      </c>
      <c r="V13" s="78"/>
      <c r="W13" s="78"/>
    </row>
    <row r="14" spans="1:23">
      <c r="A14" s="236"/>
      <c r="B14" s="301">
        <v>9.009999999999998</v>
      </c>
      <c r="C14" s="97">
        <v>45</v>
      </c>
      <c r="D14" s="300">
        <v>176</v>
      </c>
      <c r="E14" s="97">
        <v>55</v>
      </c>
      <c r="F14" s="300">
        <v>8.8999999999998654</v>
      </c>
      <c r="G14" s="97">
        <v>55</v>
      </c>
      <c r="H14" s="301">
        <v>255</v>
      </c>
      <c r="I14" s="97">
        <v>55</v>
      </c>
      <c r="J14" s="97"/>
      <c r="K14" s="97"/>
      <c r="L14" s="97"/>
      <c r="M14" s="97"/>
      <c r="N14" s="303">
        <v>11.01</v>
      </c>
      <c r="O14" s="302">
        <v>45</v>
      </c>
      <c r="P14" s="299">
        <v>116</v>
      </c>
      <c r="Q14" s="302">
        <v>55</v>
      </c>
      <c r="R14" s="299">
        <v>6.1999999999999336</v>
      </c>
      <c r="S14" s="302">
        <v>55</v>
      </c>
      <c r="T14" s="302">
        <v>195</v>
      </c>
      <c r="U14" s="78">
        <v>55</v>
      </c>
      <c r="V14" s="78"/>
      <c r="W14" s="78"/>
    </row>
    <row r="15" spans="1:23">
      <c r="A15" s="236"/>
      <c r="B15" s="301">
        <v>9.1099999999999977</v>
      </c>
      <c r="C15" s="97">
        <v>40</v>
      </c>
      <c r="D15" s="300">
        <v>181</v>
      </c>
      <c r="E15" s="97">
        <v>60</v>
      </c>
      <c r="F15" s="300">
        <v>9.2999999999998799</v>
      </c>
      <c r="G15" s="97">
        <v>60</v>
      </c>
      <c r="H15" s="301">
        <v>260</v>
      </c>
      <c r="I15" s="97">
        <v>60</v>
      </c>
      <c r="J15" s="97"/>
      <c r="K15" s="97"/>
      <c r="L15" s="97"/>
      <c r="M15" s="97"/>
      <c r="N15" s="303">
        <v>11.11</v>
      </c>
      <c r="O15" s="302">
        <v>40</v>
      </c>
      <c r="P15" s="299">
        <v>121</v>
      </c>
      <c r="Q15" s="302">
        <v>60</v>
      </c>
      <c r="R15" s="299">
        <v>6.5999999999999419</v>
      </c>
      <c r="S15" s="302">
        <v>60</v>
      </c>
      <c r="T15" s="302">
        <v>200</v>
      </c>
      <c r="U15" s="78">
        <v>60</v>
      </c>
      <c r="V15" s="78"/>
      <c r="W15" s="78"/>
    </row>
    <row r="16" spans="1:23">
      <c r="A16" s="236"/>
      <c r="B16" s="301">
        <v>9.2099999999999973</v>
      </c>
      <c r="C16" s="97">
        <v>35</v>
      </c>
      <c r="D16" s="300">
        <v>186</v>
      </c>
      <c r="E16" s="97">
        <v>65</v>
      </c>
      <c r="F16" s="300">
        <v>9.6999999999998963</v>
      </c>
      <c r="G16" s="97">
        <v>65</v>
      </c>
      <c r="H16" s="301">
        <v>265</v>
      </c>
      <c r="I16" s="97">
        <v>65</v>
      </c>
      <c r="J16" s="97"/>
      <c r="K16" s="97"/>
      <c r="L16" s="97"/>
      <c r="M16" s="97"/>
      <c r="N16" s="303">
        <v>11.21000000000001</v>
      </c>
      <c r="O16" s="302">
        <v>35</v>
      </c>
      <c r="P16" s="299">
        <v>126</v>
      </c>
      <c r="Q16" s="302">
        <v>65</v>
      </c>
      <c r="R16" s="299">
        <v>6.9999999999999503</v>
      </c>
      <c r="S16" s="302">
        <v>65</v>
      </c>
      <c r="T16" s="302">
        <v>205</v>
      </c>
      <c r="U16" s="78">
        <v>65</v>
      </c>
      <c r="V16" s="78"/>
      <c r="W16" s="78"/>
    </row>
    <row r="17" spans="1:23">
      <c r="A17" s="236"/>
      <c r="B17" s="301">
        <v>9.3099999999999987</v>
      </c>
      <c r="C17" s="97">
        <v>30</v>
      </c>
      <c r="D17" s="300">
        <v>191</v>
      </c>
      <c r="E17" s="97">
        <v>70</v>
      </c>
      <c r="F17" s="300">
        <v>10.099999999999913</v>
      </c>
      <c r="G17" s="97">
        <v>70</v>
      </c>
      <c r="H17" s="301">
        <v>270</v>
      </c>
      <c r="I17" s="97">
        <v>70</v>
      </c>
      <c r="J17" s="97"/>
      <c r="K17" s="97"/>
      <c r="L17" s="97"/>
      <c r="M17" s="97"/>
      <c r="N17" s="303">
        <v>11.310000000000018</v>
      </c>
      <c r="O17" s="302">
        <v>30</v>
      </c>
      <c r="P17" s="299">
        <v>131</v>
      </c>
      <c r="Q17" s="302">
        <v>70</v>
      </c>
      <c r="R17" s="299">
        <v>7.3999999999999577</v>
      </c>
      <c r="S17" s="302">
        <v>70</v>
      </c>
      <c r="T17" s="302">
        <v>210</v>
      </c>
      <c r="U17" s="78">
        <v>70</v>
      </c>
      <c r="V17" s="78"/>
      <c r="W17" s="78"/>
    </row>
    <row r="18" spans="1:23">
      <c r="A18" s="236"/>
      <c r="B18" s="301">
        <v>9.4099999999999984</v>
      </c>
      <c r="C18" s="97">
        <v>25</v>
      </c>
      <c r="D18" s="300">
        <v>196</v>
      </c>
      <c r="E18" s="97">
        <v>75</v>
      </c>
      <c r="F18" s="300">
        <v>10.499999999999929</v>
      </c>
      <c r="G18" s="97">
        <v>75</v>
      </c>
      <c r="H18" s="301">
        <v>275</v>
      </c>
      <c r="I18" s="97">
        <v>75</v>
      </c>
      <c r="J18" s="97"/>
      <c r="K18" s="97"/>
      <c r="L18" s="97"/>
      <c r="M18" s="97"/>
      <c r="N18" s="303">
        <v>11.410000000000027</v>
      </c>
      <c r="O18" s="302">
        <v>25</v>
      </c>
      <c r="P18" s="299">
        <v>136</v>
      </c>
      <c r="Q18" s="302">
        <v>75</v>
      </c>
      <c r="R18" s="299">
        <v>7.7999999999999661</v>
      </c>
      <c r="S18" s="302">
        <v>75</v>
      </c>
      <c r="T18" s="302">
        <v>215</v>
      </c>
      <c r="U18" s="78">
        <v>75</v>
      </c>
      <c r="V18" s="78"/>
      <c r="W18" s="78"/>
    </row>
    <row r="19" spans="1:23">
      <c r="B19" s="301">
        <v>9.509999999999998</v>
      </c>
      <c r="C19" s="97">
        <v>20</v>
      </c>
      <c r="D19" s="300">
        <v>201</v>
      </c>
      <c r="E19" s="97">
        <v>80</v>
      </c>
      <c r="F19" s="300">
        <v>10.899999999999945</v>
      </c>
      <c r="G19" s="97">
        <v>80</v>
      </c>
      <c r="H19" s="301">
        <v>280</v>
      </c>
      <c r="I19" s="97">
        <v>80</v>
      </c>
      <c r="J19" s="97"/>
      <c r="K19" s="97"/>
      <c r="L19" s="97"/>
      <c r="M19" s="97"/>
      <c r="N19" s="303">
        <v>11.510000000000034</v>
      </c>
      <c r="O19" s="302">
        <v>20</v>
      </c>
      <c r="P19" s="299">
        <v>141</v>
      </c>
      <c r="Q19" s="302">
        <v>80</v>
      </c>
      <c r="R19" s="299">
        <v>8.1999999999999744</v>
      </c>
      <c r="S19" s="302">
        <v>80</v>
      </c>
      <c r="T19" s="302">
        <v>220</v>
      </c>
      <c r="U19" s="78">
        <v>80</v>
      </c>
      <c r="V19" s="78"/>
      <c r="W19" s="78"/>
    </row>
    <row r="20" spans="1:23">
      <c r="B20" s="301">
        <v>9.61</v>
      </c>
      <c r="C20" s="97">
        <v>15</v>
      </c>
      <c r="D20" s="300">
        <v>206</v>
      </c>
      <c r="E20" s="97">
        <v>85</v>
      </c>
      <c r="F20" s="300">
        <v>11.299999999999962</v>
      </c>
      <c r="G20" s="97">
        <v>85</v>
      </c>
      <c r="H20" s="301">
        <v>285</v>
      </c>
      <c r="I20" s="97">
        <v>85</v>
      </c>
      <c r="J20" s="97"/>
      <c r="K20" s="97"/>
      <c r="L20" s="97"/>
      <c r="M20" s="97"/>
      <c r="N20" s="303">
        <v>11.61</v>
      </c>
      <c r="O20" s="302">
        <v>15</v>
      </c>
      <c r="P20" s="299">
        <v>146</v>
      </c>
      <c r="Q20" s="302">
        <v>85</v>
      </c>
      <c r="R20" s="299">
        <v>8.5999999999999819</v>
      </c>
      <c r="S20" s="302">
        <v>85</v>
      </c>
      <c r="T20" s="302">
        <v>225</v>
      </c>
      <c r="U20" s="78">
        <v>85</v>
      </c>
      <c r="V20" s="78"/>
      <c r="W20" s="78"/>
    </row>
    <row r="21" spans="1:23">
      <c r="B21" s="301">
        <v>9.7100000000000009</v>
      </c>
      <c r="C21" s="97">
        <v>10</v>
      </c>
      <c r="D21" s="300">
        <v>211</v>
      </c>
      <c r="E21" s="97">
        <v>90</v>
      </c>
      <c r="F21" s="300">
        <v>11.699999999999976</v>
      </c>
      <c r="G21" s="97">
        <v>90</v>
      </c>
      <c r="H21" s="301">
        <v>290</v>
      </c>
      <c r="I21" s="97">
        <v>90</v>
      </c>
      <c r="J21" s="97"/>
      <c r="K21" s="97"/>
      <c r="L21" s="97"/>
      <c r="M21" s="97"/>
      <c r="N21" s="303">
        <v>11.71</v>
      </c>
      <c r="O21" s="302">
        <v>10</v>
      </c>
      <c r="P21" s="299">
        <v>151</v>
      </c>
      <c r="Q21" s="302">
        <v>90</v>
      </c>
      <c r="R21" s="299">
        <v>8.9999999999999893</v>
      </c>
      <c r="S21" s="302">
        <v>90</v>
      </c>
      <c r="T21" s="302">
        <v>230</v>
      </c>
      <c r="U21" s="78">
        <v>90</v>
      </c>
      <c r="V21" s="78"/>
      <c r="W21" s="78"/>
    </row>
    <row r="22" spans="1:23">
      <c r="B22" s="301">
        <v>9.81</v>
      </c>
      <c r="C22" s="97">
        <v>5</v>
      </c>
      <c r="D22" s="300">
        <v>216</v>
      </c>
      <c r="E22" s="97">
        <v>95</v>
      </c>
      <c r="F22" s="300">
        <v>12.1</v>
      </c>
      <c r="G22" s="97">
        <v>95</v>
      </c>
      <c r="H22" s="301">
        <v>295</v>
      </c>
      <c r="I22" s="97">
        <v>95</v>
      </c>
      <c r="J22" s="97"/>
      <c r="K22" s="97"/>
      <c r="L22" s="97"/>
      <c r="M22" s="97"/>
      <c r="N22" s="303">
        <v>11.8100000000001</v>
      </c>
      <c r="O22" s="302">
        <v>5</v>
      </c>
      <c r="P22" s="299">
        <v>156</v>
      </c>
      <c r="Q22" s="302">
        <v>95</v>
      </c>
      <c r="R22" s="299">
        <v>9.4</v>
      </c>
      <c r="S22" s="302">
        <v>95</v>
      </c>
      <c r="T22" s="302">
        <v>235</v>
      </c>
      <c r="U22" s="78">
        <v>95</v>
      </c>
      <c r="V22" s="78"/>
      <c r="W22" s="78"/>
    </row>
    <row r="23" spans="1:23">
      <c r="B23" s="301">
        <v>9.91</v>
      </c>
      <c r="C23" s="97">
        <v>0</v>
      </c>
      <c r="D23" s="300">
        <v>221</v>
      </c>
      <c r="E23" s="97">
        <v>100</v>
      </c>
      <c r="F23" s="300">
        <v>12.5</v>
      </c>
      <c r="G23" s="97">
        <v>100</v>
      </c>
      <c r="H23" s="301">
        <v>300</v>
      </c>
      <c r="I23" s="97">
        <v>100</v>
      </c>
      <c r="J23" s="97"/>
      <c r="K23" s="97"/>
      <c r="L23" s="97"/>
      <c r="M23" s="97"/>
      <c r="N23" s="303">
        <v>11.9100000000001</v>
      </c>
      <c r="O23" s="302">
        <v>0</v>
      </c>
      <c r="P23" s="299">
        <v>161</v>
      </c>
      <c r="Q23" s="302">
        <v>100</v>
      </c>
      <c r="R23" s="299">
        <v>9.8000000000000007</v>
      </c>
      <c r="S23" s="302">
        <v>100</v>
      </c>
      <c r="T23" s="302">
        <v>240</v>
      </c>
      <c r="U23" s="78">
        <v>100</v>
      </c>
      <c r="V23" s="78"/>
      <c r="W23" s="78"/>
    </row>
    <row r="25" spans="1:23">
      <c r="B25" s="534"/>
      <c r="C25" s="534"/>
      <c r="D25" s="534"/>
      <c r="E25" s="534"/>
      <c r="F25" s="534"/>
      <c r="G25" s="534"/>
      <c r="H25" s="534"/>
      <c r="I25" s="32"/>
      <c r="J25" s="32"/>
      <c r="K25" s="32"/>
      <c r="L25" s="32"/>
      <c r="M25" s="32"/>
      <c r="N25" s="534"/>
      <c r="O25" s="534"/>
      <c r="P25" s="534"/>
      <c r="Q25" s="534"/>
      <c r="R25" s="534"/>
      <c r="S25" s="534"/>
      <c r="T25" s="534"/>
      <c r="U25" s="32"/>
      <c r="V25" s="32"/>
      <c r="W25" s="32"/>
    </row>
    <row r="26" spans="1:23" s="14" customFormat="1">
      <c r="A26" s="14" t="s">
        <v>187</v>
      </c>
      <c r="B26" s="14" t="s">
        <v>455</v>
      </c>
      <c r="C26" s="14" t="s">
        <v>471</v>
      </c>
      <c r="D26" s="74" t="s">
        <v>470</v>
      </c>
      <c r="E26" s="74" t="s">
        <v>471</v>
      </c>
      <c r="F26" s="14" t="s">
        <v>448</v>
      </c>
      <c r="G26" s="14" t="s">
        <v>471</v>
      </c>
      <c r="H26" s="14" t="s">
        <v>457</v>
      </c>
      <c r="I26" s="14" t="s">
        <v>471</v>
      </c>
      <c r="N26" s="14" t="s">
        <v>455</v>
      </c>
      <c r="O26" s="14" t="s">
        <v>471</v>
      </c>
      <c r="P26" s="74" t="s">
        <v>470</v>
      </c>
      <c r="Q26" s="74" t="s">
        <v>471</v>
      </c>
      <c r="R26" s="14" t="s">
        <v>448</v>
      </c>
      <c r="S26" s="14" t="s">
        <v>471</v>
      </c>
      <c r="T26" s="14" t="s">
        <v>457</v>
      </c>
      <c r="U26" s="14" t="s">
        <v>471</v>
      </c>
    </row>
    <row r="27" spans="1:23" s="14" customFormat="1">
      <c r="A27" s="74" t="s">
        <v>588</v>
      </c>
      <c r="B27" s="34">
        <v>0</v>
      </c>
      <c r="C27" s="120">
        <v>23</v>
      </c>
      <c r="D27" s="74">
        <v>0</v>
      </c>
      <c r="E27" s="99">
        <v>45</v>
      </c>
      <c r="F27" s="14">
        <v>0</v>
      </c>
      <c r="G27" s="120">
        <v>23</v>
      </c>
      <c r="H27" s="14">
        <v>0</v>
      </c>
      <c r="I27" s="35">
        <v>100</v>
      </c>
      <c r="N27" s="34">
        <v>0</v>
      </c>
      <c r="O27" s="120">
        <v>23</v>
      </c>
      <c r="P27" s="74">
        <v>0</v>
      </c>
      <c r="Q27" s="99">
        <v>45</v>
      </c>
      <c r="R27" s="14">
        <v>0</v>
      </c>
      <c r="S27" s="120">
        <v>23</v>
      </c>
      <c r="T27" s="14">
        <v>0</v>
      </c>
      <c r="U27" s="35">
        <v>100</v>
      </c>
    </row>
    <row r="28" spans="1:23" s="14" customFormat="1">
      <c r="A28" s="74" t="s">
        <v>584</v>
      </c>
      <c r="B28" s="34">
        <v>9</v>
      </c>
      <c r="C28" s="35">
        <v>50</v>
      </c>
      <c r="D28" s="74">
        <v>7</v>
      </c>
      <c r="E28" s="99">
        <v>50</v>
      </c>
      <c r="F28" s="14">
        <v>230</v>
      </c>
      <c r="G28" s="35">
        <v>50</v>
      </c>
      <c r="H28" s="35">
        <v>8.3000000000000007</v>
      </c>
      <c r="I28" s="35">
        <v>95</v>
      </c>
      <c r="N28" s="116">
        <v>4</v>
      </c>
      <c r="O28" s="35">
        <v>50</v>
      </c>
      <c r="P28" s="74">
        <v>4</v>
      </c>
      <c r="Q28" s="99">
        <v>50</v>
      </c>
      <c r="R28" s="14">
        <v>200</v>
      </c>
      <c r="S28" s="35">
        <v>50</v>
      </c>
      <c r="T28" s="35">
        <v>9.3000000000000007</v>
      </c>
      <c r="U28" s="35">
        <v>95</v>
      </c>
    </row>
    <row r="29" spans="1:23" s="14" customFormat="1">
      <c r="A29" s="14" t="s">
        <v>178</v>
      </c>
      <c r="B29" s="34">
        <v>11</v>
      </c>
      <c r="C29" s="35">
        <v>55</v>
      </c>
      <c r="D29" s="74">
        <v>8</v>
      </c>
      <c r="E29" s="99">
        <v>55</v>
      </c>
      <c r="F29" s="14">
        <v>235</v>
      </c>
      <c r="G29" s="35">
        <v>55</v>
      </c>
      <c r="H29" s="35">
        <v>8.6</v>
      </c>
      <c r="I29" s="35">
        <v>90</v>
      </c>
      <c r="N29" s="116">
        <v>6</v>
      </c>
      <c r="O29" s="35">
        <v>55</v>
      </c>
      <c r="P29" s="74">
        <v>5</v>
      </c>
      <c r="Q29" s="99">
        <v>55</v>
      </c>
      <c r="R29" s="14">
        <v>203</v>
      </c>
      <c r="S29" s="35">
        <v>55</v>
      </c>
      <c r="T29" s="35">
        <v>9.6</v>
      </c>
      <c r="U29" s="35">
        <v>90</v>
      </c>
    </row>
    <row r="30" spans="1:23" s="14" customFormat="1">
      <c r="A30" s="14" t="s">
        <v>404</v>
      </c>
      <c r="B30" s="34">
        <v>13</v>
      </c>
      <c r="C30" s="35">
        <v>60</v>
      </c>
      <c r="D30" s="74">
        <v>9</v>
      </c>
      <c r="E30" s="99">
        <v>60</v>
      </c>
      <c r="F30" s="14">
        <v>240</v>
      </c>
      <c r="G30" s="35">
        <v>60</v>
      </c>
      <c r="H30" s="35">
        <v>8.9</v>
      </c>
      <c r="I30" s="35">
        <v>85</v>
      </c>
      <c r="N30" s="116">
        <v>8</v>
      </c>
      <c r="O30" s="35">
        <v>60</v>
      </c>
      <c r="P30" s="74">
        <v>6</v>
      </c>
      <c r="Q30" s="99">
        <v>60</v>
      </c>
      <c r="R30" s="14">
        <v>206</v>
      </c>
      <c r="S30" s="35">
        <v>60</v>
      </c>
      <c r="T30" s="35">
        <v>9.9</v>
      </c>
      <c r="U30" s="35">
        <v>85</v>
      </c>
    </row>
    <row r="31" spans="1:23" s="14" customFormat="1">
      <c r="A31" s="14" t="s">
        <v>207</v>
      </c>
      <c r="B31" s="34">
        <v>15</v>
      </c>
      <c r="C31" s="35">
        <v>65</v>
      </c>
      <c r="D31" s="74">
        <v>10</v>
      </c>
      <c r="E31" s="99">
        <v>65</v>
      </c>
      <c r="F31" s="14">
        <v>245</v>
      </c>
      <c r="G31" s="35">
        <v>65</v>
      </c>
      <c r="H31" s="35">
        <v>9.1999999999999993</v>
      </c>
      <c r="I31" s="35">
        <v>80</v>
      </c>
      <c r="N31" s="116">
        <v>10</v>
      </c>
      <c r="O31" s="35">
        <v>65</v>
      </c>
      <c r="P31" s="74">
        <v>7</v>
      </c>
      <c r="Q31" s="99">
        <v>65</v>
      </c>
      <c r="R31" s="14">
        <v>209</v>
      </c>
      <c r="S31" s="35">
        <v>65</v>
      </c>
      <c r="T31" s="35">
        <v>10.199999999999999</v>
      </c>
      <c r="U31" s="35">
        <v>80</v>
      </c>
    </row>
    <row r="32" spans="1:23" s="14" customFormat="1">
      <c r="A32" s="14" t="s">
        <v>202</v>
      </c>
      <c r="B32" s="34">
        <v>17</v>
      </c>
      <c r="C32" s="35">
        <v>70</v>
      </c>
      <c r="D32" s="74">
        <v>11</v>
      </c>
      <c r="E32" s="99">
        <v>70</v>
      </c>
      <c r="F32" s="14">
        <v>250</v>
      </c>
      <c r="G32" s="35">
        <v>70</v>
      </c>
      <c r="H32" s="35">
        <v>9.5</v>
      </c>
      <c r="I32" s="35">
        <v>75</v>
      </c>
      <c r="N32" s="116">
        <v>12</v>
      </c>
      <c r="O32" s="35">
        <v>70</v>
      </c>
      <c r="P32" s="74">
        <v>8</v>
      </c>
      <c r="Q32" s="99">
        <v>70</v>
      </c>
      <c r="R32" s="14">
        <v>212</v>
      </c>
      <c r="S32" s="35">
        <v>70</v>
      </c>
      <c r="T32" s="35">
        <v>10.5</v>
      </c>
      <c r="U32" s="35">
        <v>75</v>
      </c>
    </row>
    <row r="33" spans="1:21" s="14" customFormat="1">
      <c r="B33" s="34">
        <v>19</v>
      </c>
      <c r="C33" s="35">
        <v>75</v>
      </c>
      <c r="D33" s="74">
        <v>12</v>
      </c>
      <c r="E33" s="99">
        <v>75</v>
      </c>
      <c r="F33" s="14">
        <v>255</v>
      </c>
      <c r="G33" s="35">
        <v>75</v>
      </c>
      <c r="H33" s="35">
        <v>9.7999999999999901</v>
      </c>
      <c r="I33" s="35">
        <v>70</v>
      </c>
      <c r="N33" s="116">
        <v>14</v>
      </c>
      <c r="O33" s="35">
        <v>75</v>
      </c>
      <c r="P33" s="74">
        <v>9</v>
      </c>
      <c r="Q33" s="99">
        <v>75</v>
      </c>
      <c r="R33" s="14">
        <v>215</v>
      </c>
      <c r="S33" s="35">
        <v>75</v>
      </c>
      <c r="T33" s="35">
        <v>10.8</v>
      </c>
      <c r="U33" s="35">
        <v>70</v>
      </c>
    </row>
    <row r="34" spans="1:21" s="14" customFormat="1">
      <c r="B34" s="34">
        <v>21</v>
      </c>
      <c r="C34" s="35">
        <v>80</v>
      </c>
      <c r="D34" s="74">
        <v>13</v>
      </c>
      <c r="E34" s="99">
        <v>80</v>
      </c>
      <c r="F34" s="14">
        <v>260</v>
      </c>
      <c r="G34" s="35">
        <v>80</v>
      </c>
      <c r="H34" s="35">
        <v>10.1</v>
      </c>
      <c r="I34" s="35">
        <v>65</v>
      </c>
      <c r="N34" s="116">
        <v>16</v>
      </c>
      <c r="O34" s="35">
        <v>80</v>
      </c>
      <c r="P34" s="74">
        <v>10</v>
      </c>
      <c r="Q34" s="99">
        <v>80</v>
      </c>
      <c r="R34" s="14">
        <v>218</v>
      </c>
      <c r="S34" s="35">
        <v>80</v>
      </c>
      <c r="T34" s="35">
        <v>11.1</v>
      </c>
      <c r="U34" s="35">
        <v>65</v>
      </c>
    </row>
    <row r="35" spans="1:21" s="14" customFormat="1">
      <c r="B35" s="34">
        <v>23</v>
      </c>
      <c r="C35" s="35">
        <v>85</v>
      </c>
      <c r="D35" s="74">
        <v>14</v>
      </c>
      <c r="E35" s="99">
        <v>85</v>
      </c>
      <c r="F35" s="14">
        <v>265</v>
      </c>
      <c r="G35" s="35">
        <v>85</v>
      </c>
      <c r="H35" s="35">
        <v>10.4</v>
      </c>
      <c r="I35" s="35">
        <v>60</v>
      </c>
      <c r="N35" s="116">
        <v>18</v>
      </c>
      <c r="O35" s="35">
        <v>85</v>
      </c>
      <c r="P35" s="74">
        <v>11</v>
      </c>
      <c r="Q35" s="99">
        <v>85</v>
      </c>
      <c r="R35" s="14">
        <v>221</v>
      </c>
      <c r="S35" s="35">
        <v>85</v>
      </c>
      <c r="T35" s="35">
        <v>11.4</v>
      </c>
      <c r="U35" s="35">
        <v>60</v>
      </c>
    </row>
    <row r="36" spans="1:21" s="14" customFormat="1">
      <c r="B36" s="34">
        <v>25</v>
      </c>
      <c r="C36" s="35">
        <v>90</v>
      </c>
      <c r="D36" s="74">
        <v>15</v>
      </c>
      <c r="E36" s="99">
        <v>90</v>
      </c>
      <c r="F36" s="14">
        <v>270</v>
      </c>
      <c r="G36" s="35">
        <v>90</v>
      </c>
      <c r="H36" s="35">
        <v>10.7</v>
      </c>
      <c r="I36" s="35">
        <v>55</v>
      </c>
      <c r="N36" s="116">
        <v>20</v>
      </c>
      <c r="O36" s="35">
        <v>90</v>
      </c>
      <c r="P36" s="74">
        <v>12</v>
      </c>
      <c r="Q36" s="99">
        <v>90</v>
      </c>
      <c r="R36" s="14">
        <v>224</v>
      </c>
      <c r="S36" s="35">
        <v>90</v>
      </c>
      <c r="T36" s="35">
        <v>11.7</v>
      </c>
      <c r="U36" s="35">
        <v>55</v>
      </c>
    </row>
    <row r="37" spans="1:21" s="14" customFormat="1">
      <c r="B37" s="34">
        <v>27</v>
      </c>
      <c r="C37" s="35">
        <v>95</v>
      </c>
      <c r="D37" s="74">
        <v>16</v>
      </c>
      <c r="E37" s="99">
        <v>95</v>
      </c>
      <c r="F37" s="14">
        <v>275</v>
      </c>
      <c r="G37" s="35">
        <v>95</v>
      </c>
      <c r="H37" s="35">
        <v>11</v>
      </c>
      <c r="I37" s="35">
        <v>50</v>
      </c>
      <c r="N37" s="116">
        <v>22</v>
      </c>
      <c r="O37" s="35">
        <v>95</v>
      </c>
      <c r="P37" s="74">
        <v>13</v>
      </c>
      <c r="Q37" s="99">
        <v>95</v>
      </c>
      <c r="R37" s="14">
        <v>227</v>
      </c>
      <c r="S37" s="35">
        <v>95</v>
      </c>
      <c r="T37" s="35">
        <v>12</v>
      </c>
      <c r="U37" s="35">
        <v>50</v>
      </c>
    </row>
    <row r="38" spans="1:21" s="14" customFormat="1">
      <c r="B38" s="34">
        <v>29</v>
      </c>
      <c r="C38" s="35">
        <v>100</v>
      </c>
      <c r="D38" s="74">
        <v>17</v>
      </c>
      <c r="E38" s="99">
        <v>100</v>
      </c>
      <c r="F38" s="14">
        <v>280</v>
      </c>
      <c r="G38" s="35">
        <v>100</v>
      </c>
      <c r="H38" s="35">
        <v>11.3</v>
      </c>
      <c r="I38" s="120">
        <v>23</v>
      </c>
      <c r="N38" s="116">
        <v>24</v>
      </c>
      <c r="O38" s="35">
        <v>100</v>
      </c>
      <c r="P38" s="74">
        <v>14</v>
      </c>
      <c r="Q38" s="99">
        <v>100</v>
      </c>
      <c r="R38" s="14">
        <v>230</v>
      </c>
      <c r="S38" s="35">
        <v>100</v>
      </c>
      <c r="T38" s="35">
        <v>12.3</v>
      </c>
      <c r="U38" s="120">
        <v>23</v>
      </c>
    </row>
    <row r="39" spans="1:21" s="14" customFormat="1">
      <c r="B39" s="34"/>
    </row>
    <row r="40" spans="1:21" s="14" customFormat="1">
      <c r="A40" s="14" t="s">
        <v>388</v>
      </c>
      <c r="B40" s="34" t="s">
        <v>448</v>
      </c>
      <c r="C40" s="14" t="s">
        <v>471</v>
      </c>
      <c r="D40" s="14" t="s">
        <v>426</v>
      </c>
      <c r="E40" s="14" t="s">
        <v>471</v>
      </c>
      <c r="F40" s="305" t="s">
        <v>457</v>
      </c>
      <c r="G40" s="305" t="s">
        <v>471</v>
      </c>
      <c r="H40" s="305" t="s">
        <v>335</v>
      </c>
      <c r="I40" s="305" t="s">
        <v>471</v>
      </c>
      <c r="N40" s="34" t="s">
        <v>448</v>
      </c>
      <c r="O40" s="14" t="s">
        <v>471</v>
      </c>
      <c r="P40" s="14" t="s">
        <v>426</v>
      </c>
      <c r="Q40" s="14" t="s">
        <v>471</v>
      </c>
      <c r="R40" s="305" t="s">
        <v>457</v>
      </c>
      <c r="S40" s="305" t="s">
        <v>471</v>
      </c>
      <c r="T40" s="305" t="s">
        <v>335</v>
      </c>
      <c r="U40" s="305" t="s">
        <v>471</v>
      </c>
    </row>
    <row r="41" spans="1:21" s="14" customFormat="1">
      <c r="B41" s="56">
        <v>0</v>
      </c>
      <c r="C41" s="14">
        <v>69</v>
      </c>
      <c r="D41" s="28">
        <v>0</v>
      </c>
      <c r="E41" s="99">
        <v>68</v>
      </c>
      <c r="F41" s="305">
        <v>0</v>
      </c>
      <c r="G41" s="188">
        <v>133</v>
      </c>
      <c r="H41" s="305">
        <v>0</v>
      </c>
      <c r="I41" s="188">
        <v>68</v>
      </c>
      <c r="N41" s="34">
        <v>0</v>
      </c>
      <c r="O41" s="14">
        <v>69</v>
      </c>
      <c r="P41" s="28">
        <v>0</v>
      </c>
      <c r="Q41" s="99">
        <v>68</v>
      </c>
      <c r="R41" s="305">
        <v>0</v>
      </c>
      <c r="S41" s="188">
        <v>133</v>
      </c>
      <c r="T41" s="305">
        <v>0</v>
      </c>
      <c r="U41" s="188">
        <v>68</v>
      </c>
    </row>
    <row r="42" spans="1:21" s="14" customFormat="1">
      <c r="A42" s="375" t="s">
        <v>214</v>
      </c>
      <c r="B42" s="56">
        <v>220</v>
      </c>
      <c r="C42" s="14">
        <v>74</v>
      </c>
      <c r="D42" s="74">
        <v>39</v>
      </c>
      <c r="E42" s="99">
        <v>73</v>
      </c>
      <c r="F42" s="308">
        <v>8.3000000000000007</v>
      </c>
      <c r="G42" s="188">
        <v>128</v>
      </c>
      <c r="H42" s="305">
        <v>32</v>
      </c>
      <c r="I42" s="188">
        <v>73</v>
      </c>
      <c r="N42" s="56">
        <v>194</v>
      </c>
      <c r="O42" s="14">
        <v>74</v>
      </c>
      <c r="P42" s="74">
        <v>34</v>
      </c>
      <c r="Q42" s="99">
        <v>73</v>
      </c>
      <c r="R42" s="308">
        <v>9.3000000000000007</v>
      </c>
      <c r="S42" s="188">
        <v>128</v>
      </c>
      <c r="T42" s="305">
        <v>24</v>
      </c>
      <c r="U42" s="188">
        <v>73</v>
      </c>
    </row>
    <row r="43" spans="1:21" s="14" customFormat="1">
      <c r="B43" s="56">
        <v>225</v>
      </c>
      <c r="C43" s="54">
        <v>79</v>
      </c>
      <c r="D43" s="74">
        <v>42</v>
      </c>
      <c r="E43" s="99">
        <v>78</v>
      </c>
      <c r="F43" s="308">
        <v>8.6</v>
      </c>
      <c r="G43" s="188">
        <v>123</v>
      </c>
      <c r="H43" s="305">
        <v>34</v>
      </c>
      <c r="I43" s="188">
        <v>78</v>
      </c>
      <c r="N43" s="56">
        <v>197</v>
      </c>
      <c r="O43" s="54">
        <v>79</v>
      </c>
      <c r="P43" s="74">
        <v>37</v>
      </c>
      <c r="Q43" s="99">
        <v>78</v>
      </c>
      <c r="R43" s="308">
        <v>9.6</v>
      </c>
      <c r="S43" s="188">
        <v>123</v>
      </c>
      <c r="T43" s="305">
        <v>26</v>
      </c>
      <c r="U43" s="188">
        <v>78</v>
      </c>
    </row>
    <row r="44" spans="1:21" s="14" customFormat="1">
      <c r="B44" s="56">
        <v>230</v>
      </c>
      <c r="C44" s="54">
        <v>84</v>
      </c>
      <c r="D44" s="74">
        <v>45</v>
      </c>
      <c r="E44" s="99">
        <v>83</v>
      </c>
      <c r="F44" s="308">
        <v>8.9</v>
      </c>
      <c r="G44" s="188">
        <v>118</v>
      </c>
      <c r="H44" s="305">
        <v>36</v>
      </c>
      <c r="I44" s="188">
        <v>83</v>
      </c>
      <c r="N44" s="56">
        <v>200</v>
      </c>
      <c r="O44" s="54">
        <v>84</v>
      </c>
      <c r="P44" s="74">
        <v>40</v>
      </c>
      <c r="Q44" s="99">
        <v>83</v>
      </c>
      <c r="R44" s="308">
        <v>9.8999999999999986</v>
      </c>
      <c r="S44" s="188">
        <v>118</v>
      </c>
      <c r="T44" s="305">
        <v>28</v>
      </c>
      <c r="U44" s="188">
        <v>83</v>
      </c>
    </row>
    <row r="45" spans="1:21" s="14" customFormat="1">
      <c r="B45" s="56">
        <v>235</v>
      </c>
      <c r="C45" s="54">
        <v>89</v>
      </c>
      <c r="D45" s="74">
        <v>48</v>
      </c>
      <c r="E45" s="99">
        <v>88</v>
      </c>
      <c r="F45" s="308">
        <v>9.1999999999999993</v>
      </c>
      <c r="G45" s="188">
        <v>113</v>
      </c>
      <c r="H45" s="305">
        <v>38</v>
      </c>
      <c r="I45" s="188">
        <v>88</v>
      </c>
      <c r="N45" s="56">
        <v>203</v>
      </c>
      <c r="O45" s="54">
        <v>89</v>
      </c>
      <c r="P45" s="74">
        <v>43</v>
      </c>
      <c r="Q45" s="99">
        <v>88</v>
      </c>
      <c r="R45" s="308">
        <v>10.199999999999998</v>
      </c>
      <c r="S45" s="188">
        <v>113</v>
      </c>
      <c r="T45" s="305">
        <v>30</v>
      </c>
      <c r="U45" s="188">
        <v>88</v>
      </c>
    </row>
    <row r="46" spans="1:21" s="14" customFormat="1">
      <c r="B46" s="56">
        <v>240</v>
      </c>
      <c r="C46" s="54">
        <v>94</v>
      </c>
      <c r="D46" s="74">
        <v>51</v>
      </c>
      <c r="E46" s="99">
        <v>93</v>
      </c>
      <c r="F46" s="308">
        <v>9.4999999999999982</v>
      </c>
      <c r="G46" s="188">
        <v>108</v>
      </c>
      <c r="H46" s="305">
        <v>40</v>
      </c>
      <c r="I46" s="188">
        <v>93</v>
      </c>
      <c r="N46" s="56">
        <v>206</v>
      </c>
      <c r="O46" s="54">
        <v>94</v>
      </c>
      <c r="P46" s="74">
        <v>46</v>
      </c>
      <c r="Q46" s="99">
        <v>93</v>
      </c>
      <c r="R46" s="308">
        <v>10.499999999999996</v>
      </c>
      <c r="S46" s="188">
        <v>108</v>
      </c>
      <c r="T46" s="305">
        <v>32</v>
      </c>
      <c r="U46" s="188">
        <v>93</v>
      </c>
    </row>
    <row r="47" spans="1:21" s="14" customFormat="1">
      <c r="B47" s="56">
        <v>245</v>
      </c>
      <c r="C47" s="54">
        <v>99</v>
      </c>
      <c r="D47" s="74">
        <v>54</v>
      </c>
      <c r="E47" s="99">
        <v>98</v>
      </c>
      <c r="F47" s="308">
        <v>9.7999999999999972</v>
      </c>
      <c r="G47" s="188">
        <v>103</v>
      </c>
      <c r="H47" s="305">
        <v>42</v>
      </c>
      <c r="I47" s="188">
        <v>98</v>
      </c>
      <c r="N47" s="56">
        <v>209</v>
      </c>
      <c r="O47" s="54">
        <v>99</v>
      </c>
      <c r="P47" s="74">
        <v>49</v>
      </c>
      <c r="Q47" s="99">
        <v>98</v>
      </c>
      <c r="R47" s="308">
        <v>10.799999999999995</v>
      </c>
      <c r="S47" s="188">
        <v>103</v>
      </c>
      <c r="T47" s="305">
        <v>34</v>
      </c>
      <c r="U47" s="188">
        <v>98</v>
      </c>
    </row>
    <row r="48" spans="1:21" s="14" customFormat="1">
      <c r="B48" s="56">
        <v>250</v>
      </c>
      <c r="C48" s="54">
        <v>104</v>
      </c>
      <c r="D48" s="74">
        <v>57</v>
      </c>
      <c r="E48" s="99">
        <v>103</v>
      </c>
      <c r="F48" s="308">
        <v>10.099999999999996</v>
      </c>
      <c r="G48" s="188">
        <v>98</v>
      </c>
      <c r="H48" s="305">
        <v>44</v>
      </c>
      <c r="I48" s="188">
        <v>103</v>
      </c>
      <c r="N48" s="56">
        <v>212</v>
      </c>
      <c r="O48" s="54">
        <v>104</v>
      </c>
      <c r="P48" s="74">
        <v>52</v>
      </c>
      <c r="Q48" s="99">
        <v>103</v>
      </c>
      <c r="R48" s="308">
        <v>11.099999999999994</v>
      </c>
      <c r="S48" s="188">
        <v>98</v>
      </c>
      <c r="T48" s="305">
        <v>36</v>
      </c>
      <c r="U48" s="188">
        <v>103</v>
      </c>
    </row>
    <row r="49" spans="1:25" s="14" customFormat="1">
      <c r="B49" s="56">
        <v>255</v>
      </c>
      <c r="C49" s="54">
        <v>109</v>
      </c>
      <c r="D49" s="74">
        <v>60</v>
      </c>
      <c r="E49" s="99">
        <v>108</v>
      </c>
      <c r="F49" s="308">
        <v>10.399999999999995</v>
      </c>
      <c r="G49" s="188">
        <v>93</v>
      </c>
      <c r="H49" s="305">
        <v>46</v>
      </c>
      <c r="I49" s="188">
        <v>108</v>
      </c>
      <c r="N49" s="56">
        <v>215</v>
      </c>
      <c r="O49" s="54">
        <v>109</v>
      </c>
      <c r="P49" s="74">
        <v>55</v>
      </c>
      <c r="Q49" s="99">
        <v>108</v>
      </c>
      <c r="R49" s="308">
        <v>11.399999999999993</v>
      </c>
      <c r="S49" s="188">
        <v>93</v>
      </c>
      <c r="T49" s="305">
        <v>38</v>
      </c>
      <c r="U49" s="188">
        <v>108</v>
      </c>
    </row>
    <row r="50" spans="1:25" s="14" customFormat="1">
      <c r="B50" s="56">
        <v>260</v>
      </c>
      <c r="C50" s="54">
        <v>114</v>
      </c>
      <c r="D50" s="74">
        <v>63</v>
      </c>
      <c r="E50" s="99">
        <v>113</v>
      </c>
      <c r="F50" s="308">
        <v>10.699999999999994</v>
      </c>
      <c r="G50" s="188">
        <v>88</v>
      </c>
      <c r="H50" s="305">
        <v>48</v>
      </c>
      <c r="I50" s="188">
        <v>113</v>
      </c>
      <c r="N50" s="56">
        <v>218</v>
      </c>
      <c r="O50" s="54">
        <v>114</v>
      </c>
      <c r="P50" s="74">
        <v>58</v>
      </c>
      <c r="Q50" s="99">
        <v>113</v>
      </c>
      <c r="R50" s="308">
        <v>11.699999999999992</v>
      </c>
      <c r="S50" s="188">
        <v>88</v>
      </c>
      <c r="T50" s="305">
        <v>40</v>
      </c>
      <c r="U50" s="188">
        <v>113</v>
      </c>
    </row>
    <row r="51" spans="1:25" s="14" customFormat="1">
      <c r="B51" s="56">
        <v>265</v>
      </c>
      <c r="C51" s="54">
        <v>119</v>
      </c>
      <c r="D51" s="74">
        <v>66</v>
      </c>
      <c r="E51" s="99">
        <v>118</v>
      </c>
      <c r="F51" s="308">
        <v>10.999999999999993</v>
      </c>
      <c r="G51" s="188">
        <v>83</v>
      </c>
      <c r="H51" s="305">
        <v>50</v>
      </c>
      <c r="I51" s="188">
        <v>118</v>
      </c>
      <c r="N51" s="56">
        <v>221</v>
      </c>
      <c r="O51" s="54">
        <v>119</v>
      </c>
      <c r="P51" s="74">
        <v>61</v>
      </c>
      <c r="Q51" s="99">
        <v>118</v>
      </c>
      <c r="R51" s="308">
        <v>11.999999999999991</v>
      </c>
      <c r="S51" s="188">
        <v>83</v>
      </c>
      <c r="T51" s="305">
        <v>42</v>
      </c>
      <c r="U51" s="188">
        <v>118</v>
      </c>
    </row>
    <row r="52" spans="1:25" s="14" customFormat="1">
      <c r="B52" s="56">
        <v>270</v>
      </c>
      <c r="C52" s="54">
        <v>124</v>
      </c>
      <c r="D52" s="74">
        <v>69</v>
      </c>
      <c r="E52" s="99">
        <v>123</v>
      </c>
      <c r="F52" s="308">
        <v>11.299999999999992</v>
      </c>
      <c r="G52" s="188">
        <v>78</v>
      </c>
      <c r="H52" s="305">
        <v>52</v>
      </c>
      <c r="I52" s="188">
        <v>123</v>
      </c>
      <c r="N52" s="56">
        <v>224</v>
      </c>
      <c r="O52" s="54">
        <v>124</v>
      </c>
      <c r="P52" s="74">
        <v>64</v>
      </c>
      <c r="Q52" s="99">
        <v>123</v>
      </c>
      <c r="R52" s="308">
        <v>12.29999999999999</v>
      </c>
      <c r="S52" s="188">
        <v>78</v>
      </c>
      <c r="T52" s="305">
        <v>44</v>
      </c>
      <c r="U52" s="188">
        <v>123</v>
      </c>
    </row>
    <row r="53" spans="1:25" s="14" customFormat="1">
      <c r="B53" s="56">
        <v>275</v>
      </c>
      <c r="C53" s="54">
        <v>129</v>
      </c>
      <c r="D53" s="74">
        <v>72</v>
      </c>
      <c r="E53" s="99">
        <v>128</v>
      </c>
      <c r="F53" s="308">
        <v>11.599999999999991</v>
      </c>
      <c r="G53" s="188">
        <v>73</v>
      </c>
      <c r="H53" s="305">
        <v>54</v>
      </c>
      <c r="I53" s="188">
        <v>128</v>
      </c>
      <c r="N53" s="56">
        <v>227</v>
      </c>
      <c r="O53" s="54">
        <v>129</v>
      </c>
      <c r="P53" s="74">
        <v>67</v>
      </c>
      <c r="Q53" s="99">
        <v>128</v>
      </c>
      <c r="R53" s="308">
        <v>12.599999999999989</v>
      </c>
      <c r="S53" s="188">
        <v>73</v>
      </c>
      <c r="T53" s="305">
        <v>46</v>
      </c>
      <c r="U53" s="188">
        <v>128</v>
      </c>
    </row>
    <row r="54" spans="1:25" s="14" customFormat="1">
      <c r="B54" s="56">
        <v>280</v>
      </c>
      <c r="C54" s="54">
        <v>134</v>
      </c>
      <c r="D54" s="74">
        <v>75</v>
      </c>
      <c r="E54" s="99">
        <v>133</v>
      </c>
      <c r="F54" s="308">
        <v>11.9</v>
      </c>
      <c r="G54" s="188">
        <v>68</v>
      </c>
      <c r="H54" s="305">
        <v>56</v>
      </c>
      <c r="I54" s="188">
        <v>133</v>
      </c>
      <c r="N54" s="56">
        <v>230</v>
      </c>
      <c r="O54" s="54">
        <v>134</v>
      </c>
      <c r="P54" s="74">
        <v>70</v>
      </c>
      <c r="Q54" s="99">
        <v>133</v>
      </c>
      <c r="R54" s="308">
        <v>12.899999999999988</v>
      </c>
      <c r="S54" s="188">
        <v>68</v>
      </c>
      <c r="T54" s="305">
        <v>48</v>
      </c>
      <c r="U54" s="188">
        <v>133</v>
      </c>
    </row>
    <row r="55" spans="1:25" s="14" customFormat="1">
      <c r="A55" s="14" t="s">
        <v>383</v>
      </c>
      <c r="B55" s="449" t="s">
        <v>629</v>
      </c>
      <c r="C55" s="14" t="s">
        <v>471</v>
      </c>
      <c r="D55" s="447" t="s">
        <v>452</v>
      </c>
      <c r="E55" s="447" t="s">
        <v>471</v>
      </c>
      <c r="F55" s="447" t="s">
        <v>457</v>
      </c>
      <c r="G55" s="447" t="s">
        <v>471</v>
      </c>
      <c r="I55" s="305" t="s">
        <v>426</v>
      </c>
      <c r="J55" s="305" t="s">
        <v>471</v>
      </c>
      <c r="K55" s="34" t="s">
        <v>448</v>
      </c>
      <c r="L55" s="305" t="s">
        <v>452</v>
      </c>
      <c r="N55" s="34" t="s">
        <v>448</v>
      </c>
      <c r="O55" s="447" t="s">
        <v>471</v>
      </c>
      <c r="P55" s="447" t="s">
        <v>452</v>
      </c>
      <c r="Q55" s="447" t="s">
        <v>471</v>
      </c>
      <c r="R55" s="447" t="s">
        <v>457</v>
      </c>
      <c r="S55" s="447" t="s">
        <v>471</v>
      </c>
      <c r="T55" s="305" t="s">
        <v>426</v>
      </c>
      <c r="U55" s="305" t="s">
        <v>471</v>
      </c>
      <c r="X55" s="34" t="s">
        <v>448</v>
      </c>
      <c r="Y55" s="305" t="s">
        <v>452</v>
      </c>
    </row>
    <row r="56" spans="1:25" s="14" customFormat="1">
      <c r="A56" s="94" t="s">
        <v>143</v>
      </c>
      <c r="B56" s="116">
        <v>0</v>
      </c>
      <c r="C56" s="99">
        <v>69</v>
      </c>
      <c r="D56" s="308">
        <v>0</v>
      </c>
      <c r="E56" s="448">
        <v>68</v>
      </c>
      <c r="F56" s="447">
        <v>0</v>
      </c>
      <c r="G56" s="448">
        <v>133</v>
      </c>
      <c r="I56" s="305">
        <v>0</v>
      </c>
      <c r="J56" s="188">
        <v>68</v>
      </c>
      <c r="K56" s="116">
        <v>0</v>
      </c>
      <c r="L56" s="305">
        <v>0</v>
      </c>
      <c r="N56" s="187">
        <v>0</v>
      </c>
      <c r="O56" s="188">
        <v>69</v>
      </c>
      <c r="P56" s="308">
        <v>0</v>
      </c>
      <c r="Q56" s="448">
        <v>68</v>
      </c>
      <c r="R56" s="447">
        <v>0</v>
      </c>
      <c r="S56" s="448">
        <v>133</v>
      </c>
      <c r="T56" s="305">
        <v>0</v>
      </c>
      <c r="U56" s="188">
        <v>68</v>
      </c>
      <c r="X56" s="34">
        <v>0</v>
      </c>
      <c r="Y56" s="305">
        <v>0</v>
      </c>
    </row>
    <row r="57" spans="1:25" s="14" customFormat="1">
      <c r="A57" s="94" t="s">
        <v>141</v>
      </c>
      <c r="B57" s="187">
        <v>230</v>
      </c>
      <c r="C57" s="99">
        <v>74</v>
      </c>
      <c r="D57" s="308">
        <v>7.2</v>
      </c>
      <c r="E57" s="448">
        <v>73</v>
      </c>
      <c r="F57" s="447">
        <v>8.3000000000000007</v>
      </c>
      <c r="G57" s="448">
        <v>128</v>
      </c>
      <c r="I57" s="308">
        <v>39</v>
      </c>
      <c r="J57" s="188">
        <v>73</v>
      </c>
      <c r="K57" s="117">
        <v>220</v>
      </c>
      <c r="L57" s="308">
        <v>6.2</v>
      </c>
      <c r="N57" s="187">
        <v>199</v>
      </c>
      <c r="O57" s="188">
        <v>74</v>
      </c>
      <c r="P57" s="308">
        <v>4.7</v>
      </c>
      <c r="Q57" s="448">
        <v>73</v>
      </c>
      <c r="R57" s="447">
        <v>9.3000000000000007</v>
      </c>
      <c r="S57" s="448">
        <v>128</v>
      </c>
      <c r="T57" s="308">
        <v>34</v>
      </c>
      <c r="U57" s="188">
        <v>73</v>
      </c>
      <c r="X57" s="34">
        <v>194</v>
      </c>
      <c r="Y57" s="308">
        <v>4.2</v>
      </c>
    </row>
    <row r="58" spans="1:25" s="14" customFormat="1">
      <c r="A58" s="94" t="s">
        <v>379</v>
      </c>
      <c r="B58" s="187">
        <v>235</v>
      </c>
      <c r="C58" s="99">
        <v>79</v>
      </c>
      <c r="D58" s="308">
        <v>7.6</v>
      </c>
      <c r="E58" s="448">
        <v>78</v>
      </c>
      <c r="F58" s="447">
        <v>8.6</v>
      </c>
      <c r="G58" s="448">
        <v>123</v>
      </c>
      <c r="I58" s="308">
        <v>42</v>
      </c>
      <c r="J58" s="188">
        <v>78</v>
      </c>
      <c r="K58" s="117">
        <v>225</v>
      </c>
      <c r="L58" s="308">
        <v>6.6</v>
      </c>
      <c r="N58" s="187">
        <v>202</v>
      </c>
      <c r="O58" s="188">
        <v>79</v>
      </c>
      <c r="P58" s="308">
        <v>5.0999999999999996</v>
      </c>
      <c r="Q58" s="448">
        <v>78</v>
      </c>
      <c r="R58" s="447">
        <v>9.6</v>
      </c>
      <c r="S58" s="448">
        <v>123</v>
      </c>
      <c r="T58" s="308">
        <v>37</v>
      </c>
      <c r="U58" s="188">
        <v>78</v>
      </c>
      <c r="X58" s="34">
        <v>197</v>
      </c>
      <c r="Y58" s="308">
        <v>4.5999999999999996</v>
      </c>
    </row>
    <row r="59" spans="1:25" s="14" customFormat="1">
      <c r="A59" s="94" t="s">
        <v>299</v>
      </c>
      <c r="B59" s="187">
        <v>240</v>
      </c>
      <c r="C59" s="99">
        <v>84</v>
      </c>
      <c r="D59" s="308">
        <v>8</v>
      </c>
      <c r="E59" s="448">
        <v>83</v>
      </c>
      <c r="F59" s="447">
        <v>8.9</v>
      </c>
      <c r="G59" s="448">
        <v>118</v>
      </c>
      <c r="I59" s="308">
        <v>45</v>
      </c>
      <c r="J59" s="188">
        <v>83</v>
      </c>
      <c r="K59" s="117">
        <v>230</v>
      </c>
      <c r="L59" s="308">
        <v>7</v>
      </c>
      <c r="N59" s="187">
        <v>205</v>
      </c>
      <c r="O59" s="188">
        <v>84</v>
      </c>
      <c r="P59" s="308">
        <v>5.5</v>
      </c>
      <c r="Q59" s="448">
        <v>83</v>
      </c>
      <c r="R59" s="447">
        <v>9.8999999999999986</v>
      </c>
      <c r="S59" s="448">
        <v>118</v>
      </c>
      <c r="T59" s="308">
        <v>40</v>
      </c>
      <c r="U59" s="188">
        <v>83</v>
      </c>
      <c r="X59" s="34">
        <v>200</v>
      </c>
      <c r="Y59" s="308">
        <v>5</v>
      </c>
    </row>
    <row r="60" spans="1:25" s="14" customFormat="1">
      <c r="A60" s="94" t="s">
        <v>585</v>
      </c>
      <c r="B60" s="187">
        <v>245</v>
      </c>
      <c r="C60" s="99">
        <v>89</v>
      </c>
      <c r="D60" s="308">
        <v>8.4</v>
      </c>
      <c r="E60" s="448">
        <v>88</v>
      </c>
      <c r="F60" s="447">
        <v>9.1999999999999993</v>
      </c>
      <c r="G60" s="448">
        <v>113</v>
      </c>
      <c r="I60" s="308">
        <v>48</v>
      </c>
      <c r="J60" s="188">
        <v>88</v>
      </c>
      <c r="K60" s="117">
        <v>235</v>
      </c>
      <c r="L60" s="308">
        <v>7.4</v>
      </c>
      <c r="N60" s="187">
        <v>208</v>
      </c>
      <c r="O60" s="188">
        <v>89</v>
      </c>
      <c r="P60" s="308">
        <v>5.9</v>
      </c>
      <c r="Q60" s="448">
        <v>88</v>
      </c>
      <c r="R60" s="447">
        <v>10.199999999999998</v>
      </c>
      <c r="S60" s="448">
        <v>113</v>
      </c>
      <c r="T60" s="308">
        <v>43</v>
      </c>
      <c r="U60" s="188">
        <v>88</v>
      </c>
      <c r="X60" s="34">
        <v>203</v>
      </c>
      <c r="Y60" s="308">
        <v>5.4</v>
      </c>
    </row>
    <row r="61" spans="1:25" s="14" customFormat="1">
      <c r="B61" s="187">
        <v>250</v>
      </c>
      <c r="C61" s="99">
        <v>94</v>
      </c>
      <c r="D61" s="308">
        <v>8.8000000000000007</v>
      </c>
      <c r="E61" s="448">
        <v>93</v>
      </c>
      <c r="F61" s="447">
        <v>9.4999999999999982</v>
      </c>
      <c r="G61" s="448">
        <v>108</v>
      </c>
      <c r="I61" s="308">
        <v>51</v>
      </c>
      <c r="J61" s="188">
        <v>93</v>
      </c>
      <c r="K61" s="117">
        <v>240</v>
      </c>
      <c r="L61" s="308">
        <v>7.8</v>
      </c>
      <c r="N61" s="187">
        <v>211</v>
      </c>
      <c r="O61" s="188">
        <v>94</v>
      </c>
      <c r="P61" s="308">
        <v>6.3</v>
      </c>
      <c r="Q61" s="448">
        <v>93</v>
      </c>
      <c r="R61" s="447">
        <v>10.499999999999996</v>
      </c>
      <c r="S61" s="448">
        <v>108</v>
      </c>
      <c r="T61" s="308">
        <v>46</v>
      </c>
      <c r="U61" s="188">
        <v>93</v>
      </c>
      <c r="X61" s="34">
        <v>206</v>
      </c>
      <c r="Y61" s="308">
        <v>5.8</v>
      </c>
    </row>
    <row r="62" spans="1:25" s="14" customFormat="1">
      <c r="A62" s="184" t="s">
        <v>517</v>
      </c>
      <c r="B62" s="187">
        <v>255</v>
      </c>
      <c r="C62" s="99">
        <v>99</v>
      </c>
      <c r="D62" s="308">
        <v>9.1999999999999993</v>
      </c>
      <c r="E62" s="448">
        <v>98</v>
      </c>
      <c r="F62" s="447">
        <v>9.7999999999999972</v>
      </c>
      <c r="G62" s="448">
        <v>103</v>
      </c>
      <c r="I62" s="308">
        <v>54</v>
      </c>
      <c r="J62" s="188">
        <v>98</v>
      </c>
      <c r="K62" s="117">
        <v>245</v>
      </c>
      <c r="L62" s="308">
        <v>8.1999999999999993</v>
      </c>
      <c r="N62" s="187">
        <v>214</v>
      </c>
      <c r="O62" s="188">
        <v>99</v>
      </c>
      <c r="P62" s="308">
        <v>6.7</v>
      </c>
      <c r="Q62" s="448">
        <v>98</v>
      </c>
      <c r="R62" s="447">
        <v>10.799999999999995</v>
      </c>
      <c r="S62" s="448">
        <v>103</v>
      </c>
      <c r="T62" s="308">
        <v>49</v>
      </c>
      <c r="U62" s="188">
        <v>98</v>
      </c>
      <c r="X62" s="34">
        <v>209</v>
      </c>
      <c r="Y62" s="308">
        <v>6.2</v>
      </c>
    </row>
    <row r="63" spans="1:25" s="14" customFormat="1">
      <c r="A63" s="184" t="s">
        <v>54</v>
      </c>
      <c r="B63" s="187">
        <v>260</v>
      </c>
      <c r="C63" s="99">
        <v>104</v>
      </c>
      <c r="D63" s="308">
        <v>9.6</v>
      </c>
      <c r="E63" s="448">
        <v>103</v>
      </c>
      <c r="F63" s="447">
        <v>10.099999999999996</v>
      </c>
      <c r="G63" s="448">
        <v>98</v>
      </c>
      <c r="I63" s="308">
        <v>57</v>
      </c>
      <c r="J63" s="188">
        <v>103</v>
      </c>
      <c r="K63" s="117">
        <v>250</v>
      </c>
      <c r="L63" s="308">
        <v>8.6</v>
      </c>
      <c r="N63" s="187">
        <v>217</v>
      </c>
      <c r="O63" s="188">
        <v>104</v>
      </c>
      <c r="P63" s="308">
        <v>7.1</v>
      </c>
      <c r="Q63" s="448">
        <v>103</v>
      </c>
      <c r="R63" s="447">
        <v>11.099999999999994</v>
      </c>
      <c r="S63" s="448">
        <v>98</v>
      </c>
      <c r="T63" s="308">
        <v>52</v>
      </c>
      <c r="U63" s="188">
        <v>103</v>
      </c>
      <c r="X63" s="34">
        <v>212</v>
      </c>
      <c r="Y63" s="308">
        <v>6.6</v>
      </c>
    </row>
    <row r="64" spans="1:25" s="14" customFormat="1">
      <c r="A64" s="184" t="s">
        <v>628</v>
      </c>
      <c r="B64" s="187">
        <v>265</v>
      </c>
      <c r="C64" s="99">
        <v>109</v>
      </c>
      <c r="D64" s="308">
        <v>10</v>
      </c>
      <c r="E64" s="448">
        <v>108</v>
      </c>
      <c r="F64" s="447">
        <v>10.399999999999995</v>
      </c>
      <c r="G64" s="448">
        <v>93</v>
      </c>
      <c r="I64" s="308">
        <v>60</v>
      </c>
      <c r="J64" s="188">
        <v>108</v>
      </c>
      <c r="K64" s="117">
        <v>255</v>
      </c>
      <c r="L64" s="308">
        <v>9</v>
      </c>
      <c r="N64" s="187">
        <v>220</v>
      </c>
      <c r="O64" s="188">
        <v>109</v>
      </c>
      <c r="P64" s="308">
        <v>7.5</v>
      </c>
      <c r="Q64" s="448">
        <v>108</v>
      </c>
      <c r="R64" s="447">
        <v>11.399999999999993</v>
      </c>
      <c r="S64" s="448">
        <v>93</v>
      </c>
      <c r="T64" s="308">
        <v>55</v>
      </c>
      <c r="U64" s="188">
        <v>108</v>
      </c>
      <c r="X64" s="34">
        <v>215</v>
      </c>
      <c r="Y64" s="308">
        <v>7</v>
      </c>
    </row>
    <row r="65" spans="1:26" s="14" customFormat="1">
      <c r="B65" s="187">
        <v>270</v>
      </c>
      <c r="C65" s="99">
        <v>114</v>
      </c>
      <c r="D65" s="308">
        <v>10.4</v>
      </c>
      <c r="E65" s="448">
        <v>113</v>
      </c>
      <c r="F65" s="447">
        <v>10.699999999999994</v>
      </c>
      <c r="G65" s="448">
        <v>88</v>
      </c>
      <c r="I65" s="308">
        <v>63</v>
      </c>
      <c r="J65" s="188">
        <v>113</v>
      </c>
      <c r="K65" s="117">
        <v>260</v>
      </c>
      <c r="L65" s="308">
        <v>9.4</v>
      </c>
      <c r="N65" s="187">
        <v>223</v>
      </c>
      <c r="O65" s="188">
        <v>114</v>
      </c>
      <c r="P65" s="308">
        <v>7.9</v>
      </c>
      <c r="Q65" s="448">
        <v>113</v>
      </c>
      <c r="R65" s="447">
        <v>11.699999999999992</v>
      </c>
      <c r="S65" s="448">
        <v>88</v>
      </c>
      <c r="T65" s="308">
        <v>58</v>
      </c>
      <c r="U65" s="188">
        <v>113</v>
      </c>
      <c r="X65" s="34">
        <v>218</v>
      </c>
      <c r="Y65" s="308">
        <v>7.4</v>
      </c>
    </row>
    <row r="66" spans="1:26" s="14" customFormat="1">
      <c r="B66" s="187">
        <v>275</v>
      </c>
      <c r="C66" s="99">
        <v>119</v>
      </c>
      <c r="D66" s="308">
        <v>10.8</v>
      </c>
      <c r="E66" s="448">
        <v>118</v>
      </c>
      <c r="F66" s="447">
        <v>10.999999999999993</v>
      </c>
      <c r="G66" s="448">
        <v>83</v>
      </c>
      <c r="I66" s="308">
        <v>66</v>
      </c>
      <c r="J66" s="188">
        <v>118</v>
      </c>
      <c r="K66" s="117">
        <v>265</v>
      </c>
      <c r="L66" s="308">
        <v>9.8000000000000007</v>
      </c>
      <c r="N66" s="187">
        <v>226</v>
      </c>
      <c r="O66" s="188">
        <v>119</v>
      </c>
      <c r="P66" s="308">
        <v>8.3000000000000007</v>
      </c>
      <c r="Q66" s="448">
        <v>118</v>
      </c>
      <c r="R66" s="447">
        <v>11.999999999999991</v>
      </c>
      <c r="S66" s="448">
        <v>83</v>
      </c>
      <c r="T66" s="308">
        <v>61</v>
      </c>
      <c r="U66" s="188">
        <v>118</v>
      </c>
      <c r="X66" s="34">
        <v>221</v>
      </c>
      <c r="Y66" s="308">
        <v>7.8</v>
      </c>
    </row>
    <row r="67" spans="1:26" s="14" customFormat="1">
      <c r="B67" s="187">
        <v>280</v>
      </c>
      <c r="C67" s="99">
        <v>124</v>
      </c>
      <c r="D67" s="308">
        <v>11.2</v>
      </c>
      <c r="E67" s="448">
        <v>123</v>
      </c>
      <c r="F67" s="447">
        <v>11.299999999999992</v>
      </c>
      <c r="G67" s="448">
        <v>78</v>
      </c>
      <c r="I67" s="308">
        <v>69</v>
      </c>
      <c r="J67" s="188">
        <v>123</v>
      </c>
      <c r="K67" s="117">
        <v>270</v>
      </c>
      <c r="L67" s="308">
        <v>10.199999999999999</v>
      </c>
      <c r="N67" s="187">
        <v>229</v>
      </c>
      <c r="O67" s="188">
        <v>124</v>
      </c>
      <c r="P67" s="308">
        <v>8.6999999999999993</v>
      </c>
      <c r="Q67" s="448">
        <v>123</v>
      </c>
      <c r="R67" s="447">
        <v>12.29999999999999</v>
      </c>
      <c r="S67" s="448">
        <v>78</v>
      </c>
      <c r="T67" s="308">
        <v>64</v>
      </c>
      <c r="U67" s="188">
        <v>123</v>
      </c>
      <c r="X67" s="34">
        <v>224</v>
      </c>
      <c r="Y67" s="308">
        <v>8.1999999999999993</v>
      </c>
    </row>
    <row r="68" spans="1:26" s="14" customFormat="1">
      <c r="B68" s="187">
        <v>285</v>
      </c>
      <c r="C68" s="99">
        <v>129</v>
      </c>
      <c r="D68" s="308">
        <v>11.6</v>
      </c>
      <c r="E68" s="448">
        <v>128</v>
      </c>
      <c r="F68" s="447">
        <v>11.599999999999991</v>
      </c>
      <c r="G68" s="448">
        <v>73</v>
      </c>
      <c r="I68" s="308">
        <v>72</v>
      </c>
      <c r="J68" s="188">
        <v>128</v>
      </c>
      <c r="K68" s="117">
        <v>275</v>
      </c>
      <c r="L68" s="308">
        <v>10.6</v>
      </c>
      <c r="N68" s="187">
        <v>232</v>
      </c>
      <c r="O68" s="188">
        <v>129</v>
      </c>
      <c r="P68" s="308">
        <v>9.1</v>
      </c>
      <c r="Q68" s="448">
        <v>128</v>
      </c>
      <c r="R68" s="447">
        <v>12.599999999999989</v>
      </c>
      <c r="S68" s="448">
        <v>73</v>
      </c>
      <c r="T68" s="308">
        <v>67</v>
      </c>
      <c r="U68" s="188">
        <v>128</v>
      </c>
      <c r="X68" s="34">
        <v>227</v>
      </c>
      <c r="Y68" s="308">
        <v>8.6</v>
      </c>
    </row>
    <row r="69" spans="1:26" s="14" customFormat="1">
      <c r="B69" s="187">
        <v>290</v>
      </c>
      <c r="C69" s="99">
        <v>134</v>
      </c>
      <c r="D69" s="308">
        <v>12</v>
      </c>
      <c r="E69" s="448">
        <v>133</v>
      </c>
      <c r="F69" s="447">
        <v>11.9</v>
      </c>
      <c r="G69" s="448">
        <v>68</v>
      </c>
      <c r="I69" s="308">
        <v>75</v>
      </c>
      <c r="J69" s="188">
        <v>133</v>
      </c>
      <c r="K69" s="117">
        <v>280</v>
      </c>
      <c r="L69" s="308">
        <v>11</v>
      </c>
      <c r="N69" s="187">
        <v>235</v>
      </c>
      <c r="O69" s="188">
        <v>134</v>
      </c>
      <c r="P69" s="308">
        <v>9.5</v>
      </c>
      <c r="Q69" s="448">
        <v>133</v>
      </c>
      <c r="R69" s="447">
        <v>12.899999999999988</v>
      </c>
      <c r="S69" s="448">
        <v>68</v>
      </c>
      <c r="T69" s="308">
        <v>70</v>
      </c>
      <c r="U69" s="188">
        <v>133</v>
      </c>
      <c r="X69" s="34">
        <v>230</v>
      </c>
      <c r="Y69" s="308">
        <v>9</v>
      </c>
    </row>
    <row r="70" spans="1:26"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</row>
    <row r="72" spans="1:26">
      <c r="B72" s="534" t="s">
        <v>486</v>
      </c>
      <c r="C72" s="534"/>
      <c r="D72" s="534"/>
      <c r="E72" s="534"/>
      <c r="F72" s="534"/>
      <c r="G72" s="534"/>
      <c r="H72" s="534"/>
      <c r="I72" s="534"/>
      <c r="J72" s="32"/>
      <c r="K72" s="32"/>
      <c r="L72" s="32"/>
      <c r="M72" s="32"/>
      <c r="N72" s="534" t="s">
        <v>435</v>
      </c>
      <c r="O72" s="534"/>
      <c r="P72" s="534"/>
      <c r="Q72" s="534"/>
      <c r="R72" s="534"/>
      <c r="S72" s="534"/>
      <c r="T72" s="534"/>
      <c r="U72" s="534"/>
      <c r="V72" s="32"/>
      <c r="W72" s="32"/>
    </row>
    <row r="73" spans="1:26">
      <c r="A73" s="25" t="s">
        <v>161</v>
      </c>
      <c r="B73" s="25" t="s">
        <v>457</v>
      </c>
      <c r="C73" s="25" t="s">
        <v>471</v>
      </c>
      <c r="D73" s="25" t="s">
        <v>448</v>
      </c>
      <c r="E73" s="25" t="s">
        <v>471</v>
      </c>
      <c r="F73" s="25" t="s">
        <v>451</v>
      </c>
      <c r="G73" s="25" t="s">
        <v>484</v>
      </c>
      <c r="H73" s="25" t="s">
        <v>452</v>
      </c>
      <c r="I73" s="25" t="s">
        <v>471</v>
      </c>
      <c r="N73" s="25" t="s">
        <v>457</v>
      </c>
      <c r="O73" s="25" t="s">
        <v>471</v>
      </c>
      <c r="P73" s="25" t="s">
        <v>448</v>
      </c>
      <c r="Q73" s="25" t="s">
        <v>471</v>
      </c>
      <c r="R73" s="25" t="s">
        <v>451</v>
      </c>
      <c r="S73" s="25" t="s">
        <v>464</v>
      </c>
      <c r="T73" s="25" t="s">
        <v>452</v>
      </c>
      <c r="U73" s="25" t="s">
        <v>471</v>
      </c>
    </row>
    <row r="74" spans="1:26">
      <c r="B74" s="188">
        <v>0</v>
      </c>
      <c r="C74" s="308">
        <v>240</v>
      </c>
      <c r="H74" s="35"/>
      <c r="J74" s="35">
        <v>0</v>
      </c>
      <c r="K74" s="292">
        <v>220</v>
      </c>
      <c r="L74" s="292">
        <v>0</v>
      </c>
      <c r="M74" s="292"/>
      <c r="N74" s="188">
        <v>0</v>
      </c>
      <c r="O74" s="308">
        <v>240</v>
      </c>
      <c r="P74" s="35"/>
      <c r="R74" s="35"/>
      <c r="T74" s="35"/>
      <c r="W74" s="35">
        <v>0</v>
      </c>
      <c r="X74" s="292">
        <v>220</v>
      </c>
      <c r="Y74" s="35">
        <v>0</v>
      </c>
      <c r="Z74" s="35">
        <v>0</v>
      </c>
    </row>
    <row r="75" spans="1:26">
      <c r="A75" s="119" t="s">
        <v>581</v>
      </c>
      <c r="B75" s="117">
        <v>7.81</v>
      </c>
      <c r="C75" s="308">
        <v>228</v>
      </c>
      <c r="D75" s="6"/>
      <c r="E75" s="6"/>
      <c r="H75" s="35"/>
      <c r="I75" s="6"/>
      <c r="J75" s="34">
        <v>8.01</v>
      </c>
      <c r="K75" s="292">
        <v>217</v>
      </c>
      <c r="L75" s="292">
        <v>248</v>
      </c>
      <c r="M75" s="292"/>
      <c r="N75" s="117">
        <v>8.81</v>
      </c>
      <c r="O75" s="308">
        <v>228</v>
      </c>
      <c r="P75" s="35"/>
      <c r="Q75" s="6"/>
      <c r="R75" s="35"/>
      <c r="T75" s="35"/>
      <c r="U75" s="6"/>
      <c r="W75" s="34">
        <v>9.01</v>
      </c>
      <c r="X75" s="292">
        <v>217</v>
      </c>
      <c r="Y75" s="35">
        <v>198</v>
      </c>
      <c r="Z75" s="35">
        <v>4.0000000000000178</v>
      </c>
    </row>
    <row r="76" spans="1:26">
      <c r="A76" s="119" t="s">
        <v>591</v>
      </c>
      <c r="B76" s="117">
        <v>7.91</v>
      </c>
      <c r="C76" s="308">
        <v>216</v>
      </c>
      <c r="D76" s="292"/>
      <c r="E76" s="6"/>
      <c r="H76" s="35"/>
      <c r="I76" s="6"/>
      <c r="J76" s="34">
        <v>8.11</v>
      </c>
      <c r="K76" s="292">
        <v>213</v>
      </c>
      <c r="L76" s="292">
        <v>250</v>
      </c>
      <c r="M76" s="292"/>
      <c r="N76" s="117">
        <v>8.91</v>
      </c>
      <c r="O76" s="308">
        <v>216</v>
      </c>
      <c r="P76" s="35"/>
      <c r="Q76" s="6"/>
      <c r="R76" s="35"/>
      <c r="T76" s="35"/>
      <c r="U76" s="6"/>
      <c r="W76" s="34">
        <v>9.11</v>
      </c>
      <c r="X76" s="292">
        <v>213</v>
      </c>
      <c r="Y76" s="35">
        <v>200</v>
      </c>
      <c r="Z76" s="35">
        <v>4.2000000000000171</v>
      </c>
    </row>
    <row r="77" spans="1:26">
      <c r="A77" s="183" t="s">
        <v>209</v>
      </c>
      <c r="B77" s="117">
        <v>8.01</v>
      </c>
      <c r="C77" s="308">
        <v>204</v>
      </c>
      <c r="D77" s="292"/>
      <c r="E77" s="6"/>
      <c r="H77" s="35"/>
      <c r="I77" s="6"/>
      <c r="J77" s="34">
        <v>8.2099999999999973</v>
      </c>
      <c r="K77" s="292">
        <v>209</v>
      </c>
      <c r="L77" s="292">
        <v>252</v>
      </c>
      <c r="M77" s="292"/>
      <c r="N77" s="117">
        <v>9.01</v>
      </c>
      <c r="O77" s="308">
        <v>204</v>
      </c>
      <c r="P77" s="35"/>
      <c r="Q77" s="6"/>
      <c r="R77" s="35"/>
      <c r="T77" s="35"/>
      <c r="U77" s="6"/>
      <c r="W77" s="34">
        <v>9.2099999999999973</v>
      </c>
      <c r="X77" s="292">
        <v>209</v>
      </c>
      <c r="Y77" s="35">
        <v>202</v>
      </c>
      <c r="Z77" s="35">
        <v>4.4000000000000163</v>
      </c>
    </row>
    <row r="78" spans="1:26">
      <c r="A78" s="183" t="s">
        <v>527</v>
      </c>
      <c r="B78" s="117">
        <v>8.11</v>
      </c>
      <c r="C78" s="308">
        <v>192</v>
      </c>
      <c r="D78" s="292"/>
      <c r="E78" s="292"/>
      <c r="H78" s="35"/>
      <c r="I78" s="6"/>
      <c r="J78" s="34">
        <v>8.3099999999999987</v>
      </c>
      <c r="K78" s="292">
        <v>205</v>
      </c>
      <c r="L78" s="292">
        <v>254</v>
      </c>
      <c r="M78" s="292"/>
      <c r="N78" s="117">
        <v>9.11</v>
      </c>
      <c r="O78" s="308">
        <v>192</v>
      </c>
      <c r="P78" s="35"/>
      <c r="Q78" s="6"/>
      <c r="R78" s="35"/>
      <c r="T78" s="35"/>
      <c r="U78" s="6"/>
      <c r="W78" s="34">
        <v>9.3099999999999987</v>
      </c>
      <c r="X78" s="292">
        <v>205</v>
      </c>
      <c r="Y78" s="35">
        <v>204</v>
      </c>
      <c r="Z78" s="35">
        <v>4.6000000000000156</v>
      </c>
    </row>
    <row r="79" spans="1:26">
      <c r="B79" s="117">
        <v>8.2100000000000009</v>
      </c>
      <c r="C79" s="308">
        <v>180</v>
      </c>
      <c r="D79" s="292"/>
      <c r="E79" s="292"/>
      <c r="H79" s="35"/>
      <c r="I79" s="6"/>
      <c r="J79" s="34">
        <v>8.4099999999999984</v>
      </c>
      <c r="K79" s="292">
        <v>201</v>
      </c>
      <c r="L79" s="292">
        <v>256</v>
      </c>
      <c r="M79" s="292"/>
      <c r="N79" s="117">
        <v>9.2100000000000009</v>
      </c>
      <c r="O79" s="308">
        <v>180</v>
      </c>
      <c r="P79" s="35"/>
      <c r="Q79" s="6"/>
      <c r="R79" s="35"/>
      <c r="T79" s="35"/>
      <c r="U79" s="6"/>
      <c r="W79" s="34">
        <v>9.4099999999999984</v>
      </c>
      <c r="X79" s="292">
        <v>201</v>
      </c>
      <c r="Y79" s="35">
        <v>206</v>
      </c>
      <c r="Z79" s="35">
        <v>4.8000000000000149</v>
      </c>
    </row>
    <row r="80" spans="1:26">
      <c r="A80" s="446" t="s">
        <v>641</v>
      </c>
      <c r="B80" s="117">
        <v>8.31</v>
      </c>
      <c r="C80" s="308">
        <v>168</v>
      </c>
      <c r="D80" s="292"/>
      <c r="E80" s="292"/>
      <c r="H80" s="35"/>
      <c r="I80" s="6"/>
      <c r="J80" s="34">
        <v>8.509999999999998</v>
      </c>
      <c r="K80" s="292">
        <v>197</v>
      </c>
      <c r="L80" s="292">
        <v>258</v>
      </c>
      <c r="M80" s="292"/>
      <c r="N80" s="117">
        <v>9.31</v>
      </c>
      <c r="O80" s="308">
        <v>168</v>
      </c>
      <c r="P80" s="35"/>
      <c r="Q80" s="6"/>
      <c r="R80" s="35"/>
      <c r="T80" s="35"/>
      <c r="U80" s="6"/>
      <c r="W80" s="34">
        <v>9.509999999999998</v>
      </c>
      <c r="X80" s="292">
        <v>197</v>
      </c>
      <c r="Y80" s="35">
        <v>208</v>
      </c>
      <c r="Z80" s="35">
        <v>5.0000000000000142</v>
      </c>
    </row>
    <row r="81" spans="1:26">
      <c r="A81" s="446" t="s">
        <v>630</v>
      </c>
      <c r="B81" s="117">
        <v>8.41</v>
      </c>
      <c r="C81" s="308">
        <v>156</v>
      </c>
      <c r="D81" s="308">
        <v>0</v>
      </c>
      <c r="E81" s="308">
        <v>0</v>
      </c>
      <c r="H81" s="35">
        <v>0</v>
      </c>
      <c r="I81" s="308">
        <v>0</v>
      </c>
      <c r="J81" s="34">
        <v>8.6099999999999977</v>
      </c>
      <c r="K81" s="292">
        <v>193</v>
      </c>
      <c r="L81" s="292">
        <v>260</v>
      </c>
      <c r="M81" s="292"/>
      <c r="N81" s="117">
        <v>9.41</v>
      </c>
      <c r="O81" s="308">
        <v>156</v>
      </c>
      <c r="P81" s="188">
        <v>0</v>
      </c>
      <c r="Q81" s="308">
        <v>0</v>
      </c>
      <c r="R81" s="35"/>
      <c r="T81" s="188">
        <v>0</v>
      </c>
      <c r="U81" s="308">
        <v>0</v>
      </c>
      <c r="W81" s="34">
        <v>9.6099999999999977</v>
      </c>
      <c r="X81" s="292">
        <v>193</v>
      </c>
      <c r="Y81" s="35">
        <v>210</v>
      </c>
      <c r="Z81" s="35">
        <v>5.2000000000000135</v>
      </c>
    </row>
    <row r="82" spans="1:26">
      <c r="A82" s="446" t="s">
        <v>631</v>
      </c>
      <c r="B82" s="117">
        <v>8.51</v>
      </c>
      <c r="C82" s="308">
        <v>144</v>
      </c>
      <c r="D82" s="308">
        <v>250</v>
      </c>
      <c r="E82" s="308">
        <v>11.5</v>
      </c>
      <c r="H82" s="35">
        <v>7.3000000000000078</v>
      </c>
      <c r="I82" s="308">
        <v>11.5</v>
      </c>
      <c r="J82" s="34">
        <v>8.7099999999999973</v>
      </c>
      <c r="K82" s="292">
        <v>189</v>
      </c>
      <c r="L82" s="292">
        <v>262</v>
      </c>
      <c r="M82" s="292"/>
      <c r="N82" s="117">
        <v>9.51</v>
      </c>
      <c r="O82" s="308">
        <v>144</v>
      </c>
      <c r="P82" s="188">
        <v>200</v>
      </c>
      <c r="Q82" s="308">
        <v>11.5</v>
      </c>
      <c r="R82" s="35"/>
      <c r="T82" s="188">
        <v>4</v>
      </c>
      <c r="U82" s="308">
        <v>11.5</v>
      </c>
      <c r="W82" s="34">
        <v>9.7099999999999973</v>
      </c>
      <c r="X82" s="292">
        <v>189</v>
      </c>
      <c r="Y82" s="35">
        <v>212</v>
      </c>
      <c r="Z82" s="35">
        <v>5.4000000000000128</v>
      </c>
    </row>
    <row r="83" spans="1:26">
      <c r="A83" s="446" t="s">
        <v>632</v>
      </c>
      <c r="B83" s="117">
        <v>8.61</v>
      </c>
      <c r="C83" s="308">
        <v>132</v>
      </c>
      <c r="D83" s="308">
        <v>252</v>
      </c>
      <c r="E83" s="308">
        <v>23</v>
      </c>
      <c r="H83" s="35">
        <v>7.6000000000000068</v>
      </c>
      <c r="I83" s="308">
        <v>23</v>
      </c>
      <c r="J83" s="34">
        <v>8.8099999999999987</v>
      </c>
      <c r="K83" s="292">
        <v>185</v>
      </c>
      <c r="L83" s="292">
        <v>264</v>
      </c>
      <c r="M83" s="292"/>
      <c r="N83" s="117">
        <v>9.61</v>
      </c>
      <c r="O83" s="308">
        <v>132</v>
      </c>
      <c r="P83" s="188">
        <v>202</v>
      </c>
      <c r="Q83" s="308">
        <v>23</v>
      </c>
      <c r="R83" s="35"/>
      <c r="T83" s="188">
        <v>4.5999999999999304</v>
      </c>
      <c r="U83" s="308">
        <v>23</v>
      </c>
      <c r="W83" s="34">
        <v>9.8099999999999987</v>
      </c>
      <c r="X83" s="292">
        <v>185</v>
      </c>
      <c r="Y83" s="35">
        <v>214</v>
      </c>
      <c r="Z83" s="35">
        <v>5.6000000000000121</v>
      </c>
    </row>
    <row r="84" spans="1:26">
      <c r="A84" s="446" t="s">
        <v>633</v>
      </c>
      <c r="B84" s="117">
        <v>8.7100000000000009</v>
      </c>
      <c r="C84" s="308">
        <v>120</v>
      </c>
      <c r="D84" s="308">
        <v>254</v>
      </c>
      <c r="E84" s="308">
        <v>34.5</v>
      </c>
      <c r="H84" s="35">
        <v>7.9000000000000057</v>
      </c>
      <c r="I84" s="308">
        <v>34.5</v>
      </c>
      <c r="J84" s="34">
        <v>8.9099999999999984</v>
      </c>
      <c r="K84" s="292">
        <v>180</v>
      </c>
      <c r="L84" s="292">
        <v>266</v>
      </c>
      <c r="M84" s="292"/>
      <c r="N84" s="117">
        <v>9.7100000000000009</v>
      </c>
      <c r="O84" s="308">
        <v>120</v>
      </c>
      <c r="P84" s="188">
        <v>204</v>
      </c>
      <c r="Q84" s="308">
        <v>34.5</v>
      </c>
      <c r="R84" s="35"/>
      <c r="T84" s="188">
        <v>4.89999999999994</v>
      </c>
      <c r="U84" s="308">
        <v>34.5</v>
      </c>
      <c r="W84" s="34">
        <v>9.9099999999999984</v>
      </c>
      <c r="X84" s="292">
        <v>180</v>
      </c>
      <c r="Y84" s="35">
        <v>216</v>
      </c>
      <c r="Z84" s="35">
        <v>5.8000000000000114</v>
      </c>
    </row>
    <row r="85" spans="1:26">
      <c r="A85" s="446" t="s">
        <v>634</v>
      </c>
      <c r="B85" s="117">
        <v>8.8100000000000094</v>
      </c>
      <c r="C85" s="308">
        <v>108</v>
      </c>
      <c r="D85" s="308">
        <v>256</v>
      </c>
      <c r="E85" s="308">
        <v>46</v>
      </c>
      <c r="H85" s="35">
        <v>8.2000000000000046</v>
      </c>
      <c r="I85" s="308">
        <v>46</v>
      </c>
      <c r="J85" s="34">
        <v>9.009999999999998</v>
      </c>
      <c r="K85" s="292">
        <v>175</v>
      </c>
      <c r="L85" s="292">
        <v>268</v>
      </c>
      <c r="M85" s="292"/>
      <c r="N85" s="117">
        <v>9.81</v>
      </c>
      <c r="O85" s="308">
        <v>108</v>
      </c>
      <c r="P85" s="188">
        <v>206</v>
      </c>
      <c r="Q85" s="308">
        <v>46</v>
      </c>
      <c r="R85" s="35"/>
      <c r="T85" s="188">
        <v>5.1999999999999504</v>
      </c>
      <c r="U85" s="308">
        <v>46</v>
      </c>
      <c r="W85" s="34">
        <v>10.009999999999998</v>
      </c>
      <c r="X85" s="292">
        <v>175</v>
      </c>
      <c r="Y85" s="35">
        <v>218</v>
      </c>
      <c r="Z85" s="35">
        <v>6.0000000000000107</v>
      </c>
    </row>
    <row r="86" spans="1:26">
      <c r="A86" s="446" t="s">
        <v>635</v>
      </c>
      <c r="B86" s="117">
        <v>8.9100000000000108</v>
      </c>
      <c r="C86" s="308">
        <v>96</v>
      </c>
      <c r="D86" s="308">
        <v>258</v>
      </c>
      <c r="E86" s="308">
        <v>57.5</v>
      </c>
      <c r="H86" s="35">
        <v>8.5000000000000036</v>
      </c>
      <c r="I86" s="308">
        <v>57.5</v>
      </c>
      <c r="J86" s="34">
        <v>9.1099999999999977</v>
      </c>
      <c r="K86" s="292">
        <v>170</v>
      </c>
      <c r="L86" s="292">
        <v>270</v>
      </c>
      <c r="M86" s="292"/>
      <c r="N86" s="117">
        <v>9.91</v>
      </c>
      <c r="O86" s="308">
        <v>96</v>
      </c>
      <c r="P86" s="188">
        <v>208</v>
      </c>
      <c r="Q86" s="308">
        <v>57.5</v>
      </c>
      <c r="R86" s="35"/>
      <c r="T86" s="188">
        <v>5.49999999999996</v>
      </c>
      <c r="U86" s="308">
        <v>57.5</v>
      </c>
      <c r="W86" s="34">
        <v>10.109999999999998</v>
      </c>
      <c r="X86" s="292">
        <v>170</v>
      </c>
      <c r="Y86" s="35">
        <v>220</v>
      </c>
      <c r="Z86" s="35">
        <v>6.2000000000000099</v>
      </c>
    </row>
    <row r="87" spans="1:26">
      <c r="A87" s="446" t="s">
        <v>636</v>
      </c>
      <c r="B87" s="117">
        <v>9.0100000000000104</v>
      </c>
      <c r="C87" s="308">
        <v>84</v>
      </c>
      <c r="D87" s="308">
        <v>260</v>
      </c>
      <c r="E87" s="308">
        <v>69</v>
      </c>
      <c r="H87" s="35">
        <v>8.8000000000000025</v>
      </c>
      <c r="I87" s="308">
        <v>69</v>
      </c>
      <c r="J87" s="34">
        <v>9.2099999999999973</v>
      </c>
      <c r="K87" s="292">
        <v>165</v>
      </c>
      <c r="L87" s="292">
        <v>272</v>
      </c>
      <c r="M87" s="292"/>
      <c r="N87" s="117">
        <v>10.01</v>
      </c>
      <c r="O87" s="308">
        <v>84</v>
      </c>
      <c r="P87" s="188">
        <v>210</v>
      </c>
      <c r="Q87" s="308">
        <v>69</v>
      </c>
      <c r="R87" s="35"/>
      <c r="T87" s="188">
        <v>5.7999999999999696</v>
      </c>
      <c r="U87" s="308">
        <v>69</v>
      </c>
      <c r="W87" s="34">
        <v>10.209999999999997</v>
      </c>
      <c r="X87" s="292">
        <v>165</v>
      </c>
      <c r="Y87" s="35">
        <v>222</v>
      </c>
      <c r="Z87" s="35">
        <v>6.4000000000000092</v>
      </c>
    </row>
    <row r="88" spans="1:26">
      <c r="A88" s="446" t="s">
        <v>637</v>
      </c>
      <c r="B88" s="117">
        <v>9.1100000000000101</v>
      </c>
      <c r="C88" s="308">
        <v>72</v>
      </c>
      <c r="D88" s="308">
        <v>262</v>
      </c>
      <c r="E88" s="308">
        <v>80.5</v>
      </c>
      <c r="H88" s="35">
        <v>9.1</v>
      </c>
      <c r="I88" s="308">
        <v>80.5</v>
      </c>
      <c r="J88" s="34">
        <v>9.3099999999999987</v>
      </c>
      <c r="K88" s="292">
        <v>160</v>
      </c>
      <c r="L88" s="292">
        <v>274</v>
      </c>
      <c r="M88" s="292"/>
      <c r="N88" s="117">
        <v>10.11</v>
      </c>
      <c r="O88" s="308">
        <v>72</v>
      </c>
      <c r="P88" s="188">
        <v>212</v>
      </c>
      <c r="Q88" s="308">
        <v>80.5</v>
      </c>
      <c r="R88" s="35"/>
      <c r="T88" s="188">
        <v>6.0999999999999801</v>
      </c>
      <c r="U88" s="308">
        <v>80.5</v>
      </c>
      <c r="W88" s="34">
        <v>10.309999999999999</v>
      </c>
      <c r="X88" s="292">
        <v>160</v>
      </c>
      <c r="Y88" s="35">
        <v>224</v>
      </c>
      <c r="Z88" s="35">
        <v>6.6000000000000085</v>
      </c>
    </row>
    <row r="89" spans="1:26">
      <c r="A89" s="446" t="s">
        <v>638</v>
      </c>
      <c r="B89" s="117">
        <v>9.2100000000000097</v>
      </c>
      <c r="C89" s="308">
        <v>60</v>
      </c>
      <c r="D89" s="308">
        <v>264</v>
      </c>
      <c r="E89" s="308">
        <v>92</v>
      </c>
      <c r="H89" s="35">
        <v>9.4</v>
      </c>
      <c r="I89" s="308">
        <v>92</v>
      </c>
      <c r="J89" s="34">
        <v>9.4099999999999984</v>
      </c>
      <c r="K89" s="292">
        <v>155</v>
      </c>
      <c r="L89" s="292">
        <v>276</v>
      </c>
      <c r="M89" s="292"/>
      <c r="N89" s="117">
        <v>10.210000000000001</v>
      </c>
      <c r="O89" s="308">
        <v>60</v>
      </c>
      <c r="P89" s="188">
        <v>214</v>
      </c>
      <c r="Q89" s="308">
        <v>92</v>
      </c>
      <c r="R89" s="35"/>
      <c r="T89" s="188">
        <v>6.3999999999999897</v>
      </c>
      <c r="U89" s="308">
        <v>92</v>
      </c>
      <c r="W89" s="34">
        <v>10.409999999999998</v>
      </c>
      <c r="X89" s="292">
        <v>155</v>
      </c>
      <c r="Y89" s="35">
        <v>226</v>
      </c>
      <c r="Z89" s="35">
        <v>6.8000000000000078</v>
      </c>
    </row>
    <row r="90" spans="1:26">
      <c r="A90" s="446" t="s">
        <v>639</v>
      </c>
      <c r="B90" s="117">
        <v>9.3100000000000094</v>
      </c>
      <c r="C90" s="308">
        <v>48</v>
      </c>
      <c r="D90" s="308">
        <v>266</v>
      </c>
      <c r="E90" s="308">
        <v>103.5</v>
      </c>
      <c r="H90" s="35">
        <v>9.6999999999999993</v>
      </c>
      <c r="I90" s="308">
        <v>103.5</v>
      </c>
      <c r="J90" s="34">
        <v>9.509999999999998</v>
      </c>
      <c r="K90" s="292">
        <v>150</v>
      </c>
      <c r="L90" s="292">
        <v>278</v>
      </c>
      <c r="M90" s="292"/>
      <c r="N90" s="117">
        <v>10.31</v>
      </c>
      <c r="O90" s="308">
        <v>48</v>
      </c>
      <c r="P90" s="188">
        <v>216</v>
      </c>
      <c r="Q90" s="308">
        <v>103.5</v>
      </c>
      <c r="R90" s="35"/>
      <c r="T90" s="188">
        <v>6.7</v>
      </c>
      <c r="U90" s="308">
        <v>103.5</v>
      </c>
      <c r="W90" s="34">
        <v>10.509999999999998</v>
      </c>
      <c r="X90" s="292">
        <v>150</v>
      </c>
      <c r="Y90" s="35">
        <v>228</v>
      </c>
      <c r="Z90" s="35">
        <v>7.0000000000000071</v>
      </c>
    </row>
    <row r="91" spans="1:26">
      <c r="A91" s="446" t="s">
        <v>640</v>
      </c>
      <c r="B91" s="117">
        <v>9.4100000000000108</v>
      </c>
      <c r="C91" s="308">
        <v>36</v>
      </c>
      <c r="D91" s="308">
        <v>268</v>
      </c>
      <c r="E91" s="308">
        <v>115</v>
      </c>
      <c r="H91" s="35">
        <v>9.9999999999999929</v>
      </c>
      <c r="I91" s="308">
        <v>115</v>
      </c>
      <c r="J91" s="34">
        <v>9.6099999999999977</v>
      </c>
      <c r="K91" s="292">
        <v>145</v>
      </c>
      <c r="L91" s="292">
        <v>280</v>
      </c>
      <c r="M91" s="292"/>
      <c r="N91" s="117">
        <v>10.41</v>
      </c>
      <c r="O91" s="308">
        <v>36</v>
      </c>
      <c r="P91" s="188">
        <v>218</v>
      </c>
      <c r="Q91" s="308">
        <v>115</v>
      </c>
      <c r="R91" s="35"/>
      <c r="T91" s="188">
        <v>7.0000000000000098</v>
      </c>
      <c r="U91" s="308">
        <v>115</v>
      </c>
      <c r="W91" s="34">
        <v>10.609999999999998</v>
      </c>
      <c r="X91" s="292">
        <v>145</v>
      </c>
      <c r="Y91" s="35">
        <v>230</v>
      </c>
      <c r="Z91" s="35">
        <v>7.2000000000000064</v>
      </c>
    </row>
    <row r="92" spans="1:26">
      <c r="B92" s="117">
        <v>9.5100000000000104</v>
      </c>
      <c r="C92" s="308">
        <v>24</v>
      </c>
      <c r="D92" s="308">
        <v>270</v>
      </c>
      <c r="E92" s="308">
        <v>126.5</v>
      </c>
      <c r="H92" s="35">
        <v>10.199999999999994</v>
      </c>
      <c r="I92" s="308">
        <v>126.5</v>
      </c>
      <c r="J92" s="34">
        <v>9.7099999999999973</v>
      </c>
      <c r="K92" s="292">
        <v>140</v>
      </c>
      <c r="L92" s="292">
        <v>282</v>
      </c>
      <c r="M92" s="292"/>
      <c r="N92" s="117">
        <v>10.51</v>
      </c>
      <c r="O92" s="308">
        <v>24</v>
      </c>
      <c r="P92" s="188">
        <v>220</v>
      </c>
      <c r="Q92" s="308">
        <v>126.5</v>
      </c>
      <c r="R92" s="35"/>
      <c r="T92" s="188">
        <v>7.2000000000000099</v>
      </c>
      <c r="U92" s="308">
        <v>126.5</v>
      </c>
      <c r="W92" s="34">
        <v>10.709999999999997</v>
      </c>
      <c r="X92" s="292">
        <v>140</v>
      </c>
      <c r="Y92" s="35">
        <v>232</v>
      </c>
      <c r="Z92" s="35">
        <v>7.4000000000000057</v>
      </c>
    </row>
    <row r="93" spans="1:26">
      <c r="B93" s="117">
        <v>9.6100000000000101</v>
      </c>
      <c r="C93" s="308">
        <v>12</v>
      </c>
      <c r="D93" s="308">
        <v>272</v>
      </c>
      <c r="E93" s="308">
        <v>138</v>
      </c>
      <c r="H93" s="35">
        <v>10.399999999999995</v>
      </c>
      <c r="I93" s="308">
        <v>138</v>
      </c>
      <c r="J93" s="34">
        <v>9.8099999999999987</v>
      </c>
      <c r="K93" s="292">
        <v>135</v>
      </c>
      <c r="L93" s="292">
        <v>284</v>
      </c>
      <c r="M93" s="292"/>
      <c r="N93" s="117">
        <v>10.61</v>
      </c>
      <c r="O93" s="308">
        <v>12</v>
      </c>
      <c r="P93" s="188">
        <v>222</v>
      </c>
      <c r="Q93" s="308">
        <v>138</v>
      </c>
      <c r="R93" s="35"/>
      <c r="T93" s="188">
        <v>7.4</v>
      </c>
      <c r="U93" s="308">
        <v>138</v>
      </c>
      <c r="W93" s="34">
        <v>10.809999999999999</v>
      </c>
      <c r="X93" s="292">
        <v>135</v>
      </c>
      <c r="Y93" s="35">
        <v>234</v>
      </c>
      <c r="Z93" s="35">
        <v>7.600000000000005</v>
      </c>
    </row>
    <row r="94" spans="1:26">
      <c r="B94" s="117">
        <v>9.7100000000000097</v>
      </c>
      <c r="C94" s="308">
        <v>0</v>
      </c>
      <c r="D94" s="308">
        <v>274</v>
      </c>
      <c r="E94" s="308">
        <v>149.5</v>
      </c>
      <c r="H94" s="35">
        <v>10.599999999999996</v>
      </c>
      <c r="I94" s="308">
        <v>149.5</v>
      </c>
      <c r="J94" s="34">
        <v>9.9099999999999984</v>
      </c>
      <c r="K94" s="292">
        <v>130</v>
      </c>
      <c r="L94" s="292">
        <v>286</v>
      </c>
      <c r="M94" s="292"/>
      <c r="N94" s="117">
        <v>10.71</v>
      </c>
      <c r="O94" s="308">
        <v>0</v>
      </c>
      <c r="P94" s="188">
        <v>224</v>
      </c>
      <c r="Q94" s="308">
        <v>149.5</v>
      </c>
      <c r="R94" s="35"/>
      <c r="T94" s="188">
        <v>7.6</v>
      </c>
      <c r="U94" s="308">
        <v>149.5</v>
      </c>
      <c r="W94" s="34">
        <v>10.909999999999998</v>
      </c>
      <c r="X94" s="292">
        <v>130</v>
      </c>
      <c r="Y94" s="35">
        <v>236</v>
      </c>
      <c r="Z94" s="35">
        <v>7.8000000000000043</v>
      </c>
    </row>
    <row r="95" spans="1:26">
      <c r="B95" s="34"/>
      <c r="D95" s="308">
        <v>276</v>
      </c>
      <c r="E95" s="308">
        <v>161</v>
      </c>
      <c r="H95" s="35">
        <v>10.799999999999997</v>
      </c>
      <c r="I95" s="308">
        <v>161</v>
      </c>
      <c r="J95" s="34">
        <v>10.009999999999998</v>
      </c>
      <c r="K95" s="292">
        <v>125</v>
      </c>
      <c r="L95" s="292">
        <v>288</v>
      </c>
      <c r="M95" s="292"/>
      <c r="N95" s="34"/>
      <c r="P95" s="188">
        <v>226</v>
      </c>
      <c r="Q95" s="308">
        <v>161</v>
      </c>
      <c r="R95" s="35"/>
      <c r="T95" s="188">
        <v>7.8</v>
      </c>
      <c r="U95" s="308">
        <v>161</v>
      </c>
      <c r="W95" s="34">
        <v>11.009999999999998</v>
      </c>
      <c r="X95" s="292">
        <v>125</v>
      </c>
      <c r="Y95" s="35">
        <v>238</v>
      </c>
      <c r="Z95" s="35">
        <v>8.0000000000000036</v>
      </c>
    </row>
    <row r="96" spans="1:26">
      <c r="B96" s="34"/>
      <c r="D96" s="308">
        <v>278</v>
      </c>
      <c r="E96" s="308">
        <v>172.5</v>
      </c>
      <c r="H96" s="35">
        <v>10.999999999999998</v>
      </c>
      <c r="I96" s="308">
        <v>172.5</v>
      </c>
      <c r="J96" s="34">
        <v>10.109999999999998</v>
      </c>
      <c r="K96" s="292">
        <v>120</v>
      </c>
      <c r="L96" s="292">
        <v>290</v>
      </c>
      <c r="M96" s="292"/>
      <c r="N96" s="34"/>
      <c r="P96" s="188">
        <v>228</v>
      </c>
      <c r="Q96" s="308">
        <v>172.5</v>
      </c>
      <c r="R96" s="35"/>
      <c r="T96" s="188">
        <v>8</v>
      </c>
      <c r="U96" s="308">
        <v>172.5</v>
      </c>
      <c r="W96" s="34">
        <v>11.109999999999998</v>
      </c>
      <c r="X96" s="292">
        <v>120</v>
      </c>
      <c r="Y96" s="35">
        <v>240</v>
      </c>
      <c r="Z96" s="35">
        <v>8.2000000000000028</v>
      </c>
    </row>
    <row r="97" spans="1:26">
      <c r="B97" s="34"/>
      <c r="D97" s="308">
        <v>280</v>
      </c>
      <c r="E97" s="308">
        <v>184</v>
      </c>
      <c r="H97" s="35">
        <v>11.2</v>
      </c>
      <c r="I97" s="308">
        <v>184</v>
      </c>
      <c r="J97" s="34">
        <v>10.209999999999997</v>
      </c>
      <c r="K97" s="292">
        <v>115</v>
      </c>
      <c r="L97" s="292">
        <v>292</v>
      </c>
      <c r="M97" s="292"/>
      <c r="N97" s="34"/>
      <c r="P97" s="188">
        <v>230</v>
      </c>
      <c r="Q97" s="308">
        <v>184</v>
      </c>
      <c r="R97" s="35"/>
      <c r="T97" s="188">
        <v>8.1999999999999993</v>
      </c>
      <c r="U97" s="308">
        <v>184</v>
      </c>
      <c r="W97" s="34">
        <v>11.209999999999997</v>
      </c>
      <c r="X97" s="292">
        <v>115</v>
      </c>
      <c r="Y97" s="35">
        <v>242</v>
      </c>
      <c r="Z97" s="35">
        <v>8.4000000000000021</v>
      </c>
    </row>
    <row r="98" spans="1:26">
      <c r="B98" s="34"/>
      <c r="D98" s="308">
        <v>282</v>
      </c>
      <c r="E98" s="308">
        <v>195.5</v>
      </c>
      <c r="H98" s="35">
        <v>11.4</v>
      </c>
      <c r="I98" s="308">
        <v>195.5</v>
      </c>
      <c r="J98" s="34">
        <v>10.309999999999999</v>
      </c>
      <c r="K98" s="292">
        <v>110</v>
      </c>
      <c r="L98" s="292">
        <v>294</v>
      </c>
      <c r="M98" s="292"/>
      <c r="N98" s="34"/>
      <c r="P98" s="188">
        <v>232</v>
      </c>
      <c r="Q98" s="308">
        <v>195.5</v>
      </c>
      <c r="R98" s="35"/>
      <c r="T98" s="188">
        <v>8.4</v>
      </c>
      <c r="U98" s="308">
        <v>195.5</v>
      </c>
      <c r="W98" s="34">
        <v>11.309999999999999</v>
      </c>
      <c r="X98" s="292">
        <v>110</v>
      </c>
      <c r="Y98" s="35">
        <v>244</v>
      </c>
      <c r="Z98" s="35">
        <v>8.6000000000000014</v>
      </c>
    </row>
    <row r="99" spans="1:26">
      <c r="B99" s="34"/>
      <c r="D99" s="308">
        <v>284</v>
      </c>
      <c r="E99" s="308">
        <v>207</v>
      </c>
      <c r="H99" s="35">
        <v>11.6</v>
      </c>
      <c r="I99" s="308">
        <v>207</v>
      </c>
      <c r="J99" s="34">
        <v>10.409999999999998</v>
      </c>
      <c r="K99" s="292">
        <v>105</v>
      </c>
      <c r="L99" s="292">
        <v>296</v>
      </c>
      <c r="M99" s="292"/>
      <c r="N99" s="34"/>
      <c r="P99" s="188">
        <v>234</v>
      </c>
      <c r="Q99" s="308">
        <v>207</v>
      </c>
      <c r="R99" s="35"/>
      <c r="T99" s="188">
        <v>8.6</v>
      </c>
      <c r="U99" s="308">
        <v>207</v>
      </c>
      <c r="W99" s="34">
        <v>11.409999999999998</v>
      </c>
      <c r="X99" s="292">
        <v>105</v>
      </c>
      <c r="Y99" s="35">
        <v>246</v>
      </c>
      <c r="Z99" s="35">
        <v>8.8000000000000007</v>
      </c>
    </row>
    <row r="100" spans="1:26">
      <c r="B100" s="34"/>
      <c r="D100" s="308">
        <v>286</v>
      </c>
      <c r="E100" s="308">
        <v>218.5</v>
      </c>
      <c r="H100" s="35">
        <v>11.8</v>
      </c>
      <c r="I100" s="308">
        <v>218.5</v>
      </c>
      <c r="J100" s="34">
        <v>10.509999999999998</v>
      </c>
      <c r="K100" s="292">
        <v>100</v>
      </c>
      <c r="L100" s="292">
        <v>298</v>
      </c>
      <c r="M100" s="292"/>
      <c r="N100" s="34"/>
      <c r="P100" s="188">
        <v>236</v>
      </c>
      <c r="Q100" s="308">
        <v>218.5</v>
      </c>
      <c r="R100" s="35"/>
      <c r="T100" s="188">
        <v>8.8000000000000007</v>
      </c>
      <c r="U100" s="308">
        <v>218.5</v>
      </c>
      <c r="W100" s="34">
        <v>11.509999999999998</v>
      </c>
      <c r="X100" s="292">
        <v>100</v>
      </c>
      <c r="Y100" s="35">
        <v>248</v>
      </c>
      <c r="Z100" s="35">
        <v>9</v>
      </c>
    </row>
    <row r="101" spans="1:26">
      <c r="B101" s="34"/>
      <c r="D101" s="308">
        <v>288</v>
      </c>
      <c r="E101" s="308">
        <v>230</v>
      </c>
      <c r="H101" s="35">
        <v>12</v>
      </c>
      <c r="I101" s="308">
        <v>230</v>
      </c>
      <c r="J101" s="34">
        <v>10.609999999999998</v>
      </c>
      <c r="K101" s="292">
        <v>0</v>
      </c>
      <c r="L101" s="292">
        <v>300</v>
      </c>
      <c r="M101" s="292"/>
      <c r="N101" s="34"/>
      <c r="P101" s="188">
        <v>238</v>
      </c>
      <c r="Q101" s="308">
        <v>230</v>
      </c>
      <c r="R101" s="35"/>
      <c r="T101" s="188">
        <v>9</v>
      </c>
      <c r="U101" s="308">
        <v>230</v>
      </c>
      <c r="W101" s="34">
        <v>11.609999999999998</v>
      </c>
      <c r="X101" s="292">
        <v>0</v>
      </c>
      <c r="Y101" s="35">
        <v>250</v>
      </c>
      <c r="Z101" s="35">
        <v>9.1999999999999993</v>
      </c>
    </row>
    <row r="103" spans="1:26" s="14" customFormat="1">
      <c r="A103" s="14" t="s">
        <v>165</v>
      </c>
      <c r="B103" s="14" t="s">
        <v>314</v>
      </c>
      <c r="C103" s="14" t="s">
        <v>471</v>
      </c>
      <c r="D103" s="14" t="s">
        <v>470</v>
      </c>
      <c r="E103" s="14" t="s">
        <v>471</v>
      </c>
      <c r="F103" s="14" t="s">
        <v>448</v>
      </c>
      <c r="G103" s="14" t="s">
        <v>471</v>
      </c>
      <c r="H103" s="14" t="s">
        <v>426</v>
      </c>
      <c r="I103" s="14" t="s">
        <v>471</v>
      </c>
      <c r="K103" s="292" t="s">
        <v>470</v>
      </c>
      <c r="L103" s="292" t="s">
        <v>314</v>
      </c>
      <c r="M103" s="292" t="s">
        <v>470</v>
      </c>
      <c r="N103" s="14" t="s">
        <v>314</v>
      </c>
      <c r="O103" s="14" t="s">
        <v>471</v>
      </c>
      <c r="P103" s="14" t="s">
        <v>470</v>
      </c>
      <c r="Q103" s="14" t="s">
        <v>471</v>
      </c>
      <c r="R103" s="14" t="s">
        <v>448</v>
      </c>
      <c r="S103" s="14" t="s">
        <v>471</v>
      </c>
      <c r="T103" s="14" t="s">
        <v>426</v>
      </c>
      <c r="U103" s="14" t="s">
        <v>471</v>
      </c>
    </row>
    <row r="104" spans="1:26" s="14" customFormat="1">
      <c r="A104" s="236" t="s">
        <v>270</v>
      </c>
      <c r="B104" s="14">
        <v>0</v>
      </c>
      <c r="C104" s="14">
        <v>100</v>
      </c>
      <c r="D104" s="56">
        <v>0</v>
      </c>
      <c r="E104" s="292">
        <v>0</v>
      </c>
      <c r="F104" s="14">
        <v>0</v>
      </c>
      <c r="G104" s="14">
        <v>0</v>
      </c>
      <c r="H104" s="14">
        <v>0</v>
      </c>
      <c r="I104" s="14">
        <v>0</v>
      </c>
      <c r="K104" s="56">
        <v>0</v>
      </c>
      <c r="L104" s="292">
        <v>0</v>
      </c>
      <c r="M104" s="56">
        <v>0</v>
      </c>
      <c r="N104" s="308">
        <v>0</v>
      </c>
      <c r="O104" s="14">
        <v>100</v>
      </c>
      <c r="P104" s="56">
        <v>0</v>
      </c>
      <c r="Q104" s="292">
        <v>0</v>
      </c>
      <c r="R104" s="14">
        <v>0</v>
      </c>
      <c r="S104" s="14">
        <v>0</v>
      </c>
      <c r="T104" s="14">
        <v>0</v>
      </c>
      <c r="U104" s="14">
        <v>0</v>
      </c>
    </row>
    <row r="105" spans="1:26" s="14" customFormat="1">
      <c r="A105" s="236" t="s">
        <v>85</v>
      </c>
      <c r="B105" s="11">
        <v>13.81</v>
      </c>
      <c r="C105" s="14">
        <v>95</v>
      </c>
      <c r="D105" s="56">
        <v>15</v>
      </c>
      <c r="E105" s="308">
        <v>5</v>
      </c>
      <c r="F105" s="292">
        <v>222</v>
      </c>
      <c r="G105" s="14">
        <v>5</v>
      </c>
      <c r="H105" s="14">
        <v>30</v>
      </c>
      <c r="I105" s="14">
        <v>5</v>
      </c>
      <c r="K105" s="56">
        <v>13</v>
      </c>
      <c r="L105" s="292">
        <v>15.81</v>
      </c>
      <c r="M105" s="56">
        <v>3</v>
      </c>
      <c r="N105" s="308">
        <v>15.61</v>
      </c>
      <c r="O105" s="14">
        <v>95</v>
      </c>
      <c r="P105" s="187">
        <v>9</v>
      </c>
      <c r="Q105" s="292">
        <v>5</v>
      </c>
      <c r="R105" s="292">
        <v>174</v>
      </c>
      <c r="S105" s="14">
        <v>5</v>
      </c>
      <c r="T105" s="14">
        <v>25</v>
      </c>
      <c r="U105" s="14">
        <v>5</v>
      </c>
    </row>
    <row r="106" spans="1:26" s="14" customFormat="1">
      <c r="A106" s="236" t="s">
        <v>409</v>
      </c>
      <c r="B106" s="11">
        <v>14.01</v>
      </c>
      <c r="C106" s="14">
        <v>90</v>
      </c>
      <c r="D106" s="56">
        <v>16</v>
      </c>
      <c r="E106" s="308">
        <v>10</v>
      </c>
      <c r="F106" s="292">
        <v>226</v>
      </c>
      <c r="G106" s="14">
        <v>10</v>
      </c>
      <c r="H106" s="14">
        <v>33</v>
      </c>
      <c r="I106" s="14">
        <v>10</v>
      </c>
      <c r="K106" s="56">
        <v>14</v>
      </c>
      <c r="L106" s="292">
        <v>16.010000000000002</v>
      </c>
      <c r="M106" s="56">
        <v>4</v>
      </c>
      <c r="N106" s="308">
        <v>15.81</v>
      </c>
      <c r="O106" s="14">
        <v>90</v>
      </c>
      <c r="P106" s="187">
        <v>10</v>
      </c>
      <c r="Q106" s="292">
        <v>10</v>
      </c>
      <c r="R106" s="292">
        <v>178</v>
      </c>
      <c r="S106" s="14">
        <v>10</v>
      </c>
      <c r="T106" s="14">
        <v>28</v>
      </c>
      <c r="U106" s="14">
        <v>10</v>
      </c>
    </row>
    <row r="107" spans="1:26" s="14" customFormat="1">
      <c r="A107" s="236" t="s">
        <v>370</v>
      </c>
      <c r="B107" s="292">
        <v>14.21</v>
      </c>
      <c r="C107" s="14">
        <v>85</v>
      </c>
      <c r="D107" s="56">
        <v>17</v>
      </c>
      <c r="E107" s="308">
        <v>15</v>
      </c>
      <c r="F107" s="292">
        <v>230</v>
      </c>
      <c r="G107" s="14">
        <v>15</v>
      </c>
      <c r="H107" s="14">
        <v>36</v>
      </c>
      <c r="I107" s="14">
        <v>15</v>
      </c>
      <c r="K107" s="56">
        <v>15</v>
      </c>
      <c r="L107" s="292">
        <v>16.21</v>
      </c>
      <c r="M107" s="56">
        <v>5</v>
      </c>
      <c r="N107" s="308">
        <v>16.010000000000002</v>
      </c>
      <c r="O107" s="14">
        <v>85</v>
      </c>
      <c r="P107" s="187">
        <v>11</v>
      </c>
      <c r="Q107" s="292">
        <v>15</v>
      </c>
      <c r="R107" s="292">
        <v>182</v>
      </c>
      <c r="S107" s="14">
        <v>15</v>
      </c>
      <c r="T107" s="14">
        <v>31</v>
      </c>
      <c r="U107" s="14">
        <v>15</v>
      </c>
    </row>
    <row r="108" spans="1:26" s="14" customFormat="1">
      <c r="A108" s="236"/>
      <c r="B108" s="292">
        <v>14.41</v>
      </c>
      <c r="C108" s="14">
        <v>80</v>
      </c>
      <c r="D108" s="56">
        <v>18</v>
      </c>
      <c r="E108" s="308">
        <v>20</v>
      </c>
      <c r="F108" s="292">
        <v>234</v>
      </c>
      <c r="G108" s="14">
        <v>20</v>
      </c>
      <c r="H108" s="14">
        <v>39</v>
      </c>
      <c r="I108" s="14">
        <v>20</v>
      </c>
      <c r="K108" s="56">
        <v>16</v>
      </c>
      <c r="L108" s="292">
        <v>16.410000000000004</v>
      </c>
      <c r="M108" s="56">
        <v>6</v>
      </c>
      <c r="N108" s="308">
        <v>16.21</v>
      </c>
      <c r="O108" s="14">
        <v>80</v>
      </c>
      <c r="P108" s="187">
        <v>12</v>
      </c>
      <c r="Q108" s="292">
        <v>20</v>
      </c>
      <c r="R108" s="292">
        <v>186</v>
      </c>
      <c r="S108" s="14">
        <v>20</v>
      </c>
      <c r="T108" s="14">
        <v>34</v>
      </c>
      <c r="U108" s="14">
        <v>20</v>
      </c>
    </row>
    <row r="109" spans="1:26" s="14" customFormat="1">
      <c r="A109" s="236" t="s">
        <v>102</v>
      </c>
      <c r="B109" s="292">
        <v>14.61</v>
      </c>
      <c r="C109" s="14">
        <v>75</v>
      </c>
      <c r="D109" s="56">
        <v>19</v>
      </c>
      <c r="E109" s="308">
        <v>25</v>
      </c>
      <c r="F109" s="292">
        <v>238</v>
      </c>
      <c r="G109" s="14">
        <v>25</v>
      </c>
      <c r="H109" s="14">
        <v>42</v>
      </c>
      <c r="I109" s="14">
        <v>25</v>
      </c>
      <c r="K109" s="56">
        <v>17</v>
      </c>
      <c r="L109" s="292">
        <v>16.610000000000007</v>
      </c>
      <c r="M109" s="56">
        <v>7</v>
      </c>
      <c r="N109" s="308">
        <v>16.41</v>
      </c>
      <c r="O109" s="14">
        <v>75</v>
      </c>
      <c r="P109" s="187">
        <v>13</v>
      </c>
      <c r="Q109" s="292">
        <v>25</v>
      </c>
      <c r="R109" s="292">
        <v>190</v>
      </c>
      <c r="S109" s="14">
        <v>25</v>
      </c>
      <c r="T109" s="14">
        <v>37</v>
      </c>
      <c r="U109" s="14">
        <v>25</v>
      </c>
    </row>
    <row r="110" spans="1:26" s="14" customFormat="1">
      <c r="A110" s="308"/>
      <c r="B110" s="292">
        <v>14.81</v>
      </c>
      <c r="C110" s="14">
        <v>70</v>
      </c>
      <c r="D110" s="56">
        <v>20</v>
      </c>
      <c r="E110" s="308">
        <v>30</v>
      </c>
      <c r="F110" s="292">
        <v>244</v>
      </c>
      <c r="G110" s="14">
        <v>30</v>
      </c>
      <c r="H110" s="14">
        <v>45</v>
      </c>
      <c r="I110" s="14">
        <v>30</v>
      </c>
      <c r="K110" s="56">
        <v>18</v>
      </c>
      <c r="L110" s="292">
        <v>16.810000000000006</v>
      </c>
      <c r="M110" s="56">
        <v>8</v>
      </c>
      <c r="N110" s="308">
        <v>16.61</v>
      </c>
      <c r="O110" s="14">
        <v>70</v>
      </c>
      <c r="P110" s="187">
        <v>14</v>
      </c>
      <c r="Q110" s="292">
        <v>30</v>
      </c>
      <c r="R110" s="292">
        <v>194</v>
      </c>
      <c r="S110" s="14">
        <v>30</v>
      </c>
      <c r="T110" s="14">
        <v>40</v>
      </c>
      <c r="U110" s="14">
        <v>30</v>
      </c>
    </row>
    <row r="111" spans="1:26" s="14" customFormat="1">
      <c r="A111" s="308" t="s">
        <v>200</v>
      </c>
      <c r="B111" s="292">
        <v>15.01</v>
      </c>
      <c r="C111" s="14">
        <v>65</v>
      </c>
      <c r="D111" s="56">
        <v>21</v>
      </c>
      <c r="E111" s="308">
        <v>35</v>
      </c>
      <c r="F111" s="292">
        <v>248</v>
      </c>
      <c r="G111" s="14">
        <v>35</v>
      </c>
      <c r="H111" s="14">
        <v>48</v>
      </c>
      <c r="I111" s="14">
        <v>35</v>
      </c>
      <c r="K111" s="56">
        <v>19</v>
      </c>
      <c r="L111" s="292">
        <v>17.010000000000005</v>
      </c>
      <c r="M111" s="56">
        <v>9</v>
      </c>
      <c r="N111" s="308">
        <v>16.809999999999999</v>
      </c>
      <c r="O111" s="14">
        <v>65</v>
      </c>
      <c r="P111" s="187">
        <v>15</v>
      </c>
      <c r="Q111" s="292">
        <v>35</v>
      </c>
      <c r="R111" s="292">
        <v>198</v>
      </c>
      <c r="S111" s="14">
        <v>35</v>
      </c>
      <c r="T111" s="14">
        <v>43</v>
      </c>
      <c r="U111" s="14">
        <v>35</v>
      </c>
    </row>
    <row r="112" spans="1:26" s="14" customFormat="1">
      <c r="A112" s="308" t="s">
        <v>25</v>
      </c>
      <c r="B112" s="292">
        <v>15.21</v>
      </c>
      <c r="C112" s="14">
        <v>60</v>
      </c>
      <c r="D112" s="56">
        <v>22</v>
      </c>
      <c r="E112" s="308">
        <v>40</v>
      </c>
      <c r="F112" s="292">
        <v>252</v>
      </c>
      <c r="G112" s="14">
        <v>40</v>
      </c>
      <c r="H112" s="14">
        <v>51</v>
      </c>
      <c r="I112" s="14">
        <v>40</v>
      </c>
      <c r="K112" s="56">
        <v>20</v>
      </c>
      <c r="L112" s="292">
        <v>17.210000000000008</v>
      </c>
      <c r="M112" s="56">
        <v>10</v>
      </c>
      <c r="N112" s="308">
        <v>17.010000000000002</v>
      </c>
      <c r="O112" s="14">
        <v>60</v>
      </c>
      <c r="P112" s="187">
        <v>16</v>
      </c>
      <c r="Q112" s="292">
        <v>40</v>
      </c>
      <c r="R112" s="292">
        <v>202</v>
      </c>
      <c r="S112" s="14">
        <v>40</v>
      </c>
      <c r="T112" s="14">
        <v>46</v>
      </c>
      <c r="U112" s="14">
        <v>40</v>
      </c>
    </row>
    <row r="113" spans="1:31" s="14" customFormat="1">
      <c r="A113" s="308" t="s">
        <v>56</v>
      </c>
      <c r="B113" s="292">
        <v>15.41</v>
      </c>
      <c r="C113" s="14">
        <v>55</v>
      </c>
      <c r="D113" s="56">
        <v>23</v>
      </c>
      <c r="E113" s="308">
        <v>45</v>
      </c>
      <c r="F113" s="292">
        <v>256</v>
      </c>
      <c r="G113" s="14">
        <v>45</v>
      </c>
      <c r="H113" s="14">
        <v>54</v>
      </c>
      <c r="I113" s="14">
        <v>45</v>
      </c>
      <c r="K113" s="56">
        <v>21</v>
      </c>
      <c r="L113" s="292">
        <v>17.410000000000011</v>
      </c>
      <c r="M113" s="56">
        <v>11</v>
      </c>
      <c r="N113" s="308">
        <v>17.21</v>
      </c>
      <c r="O113" s="14">
        <v>55</v>
      </c>
      <c r="P113" s="187">
        <v>17</v>
      </c>
      <c r="Q113" s="292">
        <v>45</v>
      </c>
      <c r="R113" s="292">
        <v>206</v>
      </c>
      <c r="S113" s="14">
        <v>45</v>
      </c>
      <c r="T113" s="14">
        <v>49</v>
      </c>
      <c r="U113" s="14">
        <v>45</v>
      </c>
    </row>
    <row r="114" spans="1:31" s="14" customFormat="1">
      <c r="A114" s="308" t="s">
        <v>51</v>
      </c>
      <c r="B114" s="292">
        <v>15.61</v>
      </c>
      <c r="C114" s="14">
        <v>50</v>
      </c>
      <c r="D114" s="56">
        <v>24</v>
      </c>
      <c r="E114" s="308">
        <v>50</v>
      </c>
      <c r="F114" s="292">
        <v>260</v>
      </c>
      <c r="G114" s="14">
        <v>50</v>
      </c>
      <c r="H114" s="14">
        <v>57</v>
      </c>
      <c r="I114" s="14">
        <v>50</v>
      </c>
      <c r="K114" s="56">
        <v>22</v>
      </c>
      <c r="L114" s="292">
        <v>17.61000000000001</v>
      </c>
      <c r="M114" s="56">
        <v>12</v>
      </c>
      <c r="N114" s="308">
        <v>17.41</v>
      </c>
      <c r="O114" s="14">
        <v>50</v>
      </c>
      <c r="P114" s="187">
        <v>18</v>
      </c>
      <c r="Q114" s="292">
        <v>50</v>
      </c>
      <c r="R114" s="292">
        <v>210</v>
      </c>
      <c r="S114" s="14">
        <v>50</v>
      </c>
      <c r="T114" s="14">
        <v>52</v>
      </c>
      <c r="U114" s="14">
        <v>50</v>
      </c>
    </row>
    <row r="115" spans="1:31" s="14" customFormat="1">
      <c r="A115" s="183"/>
      <c r="B115" s="292">
        <v>15.81</v>
      </c>
      <c r="C115" s="14">
        <v>45</v>
      </c>
      <c r="D115" s="56">
        <v>25</v>
      </c>
      <c r="E115" s="308">
        <v>55</v>
      </c>
      <c r="F115" s="292">
        <v>263</v>
      </c>
      <c r="G115" s="14">
        <v>55</v>
      </c>
      <c r="H115" s="14">
        <v>59</v>
      </c>
      <c r="I115" s="14">
        <v>55</v>
      </c>
      <c r="K115" s="56">
        <v>23</v>
      </c>
      <c r="L115" s="292">
        <v>17.810000000000009</v>
      </c>
      <c r="M115" s="56">
        <v>13</v>
      </c>
      <c r="N115" s="308">
        <v>17.61</v>
      </c>
      <c r="O115" s="14">
        <v>45</v>
      </c>
      <c r="P115" s="187">
        <v>19</v>
      </c>
      <c r="Q115" s="292">
        <v>55</v>
      </c>
      <c r="R115" s="292">
        <v>213</v>
      </c>
      <c r="S115" s="14">
        <v>55</v>
      </c>
      <c r="T115" s="14">
        <v>54</v>
      </c>
      <c r="U115" s="14">
        <v>55</v>
      </c>
    </row>
    <row r="116" spans="1:31" s="14" customFormat="1">
      <c r="A116" s="183" t="s">
        <v>616</v>
      </c>
      <c r="B116" s="292">
        <v>16.11</v>
      </c>
      <c r="C116" s="14">
        <v>40</v>
      </c>
      <c r="D116" s="56">
        <v>26</v>
      </c>
      <c r="E116" s="308">
        <v>60</v>
      </c>
      <c r="F116" s="292">
        <v>266</v>
      </c>
      <c r="G116" s="14">
        <v>60</v>
      </c>
      <c r="H116" s="14">
        <v>61</v>
      </c>
      <c r="I116" s="14">
        <v>60</v>
      </c>
      <c r="K116" s="56">
        <v>24</v>
      </c>
      <c r="L116" s="292">
        <v>18.11</v>
      </c>
      <c r="M116" s="56">
        <v>14</v>
      </c>
      <c r="N116" s="308">
        <v>17.91</v>
      </c>
      <c r="O116" s="14">
        <v>40</v>
      </c>
      <c r="P116" s="187">
        <v>20</v>
      </c>
      <c r="Q116" s="292">
        <v>60</v>
      </c>
      <c r="R116" s="292">
        <v>216</v>
      </c>
      <c r="S116" s="14">
        <v>60</v>
      </c>
      <c r="T116" s="14">
        <v>56</v>
      </c>
      <c r="U116" s="14">
        <v>60</v>
      </c>
    </row>
    <row r="117" spans="1:31" s="14" customFormat="1">
      <c r="A117" s="183" t="s">
        <v>642</v>
      </c>
      <c r="B117" s="292">
        <v>16.41</v>
      </c>
      <c r="C117" s="14">
        <v>35</v>
      </c>
      <c r="D117" s="56">
        <v>27</v>
      </c>
      <c r="E117" s="308">
        <v>65</v>
      </c>
      <c r="F117" s="292">
        <v>269</v>
      </c>
      <c r="G117" s="14">
        <v>65</v>
      </c>
      <c r="H117" s="14">
        <v>63</v>
      </c>
      <c r="I117" s="14">
        <v>65</v>
      </c>
      <c r="K117" s="56">
        <v>25</v>
      </c>
      <c r="L117" s="292">
        <v>18.409999999999989</v>
      </c>
      <c r="M117" s="56">
        <v>15</v>
      </c>
      <c r="N117" s="308">
        <v>18.21</v>
      </c>
      <c r="O117" s="14">
        <v>35</v>
      </c>
      <c r="P117" s="187">
        <v>21</v>
      </c>
      <c r="Q117" s="292">
        <v>65</v>
      </c>
      <c r="R117" s="292">
        <v>219</v>
      </c>
      <c r="S117" s="14">
        <v>65</v>
      </c>
      <c r="T117" s="14">
        <v>58</v>
      </c>
      <c r="U117" s="14">
        <v>65</v>
      </c>
    </row>
    <row r="118" spans="1:31" s="14" customFormat="1">
      <c r="A118" s="183" t="s">
        <v>643</v>
      </c>
      <c r="B118" s="292">
        <v>16.71</v>
      </c>
      <c r="C118" s="14">
        <v>30</v>
      </c>
      <c r="D118" s="56">
        <v>28</v>
      </c>
      <c r="E118" s="308">
        <v>70</v>
      </c>
      <c r="F118" s="292">
        <v>272</v>
      </c>
      <c r="G118" s="14">
        <v>70</v>
      </c>
      <c r="H118" s="14">
        <v>65</v>
      </c>
      <c r="I118" s="14">
        <v>70</v>
      </c>
      <c r="K118" s="56">
        <v>26</v>
      </c>
      <c r="L118" s="292">
        <v>18.70999999999998</v>
      </c>
      <c r="M118" s="56">
        <v>16</v>
      </c>
      <c r="N118" s="308">
        <v>18.510000000000002</v>
      </c>
      <c r="O118" s="14">
        <v>30</v>
      </c>
      <c r="P118" s="187">
        <v>22</v>
      </c>
      <c r="Q118" s="292">
        <v>70</v>
      </c>
      <c r="R118" s="292">
        <v>222</v>
      </c>
      <c r="S118" s="14">
        <v>70</v>
      </c>
      <c r="T118" s="14">
        <v>60</v>
      </c>
      <c r="U118" s="14">
        <v>70</v>
      </c>
    </row>
    <row r="119" spans="1:31" s="14" customFormat="1">
      <c r="A119" s="183" t="s">
        <v>644</v>
      </c>
      <c r="B119" s="292">
        <v>17.010000000000002</v>
      </c>
      <c r="C119" s="14">
        <v>25</v>
      </c>
      <c r="D119" s="56">
        <v>29</v>
      </c>
      <c r="E119" s="308">
        <v>75</v>
      </c>
      <c r="F119" s="292">
        <v>275</v>
      </c>
      <c r="G119" s="14">
        <v>75</v>
      </c>
      <c r="H119" s="14">
        <v>67</v>
      </c>
      <c r="I119" s="14">
        <v>75</v>
      </c>
      <c r="K119" s="56">
        <v>27</v>
      </c>
      <c r="L119" s="292">
        <v>19.00999999999997</v>
      </c>
      <c r="M119" s="56">
        <v>17</v>
      </c>
      <c r="N119" s="308">
        <v>18.809999999999999</v>
      </c>
      <c r="O119" s="14">
        <v>25</v>
      </c>
      <c r="P119" s="187">
        <v>23</v>
      </c>
      <c r="Q119" s="292">
        <v>75</v>
      </c>
      <c r="R119" s="292">
        <v>225</v>
      </c>
      <c r="S119" s="14">
        <v>75</v>
      </c>
      <c r="T119" s="14">
        <v>62</v>
      </c>
      <c r="U119" s="14">
        <v>75</v>
      </c>
    </row>
    <row r="120" spans="1:31" s="14" customFormat="1">
      <c r="A120" s="236" t="s">
        <v>645</v>
      </c>
      <c r="B120" s="292">
        <v>17.309999999999999</v>
      </c>
      <c r="C120" s="14">
        <v>20</v>
      </c>
      <c r="D120" s="56">
        <v>30</v>
      </c>
      <c r="E120" s="308">
        <v>80</v>
      </c>
      <c r="F120" s="292">
        <v>278</v>
      </c>
      <c r="G120" s="14">
        <v>80</v>
      </c>
      <c r="H120" s="14">
        <v>69</v>
      </c>
      <c r="I120" s="14">
        <v>80</v>
      </c>
      <c r="K120" s="56">
        <v>28</v>
      </c>
      <c r="L120" s="292">
        <v>19.30999999999996</v>
      </c>
      <c r="M120" s="56">
        <v>18</v>
      </c>
      <c r="N120" s="308">
        <v>19.11</v>
      </c>
      <c r="O120" s="14">
        <v>20</v>
      </c>
      <c r="P120" s="187">
        <v>24</v>
      </c>
      <c r="Q120" s="292">
        <v>80</v>
      </c>
      <c r="R120" s="292">
        <v>228</v>
      </c>
      <c r="S120" s="14">
        <v>80</v>
      </c>
      <c r="T120" s="14">
        <v>64</v>
      </c>
      <c r="U120" s="14">
        <v>80</v>
      </c>
    </row>
    <row r="121" spans="1:31" s="14" customFormat="1">
      <c r="A121" s="236" t="s">
        <v>646</v>
      </c>
      <c r="B121" s="292">
        <v>17.61</v>
      </c>
      <c r="C121" s="14">
        <v>15</v>
      </c>
      <c r="D121" s="56">
        <v>31</v>
      </c>
      <c r="E121" s="308">
        <v>85</v>
      </c>
      <c r="F121" s="292">
        <v>281</v>
      </c>
      <c r="G121" s="14">
        <v>85</v>
      </c>
      <c r="H121" s="14">
        <v>71</v>
      </c>
      <c r="I121" s="14">
        <v>85</v>
      </c>
      <c r="K121" s="56">
        <v>29</v>
      </c>
      <c r="L121" s="292">
        <v>19.60999999999995</v>
      </c>
      <c r="M121" s="56">
        <v>19</v>
      </c>
      <c r="N121" s="308">
        <v>19.41</v>
      </c>
      <c r="O121" s="14">
        <v>15</v>
      </c>
      <c r="P121" s="187">
        <v>25</v>
      </c>
      <c r="Q121" s="292">
        <v>85</v>
      </c>
      <c r="R121" s="292">
        <v>231</v>
      </c>
      <c r="S121" s="14">
        <v>85</v>
      </c>
      <c r="T121" s="14">
        <v>66</v>
      </c>
      <c r="U121" s="14">
        <v>85</v>
      </c>
    </row>
    <row r="122" spans="1:31" s="14" customFormat="1">
      <c r="A122" s="308"/>
      <c r="B122" s="292">
        <v>17.91</v>
      </c>
      <c r="C122" s="14">
        <v>10</v>
      </c>
      <c r="D122" s="56">
        <v>32</v>
      </c>
      <c r="E122" s="308">
        <v>90</v>
      </c>
      <c r="F122" s="292">
        <v>284</v>
      </c>
      <c r="G122" s="14">
        <v>90</v>
      </c>
      <c r="H122" s="14">
        <v>73</v>
      </c>
      <c r="I122" s="14">
        <v>90</v>
      </c>
      <c r="K122" s="56">
        <v>30</v>
      </c>
      <c r="L122" s="292">
        <v>19.90999999999994</v>
      </c>
      <c r="M122" s="56">
        <v>20</v>
      </c>
      <c r="N122" s="308">
        <v>19.71</v>
      </c>
      <c r="O122" s="14">
        <v>10</v>
      </c>
      <c r="P122" s="187">
        <v>26</v>
      </c>
      <c r="Q122" s="292">
        <v>90</v>
      </c>
      <c r="R122" s="292">
        <v>234</v>
      </c>
      <c r="S122" s="14">
        <v>90</v>
      </c>
      <c r="T122" s="14">
        <v>68</v>
      </c>
      <c r="U122" s="14">
        <v>90</v>
      </c>
    </row>
    <row r="123" spans="1:31" s="14" customFormat="1">
      <c r="A123" s="308"/>
      <c r="B123" s="292">
        <v>18.21</v>
      </c>
      <c r="C123" s="14">
        <v>5</v>
      </c>
      <c r="D123" s="56">
        <v>33</v>
      </c>
      <c r="E123" s="308">
        <v>95</v>
      </c>
      <c r="F123" s="14">
        <v>287</v>
      </c>
      <c r="G123" s="14">
        <v>95</v>
      </c>
      <c r="H123" s="14">
        <v>75</v>
      </c>
      <c r="I123" s="14">
        <v>95</v>
      </c>
      <c r="K123" s="56">
        <v>31</v>
      </c>
      <c r="L123" s="292">
        <v>20.20999999999993</v>
      </c>
      <c r="M123" s="56">
        <v>21</v>
      </c>
      <c r="N123" s="308">
        <v>20.010000000000002</v>
      </c>
      <c r="O123" s="14">
        <v>5</v>
      </c>
      <c r="P123" s="187">
        <v>27</v>
      </c>
      <c r="Q123" s="292">
        <v>95</v>
      </c>
      <c r="R123" s="14">
        <v>237</v>
      </c>
      <c r="S123" s="14">
        <v>95</v>
      </c>
      <c r="T123" s="14">
        <v>70</v>
      </c>
      <c r="U123" s="14">
        <v>95</v>
      </c>
    </row>
    <row r="124" spans="1:31" s="14" customFormat="1">
      <c r="A124" s="308"/>
      <c r="B124" s="292">
        <v>18.510000000000002</v>
      </c>
      <c r="C124" s="14">
        <v>0</v>
      </c>
      <c r="D124" s="56">
        <v>34</v>
      </c>
      <c r="E124" s="308">
        <v>100</v>
      </c>
      <c r="F124" s="14">
        <v>290</v>
      </c>
      <c r="G124" s="14">
        <v>100</v>
      </c>
      <c r="H124" s="14">
        <v>77</v>
      </c>
      <c r="I124" s="14">
        <v>100</v>
      </c>
      <c r="K124" s="56">
        <v>32</v>
      </c>
      <c r="L124" s="292">
        <v>20.50999999999992</v>
      </c>
      <c r="M124" s="56">
        <v>22</v>
      </c>
      <c r="N124" s="308">
        <v>20.309999999999999</v>
      </c>
      <c r="O124" s="14">
        <v>0</v>
      </c>
      <c r="P124" s="187">
        <v>28</v>
      </c>
      <c r="Q124" s="292">
        <v>100</v>
      </c>
      <c r="R124" s="14">
        <v>240</v>
      </c>
      <c r="S124" s="14">
        <v>100</v>
      </c>
      <c r="T124" s="14">
        <v>72</v>
      </c>
      <c r="U124" s="14">
        <v>100</v>
      </c>
    </row>
    <row r="125" spans="1:31" s="6" customFormat="1">
      <c r="D125" s="56"/>
      <c r="P125" s="56"/>
    </row>
    <row r="126" spans="1:31" s="292" customFormat="1">
      <c r="A126" s="195" t="s">
        <v>258</v>
      </c>
      <c r="B126" s="6" t="s">
        <v>480</v>
      </c>
      <c r="C126" s="6" t="s">
        <v>471</v>
      </c>
      <c r="D126" s="70" t="s">
        <v>473</v>
      </c>
      <c r="E126" s="6" t="s">
        <v>471</v>
      </c>
      <c r="F126" s="6" t="s">
        <v>426</v>
      </c>
      <c r="G126" s="6" t="s">
        <v>471</v>
      </c>
      <c r="H126" s="6"/>
      <c r="I126" s="6"/>
      <c r="J126" s="6"/>
      <c r="K126" s="6"/>
      <c r="L126" s="6"/>
      <c r="M126" s="6"/>
      <c r="N126" s="6" t="s">
        <v>480</v>
      </c>
      <c r="O126" s="6" t="s">
        <v>471</v>
      </c>
      <c r="P126" s="70" t="s">
        <v>473</v>
      </c>
      <c r="Q126" s="6" t="s">
        <v>471</v>
      </c>
      <c r="R126" s="6" t="s">
        <v>426</v>
      </c>
      <c r="S126" s="6" t="s">
        <v>471</v>
      </c>
      <c r="T126" s="6"/>
      <c r="U126" s="6"/>
      <c r="V126" s="6"/>
      <c r="W126" s="6"/>
      <c r="X126" s="6"/>
      <c r="Y126" s="6"/>
      <c r="AC126" s="6"/>
      <c r="AE126" s="6"/>
    </row>
    <row r="127" spans="1:31" s="292" customFormat="1">
      <c r="A127" s="98" t="s">
        <v>59</v>
      </c>
      <c r="B127" s="31">
        <v>0</v>
      </c>
      <c r="C127" s="6">
        <v>48</v>
      </c>
      <c r="D127" s="70">
        <v>0</v>
      </c>
      <c r="E127" s="6">
        <v>100</v>
      </c>
      <c r="F127" s="6">
        <v>0</v>
      </c>
      <c r="G127" s="6">
        <v>48</v>
      </c>
      <c r="H127" s="291"/>
      <c r="I127" s="291"/>
      <c r="J127" s="291"/>
      <c r="K127" s="291"/>
      <c r="L127" s="291"/>
      <c r="M127" s="291"/>
      <c r="N127" s="6">
        <v>0</v>
      </c>
      <c r="O127" s="6">
        <v>48</v>
      </c>
      <c r="P127" s="70">
        <v>0</v>
      </c>
      <c r="Q127" s="6">
        <v>100</v>
      </c>
      <c r="R127" s="6">
        <v>0</v>
      </c>
      <c r="S127" s="6">
        <v>48</v>
      </c>
      <c r="T127" s="97"/>
      <c r="U127" s="97"/>
      <c r="V127" s="97"/>
      <c r="W127" s="97"/>
      <c r="X127" s="291"/>
      <c r="Y127" s="291"/>
      <c r="AC127" s="6"/>
      <c r="AE127" s="6"/>
    </row>
    <row r="128" spans="1:31" s="292" customFormat="1">
      <c r="A128" s="98" t="s">
        <v>524</v>
      </c>
      <c r="B128" s="31">
        <v>220</v>
      </c>
      <c r="C128" s="6">
        <v>52</v>
      </c>
      <c r="D128" s="70">
        <v>14.51</v>
      </c>
      <c r="E128" s="6">
        <v>96</v>
      </c>
      <c r="F128" s="6">
        <v>51</v>
      </c>
      <c r="G128" s="6">
        <v>52</v>
      </c>
      <c r="H128" s="291"/>
      <c r="I128" s="291"/>
      <c r="J128" s="291"/>
      <c r="K128" s="291"/>
      <c r="L128" s="291"/>
      <c r="M128" s="291"/>
      <c r="N128" s="6">
        <v>165</v>
      </c>
      <c r="O128" s="6">
        <v>52</v>
      </c>
      <c r="P128" s="70">
        <v>16.510000000000002</v>
      </c>
      <c r="Q128" s="6">
        <v>96</v>
      </c>
      <c r="R128" s="6">
        <v>41</v>
      </c>
      <c r="S128" s="6">
        <v>52</v>
      </c>
      <c r="T128" s="97"/>
      <c r="U128" s="97"/>
      <c r="V128" s="97"/>
      <c r="W128" s="97"/>
      <c r="X128" s="291"/>
      <c r="Y128" s="291"/>
      <c r="AC128" s="6"/>
      <c r="AE128" s="6"/>
    </row>
    <row r="129" spans="1:31" s="292" customFormat="1">
      <c r="A129" s="94" t="s">
        <v>530</v>
      </c>
      <c r="B129" s="31">
        <v>225</v>
      </c>
      <c r="C129" s="6">
        <v>56</v>
      </c>
      <c r="D129" s="70">
        <v>14.71</v>
      </c>
      <c r="E129" s="6">
        <v>92</v>
      </c>
      <c r="F129" s="6">
        <v>53</v>
      </c>
      <c r="G129" s="6">
        <v>56</v>
      </c>
      <c r="H129" s="291"/>
      <c r="I129" s="291"/>
      <c r="J129" s="291"/>
      <c r="K129" s="291"/>
      <c r="L129" s="291"/>
      <c r="M129" s="291"/>
      <c r="N129" s="6">
        <v>170</v>
      </c>
      <c r="O129" s="6">
        <v>56</v>
      </c>
      <c r="P129" s="70">
        <v>16.71</v>
      </c>
      <c r="Q129" s="6">
        <v>92</v>
      </c>
      <c r="R129" s="6">
        <v>43</v>
      </c>
      <c r="S129" s="6">
        <v>56</v>
      </c>
      <c r="T129" s="97"/>
      <c r="U129" s="97"/>
      <c r="V129" s="97"/>
      <c r="W129" s="97"/>
      <c r="X129" s="291"/>
      <c r="Y129" s="291"/>
      <c r="AC129" s="6"/>
      <c r="AE129" s="6"/>
    </row>
    <row r="130" spans="1:31" s="292" customFormat="1">
      <c r="A130" s="6"/>
      <c r="B130" s="31">
        <v>230</v>
      </c>
      <c r="C130" s="6">
        <v>60</v>
      </c>
      <c r="D130" s="70">
        <v>14.909999999999998</v>
      </c>
      <c r="E130" s="6">
        <v>88</v>
      </c>
      <c r="F130" s="6">
        <v>55</v>
      </c>
      <c r="G130" s="6">
        <v>60</v>
      </c>
      <c r="H130" s="291"/>
      <c r="I130" s="291"/>
      <c r="J130" s="291"/>
      <c r="K130" s="291"/>
      <c r="L130" s="291"/>
      <c r="M130" s="291"/>
      <c r="N130" s="6">
        <v>175</v>
      </c>
      <c r="O130" s="6">
        <v>60</v>
      </c>
      <c r="P130" s="70">
        <v>16.910000000000021</v>
      </c>
      <c r="Q130" s="6">
        <v>88</v>
      </c>
      <c r="R130" s="6">
        <v>45</v>
      </c>
      <c r="S130" s="6">
        <v>60</v>
      </c>
      <c r="T130" s="97"/>
      <c r="U130" s="97"/>
      <c r="V130" s="97"/>
      <c r="W130" s="97"/>
      <c r="X130" s="291"/>
      <c r="Y130" s="291"/>
      <c r="AC130" s="6"/>
      <c r="AE130" s="6"/>
    </row>
    <row r="131" spans="1:31" s="292" customFormat="1">
      <c r="A131" s="6"/>
      <c r="B131" s="31">
        <v>235</v>
      </c>
      <c r="C131" s="6">
        <v>64</v>
      </c>
      <c r="D131" s="70">
        <v>15.109999999999998</v>
      </c>
      <c r="E131" s="6">
        <v>84</v>
      </c>
      <c r="F131" s="6">
        <v>57</v>
      </c>
      <c r="G131" s="6">
        <v>64</v>
      </c>
      <c r="H131" s="291"/>
      <c r="I131" s="291"/>
      <c r="J131" s="291"/>
      <c r="K131" s="291"/>
      <c r="L131" s="291"/>
      <c r="M131" s="291"/>
      <c r="N131" s="6">
        <v>180</v>
      </c>
      <c r="O131" s="6">
        <v>64</v>
      </c>
      <c r="P131" s="70">
        <v>17.110000000000039</v>
      </c>
      <c r="Q131" s="6">
        <v>84</v>
      </c>
      <c r="R131" s="6">
        <v>47</v>
      </c>
      <c r="S131" s="6">
        <v>64</v>
      </c>
      <c r="T131" s="97"/>
      <c r="U131" s="97"/>
      <c r="V131" s="97"/>
      <c r="W131" s="97"/>
      <c r="X131" s="291"/>
      <c r="Y131" s="291"/>
      <c r="AC131" s="6"/>
      <c r="AE131" s="6"/>
    </row>
    <row r="132" spans="1:31" s="292" customFormat="1">
      <c r="A132" s="6"/>
      <c r="B132" s="31">
        <v>240</v>
      </c>
      <c r="C132" s="6">
        <v>68</v>
      </c>
      <c r="D132" s="70">
        <v>15.309999999999999</v>
      </c>
      <c r="E132" s="6">
        <v>80</v>
      </c>
      <c r="F132" s="6">
        <v>59</v>
      </c>
      <c r="G132" s="6">
        <v>68</v>
      </c>
      <c r="H132" s="291"/>
      <c r="I132" s="291"/>
      <c r="J132" s="291"/>
      <c r="K132" s="291"/>
      <c r="L132" s="291"/>
      <c r="M132" s="291"/>
      <c r="N132" s="6">
        <v>185</v>
      </c>
      <c r="O132" s="6">
        <v>68</v>
      </c>
      <c r="P132" s="70">
        <v>17.310000000000056</v>
      </c>
      <c r="Q132" s="6">
        <v>80</v>
      </c>
      <c r="R132" s="6">
        <v>49</v>
      </c>
      <c r="S132" s="6">
        <v>68</v>
      </c>
      <c r="T132" s="97"/>
      <c r="U132" s="97"/>
      <c r="V132" s="97"/>
      <c r="W132" s="97"/>
      <c r="X132" s="291"/>
      <c r="Y132" s="291"/>
      <c r="AC132" s="6"/>
      <c r="AE132" s="6"/>
    </row>
    <row r="133" spans="1:31" s="292" customFormat="1">
      <c r="A133" s="94"/>
      <c r="B133" s="31">
        <v>245</v>
      </c>
      <c r="C133" s="6">
        <v>72</v>
      </c>
      <c r="D133" s="70">
        <v>15.509999999999998</v>
      </c>
      <c r="E133" s="6">
        <v>76</v>
      </c>
      <c r="F133" s="6">
        <v>61</v>
      </c>
      <c r="G133" s="6">
        <v>72</v>
      </c>
      <c r="H133" s="291"/>
      <c r="I133" s="291"/>
      <c r="J133" s="291"/>
      <c r="K133" s="291"/>
      <c r="L133" s="291"/>
      <c r="M133" s="291"/>
      <c r="N133" s="6">
        <v>190</v>
      </c>
      <c r="O133" s="6">
        <v>72</v>
      </c>
      <c r="P133" s="70">
        <v>17.510000000000069</v>
      </c>
      <c r="Q133" s="6">
        <v>76</v>
      </c>
      <c r="R133" s="6">
        <v>51</v>
      </c>
      <c r="S133" s="6">
        <v>72</v>
      </c>
      <c r="T133" s="97"/>
      <c r="U133" s="97"/>
      <c r="V133" s="97"/>
      <c r="W133" s="97"/>
      <c r="X133" s="291"/>
      <c r="Y133" s="291"/>
      <c r="AC133" s="6"/>
      <c r="AE133" s="6"/>
    </row>
    <row r="134" spans="1:31" s="292" customFormat="1">
      <c r="A134" s="94"/>
      <c r="B134" s="31">
        <v>250</v>
      </c>
      <c r="C134" s="6">
        <v>76</v>
      </c>
      <c r="D134" s="70">
        <v>15.709999999999997</v>
      </c>
      <c r="E134" s="6">
        <v>72</v>
      </c>
      <c r="F134" s="6">
        <v>63</v>
      </c>
      <c r="G134" s="6">
        <v>76</v>
      </c>
      <c r="H134" s="291"/>
      <c r="I134" s="291"/>
      <c r="J134" s="291"/>
      <c r="K134" s="291"/>
      <c r="L134" s="291"/>
      <c r="M134" s="291"/>
      <c r="N134" s="6">
        <v>195</v>
      </c>
      <c r="O134" s="6">
        <v>76</v>
      </c>
      <c r="P134" s="70">
        <v>17.710000000000086</v>
      </c>
      <c r="Q134" s="6">
        <v>72</v>
      </c>
      <c r="R134" s="6">
        <v>53</v>
      </c>
      <c r="S134" s="6">
        <v>76</v>
      </c>
      <c r="T134" s="97"/>
      <c r="U134" s="97"/>
      <c r="V134" s="97"/>
      <c r="W134" s="97"/>
      <c r="X134" s="291"/>
      <c r="Y134" s="291"/>
      <c r="AC134" s="6"/>
      <c r="AE134" s="6"/>
    </row>
    <row r="135" spans="1:31" s="292" customFormat="1">
      <c r="A135" s="94"/>
      <c r="B135" s="31">
        <v>255</v>
      </c>
      <c r="C135" s="6">
        <v>80</v>
      </c>
      <c r="D135" s="70">
        <v>15.909999999999998</v>
      </c>
      <c r="E135" s="6">
        <v>68</v>
      </c>
      <c r="F135" s="6">
        <v>65</v>
      </c>
      <c r="G135" s="6">
        <v>80</v>
      </c>
      <c r="H135" s="291"/>
      <c r="I135" s="291"/>
      <c r="J135" s="291"/>
      <c r="K135" s="291"/>
      <c r="L135" s="291"/>
      <c r="M135" s="291"/>
      <c r="N135" s="6">
        <v>200</v>
      </c>
      <c r="O135" s="6">
        <v>80</v>
      </c>
      <c r="P135" s="70">
        <v>17.910000000000103</v>
      </c>
      <c r="Q135" s="6">
        <v>68</v>
      </c>
      <c r="R135" s="6">
        <v>55</v>
      </c>
      <c r="S135" s="6">
        <v>80</v>
      </c>
      <c r="T135" s="97"/>
      <c r="U135" s="97"/>
      <c r="V135" s="97"/>
      <c r="W135" s="97"/>
      <c r="X135" s="291"/>
      <c r="Y135" s="291"/>
      <c r="AC135" s="6"/>
      <c r="AE135" s="6"/>
    </row>
    <row r="136" spans="1:31" s="292" customFormat="1">
      <c r="A136" s="94"/>
      <c r="B136" s="31">
        <v>260</v>
      </c>
      <c r="C136" s="6">
        <v>84</v>
      </c>
      <c r="D136" s="70">
        <v>16.11</v>
      </c>
      <c r="E136" s="6">
        <v>64</v>
      </c>
      <c r="F136" s="6">
        <v>67</v>
      </c>
      <c r="G136" s="6">
        <v>84</v>
      </c>
      <c r="H136" s="291"/>
      <c r="I136" s="291"/>
      <c r="J136" s="291"/>
      <c r="K136" s="291"/>
      <c r="L136" s="291"/>
      <c r="M136" s="291"/>
      <c r="N136" s="6">
        <v>205</v>
      </c>
      <c r="O136" s="6">
        <v>84</v>
      </c>
      <c r="P136" s="70">
        <v>18.11000000000012</v>
      </c>
      <c r="Q136" s="6">
        <v>64</v>
      </c>
      <c r="R136" s="6">
        <v>57</v>
      </c>
      <c r="S136" s="6">
        <v>84</v>
      </c>
      <c r="T136" s="97"/>
      <c r="U136" s="97"/>
      <c r="V136" s="97"/>
      <c r="W136" s="97"/>
      <c r="X136" s="291"/>
      <c r="Y136" s="291"/>
      <c r="AC136" s="6"/>
      <c r="AE136" s="6"/>
    </row>
    <row r="137" spans="1:31" s="292" customFormat="1">
      <c r="A137" s="94"/>
      <c r="B137" s="31">
        <v>265</v>
      </c>
      <c r="C137" s="6">
        <v>88</v>
      </c>
      <c r="D137" s="70">
        <v>16.309999999999999</v>
      </c>
      <c r="E137" s="6">
        <v>60</v>
      </c>
      <c r="F137" s="6">
        <v>69</v>
      </c>
      <c r="G137" s="6">
        <v>88</v>
      </c>
      <c r="H137" s="291"/>
      <c r="I137" s="291"/>
      <c r="J137" s="291"/>
      <c r="K137" s="291"/>
      <c r="L137" s="291"/>
      <c r="M137" s="291"/>
      <c r="N137" s="6">
        <v>210</v>
      </c>
      <c r="O137" s="6">
        <v>88</v>
      </c>
      <c r="P137" s="70">
        <v>18.310000000000134</v>
      </c>
      <c r="Q137" s="6">
        <v>60</v>
      </c>
      <c r="R137" s="6">
        <v>59</v>
      </c>
      <c r="S137" s="6">
        <v>88</v>
      </c>
      <c r="T137" s="97"/>
      <c r="U137" s="97"/>
      <c r="V137" s="97"/>
      <c r="W137" s="97"/>
      <c r="X137" s="291"/>
      <c r="Y137" s="291"/>
      <c r="AC137" s="6"/>
      <c r="AE137" s="6"/>
    </row>
    <row r="138" spans="1:31" s="292" customFormat="1">
      <c r="A138" s="6"/>
      <c r="B138" s="31">
        <v>270</v>
      </c>
      <c r="C138" s="6">
        <v>92</v>
      </c>
      <c r="D138" s="70">
        <v>16.509999999999998</v>
      </c>
      <c r="E138" s="6">
        <v>56</v>
      </c>
      <c r="F138" s="6">
        <v>71</v>
      </c>
      <c r="G138" s="6">
        <v>92</v>
      </c>
      <c r="H138" s="291"/>
      <c r="I138" s="291"/>
      <c r="J138" s="291"/>
      <c r="K138" s="291"/>
      <c r="L138" s="291"/>
      <c r="M138" s="291"/>
      <c r="N138" s="6">
        <v>215</v>
      </c>
      <c r="O138" s="6">
        <v>92</v>
      </c>
      <c r="P138" s="70">
        <v>18.510000000000151</v>
      </c>
      <c r="Q138" s="6">
        <v>56</v>
      </c>
      <c r="R138" s="6">
        <v>61</v>
      </c>
      <c r="S138" s="6">
        <v>92</v>
      </c>
      <c r="T138" s="97"/>
      <c r="U138" s="97"/>
      <c r="V138" s="97"/>
      <c r="W138" s="97"/>
      <c r="X138" s="291"/>
      <c r="Y138" s="291"/>
      <c r="AC138" s="6"/>
      <c r="AE138" s="6"/>
    </row>
    <row r="139" spans="1:31" s="292" customFormat="1">
      <c r="A139" s="6"/>
      <c r="B139" s="31">
        <v>275</v>
      </c>
      <c r="C139" s="6">
        <v>96</v>
      </c>
      <c r="D139" s="70">
        <v>16.709999999999997</v>
      </c>
      <c r="E139" s="6">
        <v>52</v>
      </c>
      <c r="F139" s="6">
        <v>73</v>
      </c>
      <c r="G139" s="6">
        <v>96</v>
      </c>
      <c r="H139" s="291"/>
      <c r="I139" s="291"/>
      <c r="J139" s="291"/>
      <c r="K139" s="291"/>
      <c r="L139" s="291"/>
      <c r="M139" s="291"/>
      <c r="N139" s="6">
        <v>220</v>
      </c>
      <c r="O139" s="6">
        <v>96</v>
      </c>
      <c r="P139" s="70">
        <v>18.710000000000168</v>
      </c>
      <c r="Q139" s="6">
        <v>52</v>
      </c>
      <c r="R139" s="6">
        <v>63</v>
      </c>
      <c r="S139" s="6">
        <v>96</v>
      </c>
      <c r="T139" s="97"/>
      <c r="U139" s="97"/>
      <c r="V139" s="97"/>
      <c r="W139" s="97"/>
      <c r="X139" s="291"/>
      <c r="Y139" s="291"/>
      <c r="AC139" s="6"/>
      <c r="AE139" s="6"/>
    </row>
    <row r="140" spans="1:31" s="292" customFormat="1">
      <c r="A140" s="6"/>
      <c r="B140" s="31">
        <v>280</v>
      </c>
      <c r="C140" s="6">
        <v>100</v>
      </c>
      <c r="D140" s="70">
        <v>16.909999999999997</v>
      </c>
      <c r="E140" s="6">
        <v>48</v>
      </c>
      <c r="F140" s="6">
        <v>75</v>
      </c>
      <c r="G140" s="6">
        <v>100</v>
      </c>
      <c r="H140" s="291"/>
      <c r="I140" s="291"/>
      <c r="J140" s="291"/>
      <c r="K140" s="291"/>
      <c r="L140" s="291"/>
      <c r="M140" s="291"/>
      <c r="N140" s="6">
        <v>225</v>
      </c>
      <c r="O140" s="6">
        <v>100</v>
      </c>
      <c r="P140" s="70">
        <v>18.910000000000181</v>
      </c>
      <c r="Q140" s="6">
        <v>48</v>
      </c>
      <c r="R140" s="6">
        <v>65</v>
      </c>
      <c r="S140" s="6">
        <v>100</v>
      </c>
      <c r="T140" s="97"/>
      <c r="U140" s="97"/>
      <c r="V140" s="97"/>
      <c r="W140" s="97"/>
      <c r="X140" s="291"/>
      <c r="Y140" s="291"/>
      <c r="AC140" s="6"/>
      <c r="AE140" s="6"/>
    </row>
    <row r="141" spans="1:31" s="292" customFormat="1">
      <c r="A141" s="6"/>
      <c r="B141" s="31"/>
      <c r="C141" s="6"/>
      <c r="D141" s="70"/>
      <c r="E141" s="6"/>
      <c r="F141" s="6"/>
      <c r="G141" s="6"/>
      <c r="H141" s="291"/>
      <c r="I141" s="291"/>
      <c r="J141" s="291"/>
      <c r="K141" s="291"/>
      <c r="L141" s="291"/>
      <c r="M141" s="291"/>
      <c r="N141" s="6"/>
      <c r="O141" s="6"/>
      <c r="P141" s="70"/>
      <c r="Q141" s="6"/>
      <c r="R141" s="6"/>
      <c r="S141" s="6"/>
      <c r="T141" s="97"/>
      <c r="U141" s="97"/>
      <c r="V141" s="97"/>
      <c r="W141" s="97"/>
      <c r="X141" s="291"/>
      <c r="Y141" s="291"/>
      <c r="AC141" s="6"/>
      <c r="AE141" s="6"/>
    </row>
    <row r="142" spans="1:31" s="6" customFormat="1">
      <c r="A142" s="195" t="s">
        <v>349</v>
      </c>
      <c r="B142" s="6" t="s">
        <v>480</v>
      </c>
      <c r="C142" s="6" t="s">
        <v>471</v>
      </c>
      <c r="D142" s="70" t="s">
        <v>452</v>
      </c>
      <c r="E142" s="292" t="s">
        <v>471</v>
      </c>
      <c r="F142" s="6" t="s">
        <v>473</v>
      </c>
      <c r="G142" s="6" t="s">
        <v>471</v>
      </c>
      <c r="H142" s="292" t="s">
        <v>480</v>
      </c>
      <c r="I142" s="387" t="s">
        <v>452</v>
      </c>
      <c r="J142" s="292" t="s">
        <v>473</v>
      </c>
      <c r="K142" s="292" t="s">
        <v>480</v>
      </c>
      <c r="L142" s="387" t="s">
        <v>452</v>
      </c>
      <c r="M142" s="292" t="s">
        <v>473</v>
      </c>
      <c r="N142" s="6" t="s">
        <v>480</v>
      </c>
      <c r="O142" s="6" t="s">
        <v>471</v>
      </c>
      <c r="P142" s="70" t="s">
        <v>452</v>
      </c>
      <c r="Q142" s="6" t="s">
        <v>471</v>
      </c>
      <c r="R142" s="6" t="s">
        <v>473</v>
      </c>
      <c r="S142" s="6" t="s">
        <v>471</v>
      </c>
      <c r="T142" s="153"/>
      <c r="U142" s="153"/>
      <c r="V142" s="292" t="s">
        <v>471</v>
      </c>
      <c r="W142" s="153"/>
      <c r="X142" s="153"/>
      <c r="Y142" s="153"/>
    </row>
    <row r="143" spans="1:31" s="6" customFormat="1">
      <c r="A143" s="74"/>
      <c r="B143" s="308">
        <v>0</v>
      </c>
      <c r="C143" s="308">
        <v>50</v>
      </c>
      <c r="D143" s="308">
        <v>0</v>
      </c>
      <c r="E143" s="308">
        <v>50</v>
      </c>
      <c r="F143" s="308">
        <v>0</v>
      </c>
      <c r="G143" s="308">
        <v>100</v>
      </c>
      <c r="H143" s="31">
        <v>0</v>
      </c>
      <c r="I143" s="387">
        <v>0</v>
      </c>
      <c r="J143" s="292">
        <v>0</v>
      </c>
      <c r="K143" s="292">
        <v>0</v>
      </c>
      <c r="L143" s="387">
        <v>0</v>
      </c>
      <c r="M143" s="292">
        <v>0</v>
      </c>
      <c r="N143" s="308">
        <v>0</v>
      </c>
      <c r="O143" s="308">
        <v>50</v>
      </c>
      <c r="P143" s="308">
        <v>0</v>
      </c>
      <c r="Q143" s="308">
        <v>50</v>
      </c>
      <c r="R143" s="308">
        <v>0</v>
      </c>
      <c r="S143" s="308">
        <v>100</v>
      </c>
      <c r="T143" s="153"/>
      <c r="U143" s="153"/>
      <c r="V143" s="292">
        <v>48</v>
      </c>
      <c r="W143" s="153"/>
      <c r="X143" s="153"/>
      <c r="Y143" s="153"/>
    </row>
    <row r="144" spans="1:31" s="6" customFormat="1">
      <c r="A144" s="98" t="s">
        <v>59</v>
      </c>
      <c r="B144" s="308">
        <v>250</v>
      </c>
      <c r="C144" s="308">
        <v>56</v>
      </c>
      <c r="D144" s="308">
        <v>7.9</v>
      </c>
      <c r="E144" s="308">
        <v>56</v>
      </c>
      <c r="F144" s="308">
        <v>14.11</v>
      </c>
      <c r="G144" s="308">
        <v>98</v>
      </c>
      <c r="H144" s="31">
        <v>220</v>
      </c>
      <c r="I144" s="387">
        <v>6.1</v>
      </c>
      <c r="J144" s="387">
        <v>14.51</v>
      </c>
      <c r="K144" s="292">
        <v>165</v>
      </c>
      <c r="L144" s="387">
        <v>5.5</v>
      </c>
      <c r="M144" s="292">
        <v>16.510000000000002</v>
      </c>
      <c r="N144" s="308">
        <v>194</v>
      </c>
      <c r="O144" s="308">
        <v>56</v>
      </c>
      <c r="P144" s="308">
        <v>6.4</v>
      </c>
      <c r="Q144" s="308">
        <v>56</v>
      </c>
      <c r="R144" s="308">
        <v>16.309999999999999</v>
      </c>
      <c r="S144" s="308">
        <v>98</v>
      </c>
      <c r="T144" s="153"/>
      <c r="U144" s="153"/>
      <c r="V144" s="292">
        <v>52</v>
      </c>
      <c r="W144" s="153"/>
      <c r="X144" s="153"/>
      <c r="Y144" s="153"/>
    </row>
    <row r="145" spans="1:25" s="6" customFormat="1">
      <c r="A145" s="98" t="s">
        <v>524</v>
      </c>
      <c r="B145" s="308">
        <v>255</v>
      </c>
      <c r="C145" s="308">
        <v>62</v>
      </c>
      <c r="D145" s="308">
        <v>8.4</v>
      </c>
      <c r="E145" s="308">
        <v>62</v>
      </c>
      <c r="F145" s="308">
        <v>14.21</v>
      </c>
      <c r="G145" s="308">
        <v>96</v>
      </c>
      <c r="H145" s="31">
        <v>225</v>
      </c>
      <c r="I145" s="387">
        <v>6.6</v>
      </c>
      <c r="J145" s="387">
        <v>14.71</v>
      </c>
      <c r="K145" s="292">
        <v>170</v>
      </c>
      <c r="L145" s="387">
        <v>5.6</v>
      </c>
      <c r="M145" s="292">
        <v>16.71</v>
      </c>
      <c r="N145" s="308">
        <v>199</v>
      </c>
      <c r="O145" s="308">
        <v>62</v>
      </c>
      <c r="P145" s="308">
        <v>6.9</v>
      </c>
      <c r="Q145" s="308">
        <v>62</v>
      </c>
      <c r="R145" s="308">
        <v>16.41</v>
      </c>
      <c r="S145" s="308">
        <v>96</v>
      </c>
      <c r="T145" s="153"/>
      <c r="U145" s="153"/>
      <c r="V145" s="292">
        <v>56</v>
      </c>
      <c r="W145" s="153"/>
      <c r="X145" s="153"/>
      <c r="Y145" s="153"/>
    </row>
    <row r="146" spans="1:25" s="6" customFormat="1">
      <c r="A146" s="94" t="s">
        <v>251</v>
      </c>
      <c r="B146" s="308">
        <v>260</v>
      </c>
      <c r="C146" s="308">
        <v>68</v>
      </c>
      <c r="D146" s="308">
        <v>8.9</v>
      </c>
      <c r="E146" s="308">
        <v>68</v>
      </c>
      <c r="F146" s="308">
        <v>14.31</v>
      </c>
      <c r="G146" s="308">
        <v>94</v>
      </c>
      <c r="H146" s="31">
        <v>230</v>
      </c>
      <c r="I146" s="387">
        <v>7.1000000000001506</v>
      </c>
      <c r="J146" s="387">
        <v>14.909999999999998</v>
      </c>
      <c r="K146" s="292">
        <v>175</v>
      </c>
      <c r="L146" s="387">
        <v>6.1</v>
      </c>
      <c r="M146" s="292">
        <v>16.91</v>
      </c>
      <c r="N146" s="308">
        <v>204</v>
      </c>
      <c r="O146" s="308">
        <v>68</v>
      </c>
      <c r="P146" s="308">
        <v>7.4</v>
      </c>
      <c r="Q146" s="308">
        <v>68</v>
      </c>
      <c r="R146" s="308">
        <v>16.510000000000002</v>
      </c>
      <c r="S146" s="308">
        <v>94</v>
      </c>
      <c r="T146" s="153"/>
      <c r="U146" s="153"/>
      <c r="V146" s="292">
        <v>60</v>
      </c>
      <c r="W146" s="153"/>
      <c r="X146" s="153"/>
      <c r="Y146" s="153"/>
    </row>
    <row r="147" spans="1:25" s="6" customFormat="1">
      <c r="A147" s="94"/>
      <c r="B147" s="308">
        <v>265</v>
      </c>
      <c r="C147" s="308">
        <v>74</v>
      </c>
      <c r="D147" s="308">
        <v>9.4</v>
      </c>
      <c r="E147" s="308">
        <v>74</v>
      </c>
      <c r="F147" s="308">
        <v>14.41</v>
      </c>
      <c r="G147" s="308">
        <v>92</v>
      </c>
      <c r="H147" s="31">
        <v>235</v>
      </c>
      <c r="I147" s="387">
        <v>7.4000000000001354</v>
      </c>
      <c r="J147" s="387">
        <v>15.109999999999998</v>
      </c>
      <c r="K147" s="292">
        <v>180</v>
      </c>
      <c r="L147" s="387">
        <v>6.6</v>
      </c>
      <c r="M147" s="292">
        <v>17.11</v>
      </c>
      <c r="N147" s="308">
        <v>209</v>
      </c>
      <c r="O147" s="308">
        <v>74</v>
      </c>
      <c r="P147" s="308">
        <v>7.9</v>
      </c>
      <c r="Q147" s="308">
        <v>74</v>
      </c>
      <c r="R147" s="308">
        <v>16.61</v>
      </c>
      <c r="S147" s="308">
        <v>92</v>
      </c>
      <c r="T147" s="153"/>
      <c r="U147" s="153"/>
      <c r="V147" s="292">
        <v>64</v>
      </c>
      <c r="W147" s="153"/>
      <c r="X147" s="153"/>
      <c r="Y147" s="153"/>
    </row>
    <row r="148" spans="1:25" s="6" customFormat="1">
      <c r="A148" s="94" t="s">
        <v>647</v>
      </c>
      <c r="B148" s="308">
        <v>270</v>
      </c>
      <c r="C148" s="308">
        <v>80</v>
      </c>
      <c r="D148" s="308">
        <v>9.9</v>
      </c>
      <c r="E148" s="308">
        <v>80</v>
      </c>
      <c r="F148" s="308">
        <v>14.51</v>
      </c>
      <c r="G148" s="308">
        <v>90</v>
      </c>
      <c r="H148" s="31">
        <v>240</v>
      </c>
      <c r="I148" s="387">
        <v>7.7000000000001183</v>
      </c>
      <c r="J148" s="387">
        <v>15.309999999999999</v>
      </c>
      <c r="K148" s="292">
        <v>185</v>
      </c>
      <c r="L148" s="387">
        <v>6.8</v>
      </c>
      <c r="M148" s="292">
        <v>17.309999999999999</v>
      </c>
      <c r="N148" s="308">
        <v>214</v>
      </c>
      <c r="O148" s="308">
        <v>80</v>
      </c>
      <c r="P148" s="308">
        <v>8.4</v>
      </c>
      <c r="Q148" s="308">
        <v>80</v>
      </c>
      <c r="R148" s="308">
        <v>16.71</v>
      </c>
      <c r="S148" s="308">
        <v>90</v>
      </c>
      <c r="T148" s="153"/>
      <c r="U148" s="153"/>
      <c r="V148" s="292">
        <v>68</v>
      </c>
      <c r="W148" s="153"/>
      <c r="X148" s="153"/>
      <c r="Y148" s="153"/>
    </row>
    <row r="149" spans="1:25" s="6" customFormat="1">
      <c r="A149" s="94" t="s">
        <v>648</v>
      </c>
      <c r="B149" s="308">
        <v>272</v>
      </c>
      <c r="C149" s="308">
        <v>86</v>
      </c>
      <c r="D149" s="308">
        <v>10.1</v>
      </c>
      <c r="E149" s="308">
        <v>86</v>
      </c>
      <c r="F149" s="308">
        <v>14.61</v>
      </c>
      <c r="G149" s="308">
        <v>88</v>
      </c>
      <c r="H149" s="31">
        <v>245</v>
      </c>
      <c r="I149" s="387">
        <v>8.000000000000103</v>
      </c>
      <c r="J149" s="387">
        <v>15.509999999999998</v>
      </c>
      <c r="K149" s="292">
        <v>190</v>
      </c>
      <c r="L149" s="387">
        <v>6.999999999999897</v>
      </c>
      <c r="M149" s="292">
        <v>17.509999999999998</v>
      </c>
      <c r="N149" s="308">
        <v>216</v>
      </c>
      <c r="O149" s="308">
        <v>86</v>
      </c>
      <c r="P149" s="308">
        <v>8.6</v>
      </c>
      <c r="Q149" s="308">
        <v>86</v>
      </c>
      <c r="R149" s="308">
        <v>16.809999999999999</v>
      </c>
      <c r="S149" s="308">
        <v>88</v>
      </c>
      <c r="T149" s="153"/>
      <c r="U149" s="153"/>
      <c r="V149" s="292">
        <v>72</v>
      </c>
      <c r="W149" s="153"/>
      <c r="X149" s="153"/>
      <c r="Y149" s="153"/>
    </row>
    <row r="150" spans="1:25" s="6" customFormat="1">
      <c r="A150" s="94" t="s">
        <v>649</v>
      </c>
      <c r="B150" s="308">
        <v>274</v>
      </c>
      <c r="C150" s="308">
        <v>88</v>
      </c>
      <c r="D150" s="308">
        <v>10.3</v>
      </c>
      <c r="E150" s="308">
        <v>88</v>
      </c>
      <c r="F150" s="308">
        <v>14.71</v>
      </c>
      <c r="G150" s="308">
        <v>86</v>
      </c>
      <c r="H150" s="31">
        <v>250</v>
      </c>
      <c r="I150" s="387">
        <v>8.300000000000086</v>
      </c>
      <c r="J150" s="387">
        <v>15.709999999999997</v>
      </c>
      <c r="K150" s="292">
        <v>195</v>
      </c>
      <c r="L150" s="387">
        <v>7.1999999999999131</v>
      </c>
      <c r="M150" s="292">
        <v>17.709999999999997</v>
      </c>
      <c r="N150" s="308">
        <v>218</v>
      </c>
      <c r="O150" s="308">
        <v>88</v>
      </c>
      <c r="P150" s="308">
        <v>8.8000000000000007</v>
      </c>
      <c r="Q150" s="308">
        <v>88</v>
      </c>
      <c r="R150" s="308">
        <v>16.91</v>
      </c>
      <c r="S150" s="308">
        <v>86</v>
      </c>
      <c r="T150" s="153"/>
      <c r="U150" s="153"/>
      <c r="V150" s="292">
        <v>76</v>
      </c>
      <c r="W150" s="153"/>
      <c r="X150" s="153"/>
      <c r="Y150" s="153"/>
    </row>
    <row r="151" spans="1:25" s="6" customFormat="1">
      <c r="A151" s="184" t="s">
        <v>650</v>
      </c>
      <c r="B151" s="308">
        <v>276</v>
      </c>
      <c r="C151" s="308">
        <v>90</v>
      </c>
      <c r="D151" s="308">
        <v>10.5</v>
      </c>
      <c r="E151" s="308">
        <v>90</v>
      </c>
      <c r="F151" s="308">
        <v>14.81</v>
      </c>
      <c r="G151" s="308">
        <v>80</v>
      </c>
      <c r="H151" s="31">
        <v>255</v>
      </c>
      <c r="I151" s="387">
        <v>8.6000000000000707</v>
      </c>
      <c r="J151" s="387">
        <v>15.909999999999998</v>
      </c>
      <c r="K151" s="292">
        <v>200</v>
      </c>
      <c r="L151" s="387">
        <v>7.3999999999999293</v>
      </c>
      <c r="M151" s="292">
        <v>17.909999999999997</v>
      </c>
      <c r="N151" s="308">
        <v>220</v>
      </c>
      <c r="O151" s="308">
        <v>90</v>
      </c>
      <c r="P151" s="188">
        <v>9</v>
      </c>
      <c r="Q151" s="308">
        <v>90</v>
      </c>
      <c r="R151" s="308">
        <v>17.010000000000002</v>
      </c>
      <c r="S151" s="308">
        <v>80</v>
      </c>
      <c r="T151" s="153"/>
      <c r="U151" s="153"/>
      <c r="V151" s="292">
        <v>80</v>
      </c>
      <c r="W151" s="153"/>
      <c r="X151" s="153"/>
      <c r="Y151" s="153"/>
    </row>
    <row r="152" spans="1:25" s="6" customFormat="1">
      <c r="B152" s="308">
        <v>279</v>
      </c>
      <c r="C152" s="308">
        <v>92</v>
      </c>
      <c r="D152" s="308">
        <v>10.7</v>
      </c>
      <c r="E152" s="308">
        <v>92</v>
      </c>
      <c r="F152" s="308">
        <v>15.01</v>
      </c>
      <c r="G152" s="308">
        <v>74</v>
      </c>
      <c r="H152" s="31">
        <v>260</v>
      </c>
      <c r="I152" s="387">
        <v>8.9000000000000554</v>
      </c>
      <c r="J152" s="387">
        <v>16.11</v>
      </c>
      <c r="K152" s="292">
        <v>205</v>
      </c>
      <c r="L152" s="387">
        <v>7.5999999999999455</v>
      </c>
      <c r="M152" s="292">
        <v>18.109999999999996</v>
      </c>
      <c r="N152" s="308">
        <v>223</v>
      </c>
      <c r="O152" s="308">
        <v>92</v>
      </c>
      <c r="P152" s="308">
        <v>9.1999999999999993</v>
      </c>
      <c r="Q152" s="308">
        <v>92</v>
      </c>
      <c r="R152" s="308">
        <v>17.21</v>
      </c>
      <c r="S152" s="308">
        <v>74</v>
      </c>
      <c r="T152" s="153"/>
      <c r="U152" s="153"/>
      <c r="V152" s="292">
        <v>84</v>
      </c>
      <c r="W152" s="153"/>
      <c r="X152" s="153"/>
      <c r="Y152" s="153"/>
    </row>
    <row r="153" spans="1:25" s="6" customFormat="1">
      <c r="B153" s="308">
        <v>281</v>
      </c>
      <c r="C153" s="308">
        <v>94</v>
      </c>
      <c r="D153" s="308">
        <v>10.9</v>
      </c>
      <c r="E153" s="308">
        <v>94</v>
      </c>
      <c r="F153" s="308">
        <v>15.21</v>
      </c>
      <c r="G153" s="308">
        <v>68</v>
      </c>
      <c r="H153" s="31">
        <v>265</v>
      </c>
      <c r="I153" s="387">
        <v>9.2000000000000384</v>
      </c>
      <c r="J153" s="387">
        <v>16.309999999999999</v>
      </c>
      <c r="K153" s="292">
        <v>210</v>
      </c>
      <c r="L153" s="387">
        <v>7.7999999999999616</v>
      </c>
      <c r="M153" s="292">
        <v>18.309999999999995</v>
      </c>
      <c r="N153" s="308">
        <v>226</v>
      </c>
      <c r="O153" s="308">
        <v>94</v>
      </c>
      <c r="P153" s="308">
        <v>9.4</v>
      </c>
      <c r="Q153" s="308">
        <v>94</v>
      </c>
      <c r="R153" s="308">
        <v>17.41</v>
      </c>
      <c r="S153" s="308">
        <v>68</v>
      </c>
      <c r="T153" s="153"/>
      <c r="U153" s="153"/>
      <c r="V153" s="292">
        <v>88</v>
      </c>
      <c r="W153" s="153"/>
      <c r="X153" s="153"/>
      <c r="Y153" s="153"/>
    </row>
    <row r="154" spans="1:25" s="6" customFormat="1">
      <c r="B154" s="308">
        <v>284</v>
      </c>
      <c r="C154" s="308">
        <v>96</v>
      </c>
      <c r="D154" s="308">
        <v>11.1</v>
      </c>
      <c r="E154" s="308">
        <v>96</v>
      </c>
      <c r="F154" s="308">
        <v>15.41</v>
      </c>
      <c r="G154" s="308">
        <v>62</v>
      </c>
      <c r="H154" s="31">
        <v>270</v>
      </c>
      <c r="I154" s="387">
        <v>9.5000000000000231</v>
      </c>
      <c r="J154" s="387">
        <v>16.509999999999998</v>
      </c>
      <c r="K154" s="292">
        <v>215</v>
      </c>
      <c r="L154" s="387">
        <v>7.9999999999999769</v>
      </c>
      <c r="M154" s="292">
        <v>18.509999999999994</v>
      </c>
      <c r="N154" s="308">
        <v>229</v>
      </c>
      <c r="O154" s="308">
        <v>96</v>
      </c>
      <c r="P154" s="308">
        <v>9.6</v>
      </c>
      <c r="Q154" s="308">
        <v>96</v>
      </c>
      <c r="R154" s="308">
        <v>17.61</v>
      </c>
      <c r="S154" s="308">
        <v>62</v>
      </c>
      <c r="T154" s="153"/>
      <c r="U154" s="153"/>
      <c r="V154" s="292">
        <v>92</v>
      </c>
      <c r="W154" s="153"/>
      <c r="X154" s="153"/>
      <c r="Y154" s="153"/>
    </row>
    <row r="155" spans="1:25" s="6" customFormat="1">
      <c r="B155" s="308">
        <v>287</v>
      </c>
      <c r="C155" s="308">
        <v>98</v>
      </c>
      <c r="D155" s="308">
        <v>11.3</v>
      </c>
      <c r="E155" s="308">
        <v>98</v>
      </c>
      <c r="F155" s="308">
        <v>15.61</v>
      </c>
      <c r="G155" s="308">
        <v>56</v>
      </c>
      <c r="H155" s="31">
        <v>275</v>
      </c>
      <c r="I155" s="387">
        <v>9.8000000000000007</v>
      </c>
      <c r="J155" s="387">
        <v>16.709999999999997</v>
      </c>
      <c r="K155" s="292">
        <v>220</v>
      </c>
      <c r="L155" s="387">
        <v>8.1999999999999993</v>
      </c>
      <c r="M155" s="292">
        <v>18.709999999999994</v>
      </c>
      <c r="N155" s="308">
        <v>232</v>
      </c>
      <c r="O155" s="308">
        <v>98</v>
      </c>
      <c r="P155" s="308">
        <v>9.8000000000000007</v>
      </c>
      <c r="Q155" s="308">
        <v>98</v>
      </c>
      <c r="R155" s="308">
        <v>17.809999999999999</v>
      </c>
      <c r="S155" s="308">
        <v>56</v>
      </c>
      <c r="T155" s="153"/>
      <c r="U155" s="153"/>
      <c r="V155" s="292">
        <v>96</v>
      </c>
      <c r="W155" s="153"/>
      <c r="X155" s="153"/>
      <c r="Y155" s="153"/>
    </row>
    <row r="156" spans="1:25" s="6" customFormat="1">
      <c r="B156" s="308">
        <v>290</v>
      </c>
      <c r="C156" s="308">
        <v>100</v>
      </c>
      <c r="D156" s="308">
        <v>11.5</v>
      </c>
      <c r="E156" s="308">
        <v>100</v>
      </c>
      <c r="F156" s="308">
        <v>15.81</v>
      </c>
      <c r="G156" s="308">
        <v>50</v>
      </c>
      <c r="H156" s="31">
        <v>280</v>
      </c>
      <c r="I156" s="387">
        <v>10.1</v>
      </c>
      <c r="J156" s="387">
        <v>16.909999999999997</v>
      </c>
      <c r="K156" s="292">
        <v>225</v>
      </c>
      <c r="L156" s="387">
        <v>8.4</v>
      </c>
      <c r="M156" s="292">
        <v>18.909999999999993</v>
      </c>
      <c r="N156" s="308">
        <v>235</v>
      </c>
      <c r="O156" s="308">
        <v>100</v>
      </c>
      <c r="P156" s="308">
        <v>10</v>
      </c>
      <c r="Q156" s="308">
        <v>100</v>
      </c>
      <c r="R156" s="308">
        <v>18.010000000000002</v>
      </c>
      <c r="S156" s="308">
        <v>50</v>
      </c>
      <c r="T156" s="153"/>
      <c r="U156" s="153"/>
      <c r="V156" s="292">
        <v>100</v>
      </c>
      <c r="W156" s="153"/>
      <c r="X156" s="153"/>
      <c r="Y156" s="153"/>
    </row>
    <row r="157" spans="1:25" s="14" customFormat="1">
      <c r="D157" s="56"/>
      <c r="P157" s="56"/>
    </row>
    <row r="158" spans="1:25" s="14" customFormat="1">
      <c r="A158" s="14" t="s">
        <v>253</v>
      </c>
      <c r="B158" s="14" t="s">
        <v>448</v>
      </c>
      <c r="C158" s="14" t="s">
        <v>471</v>
      </c>
      <c r="D158" s="375" t="s">
        <v>451</v>
      </c>
      <c r="E158" s="14" t="s">
        <v>471</v>
      </c>
      <c r="F158" s="14" t="s">
        <v>457</v>
      </c>
      <c r="G158" s="14" t="s">
        <v>471</v>
      </c>
      <c r="H158" s="104" t="s">
        <v>452</v>
      </c>
      <c r="I158" s="104" t="s">
        <v>471</v>
      </c>
      <c r="J158" s="292" t="s">
        <v>426</v>
      </c>
      <c r="K158" s="292" t="s">
        <v>471</v>
      </c>
      <c r="N158" s="14" t="s">
        <v>448</v>
      </c>
      <c r="O158" s="14" t="s">
        <v>471</v>
      </c>
      <c r="P158" s="375" t="s">
        <v>451</v>
      </c>
      <c r="Q158" s="14" t="s">
        <v>471</v>
      </c>
      <c r="R158" s="14" t="s">
        <v>457</v>
      </c>
      <c r="S158" s="14" t="s">
        <v>471</v>
      </c>
      <c r="T158" s="375" t="s">
        <v>452</v>
      </c>
      <c r="U158" s="292" t="s">
        <v>471</v>
      </c>
      <c r="V158" s="292" t="s">
        <v>426</v>
      </c>
      <c r="W158" s="292" t="s">
        <v>471</v>
      </c>
    </row>
    <row r="159" spans="1:25" s="14" customFormat="1">
      <c r="B159" s="14">
        <v>0</v>
      </c>
      <c r="C159" s="14">
        <v>5</v>
      </c>
      <c r="D159" s="14">
        <v>0</v>
      </c>
      <c r="E159" s="14">
        <v>5</v>
      </c>
      <c r="F159" s="14">
        <v>0</v>
      </c>
      <c r="G159" s="14">
        <v>100</v>
      </c>
      <c r="H159" s="292">
        <v>0</v>
      </c>
      <c r="I159" s="292">
        <v>5</v>
      </c>
      <c r="J159" s="292">
        <v>0</v>
      </c>
      <c r="K159" s="292">
        <v>5</v>
      </c>
      <c r="N159" s="14">
        <v>0</v>
      </c>
      <c r="O159" s="14">
        <v>5</v>
      </c>
      <c r="P159" s="14">
        <v>0</v>
      </c>
      <c r="Q159" s="14">
        <v>5</v>
      </c>
      <c r="R159" s="14">
        <v>0</v>
      </c>
      <c r="S159" s="14">
        <v>100</v>
      </c>
      <c r="T159" s="292">
        <v>0</v>
      </c>
      <c r="U159" s="292">
        <v>5</v>
      </c>
      <c r="V159" s="292">
        <v>0</v>
      </c>
      <c r="W159" s="292">
        <v>5</v>
      </c>
    </row>
    <row r="160" spans="1:25" s="14" customFormat="1">
      <c r="A160" s="184" t="s">
        <v>53</v>
      </c>
      <c r="B160" s="14">
        <v>254</v>
      </c>
      <c r="C160" s="14">
        <v>10</v>
      </c>
      <c r="D160" s="292">
        <v>130</v>
      </c>
      <c r="E160" s="14">
        <v>10</v>
      </c>
      <c r="F160" s="14">
        <v>8.01</v>
      </c>
      <c r="G160" s="14">
        <v>95</v>
      </c>
      <c r="H160" s="292">
        <v>8.4000000000000092</v>
      </c>
      <c r="I160" s="292">
        <v>10</v>
      </c>
      <c r="J160" s="292">
        <v>57</v>
      </c>
      <c r="K160" s="292">
        <v>10</v>
      </c>
      <c r="N160" s="14">
        <v>204</v>
      </c>
      <c r="O160" s="14">
        <v>10</v>
      </c>
      <c r="P160" s="292">
        <v>60</v>
      </c>
      <c r="Q160" s="14">
        <v>10</v>
      </c>
      <c r="R160" s="14">
        <v>9.01</v>
      </c>
      <c r="S160" s="14">
        <v>95</v>
      </c>
      <c r="T160" s="292">
        <v>5.4000000000000101</v>
      </c>
      <c r="U160" s="292">
        <v>10</v>
      </c>
      <c r="V160" s="292">
        <v>47</v>
      </c>
      <c r="W160" s="292">
        <v>10</v>
      </c>
    </row>
    <row r="161" spans="1:23" s="14" customFormat="1">
      <c r="A161" s="184" t="s">
        <v>129</v>
      </c>
      <c r="B161" s="14">
        <v>256</v>
      </c>
      <c r="C161" s="14">
        <v>15</v>
      </c>
      <c r="D161" s="292">
        <v>135</v>
      </c>
      <c r="E161" s="14">
        <v>15</v>
      </c>
      <c r="F161" s="14">
        <v>8.11</v>
      </c>
      <c r="G161" s="14">
        <v>90</v>
      </c>
      <c r="H161" s="292">
        <v>8.6000000000000103</v>
      </c>
      <c r="I161" s="292">
        <v>15</v>
      </c>
      <c r="J161" s="292">
        <v>58</v>
      </c>
      <c r="K161" s="292">
        <v>15</v>
      </c>
      <c r="N161" s="14">
        <v>206</v>
      </c>
      <c r="O161" s="14">
        <v>15</v>
      </c>
      <c r="P161" s="292">
        <v>65</v>
      </c>
      <c r="Q161" s="14">
        <v>15</v>
      </c>
      <c r="R161" s="14">
        <v>9.11</v>
      </c>
      <c r="S161" s="14">
        <v>90</v>
      </c>
      <c r="T161" s="292">
        <v>5.6000000000000103</v>
      </c>
      <c r="U161" s="292">
        <v>15</v>
      </c>
      <c r="V161" s="292">
        <v>48</v>
      </c>
      <c r="W161" s="292">
        <v>15</v>
      </c>
    </row>
    <row r="162" spans="1:23" s="14" customFormat="1">
      <c r="A162" s="184"/>
      <c r="B162" s="14">
        <v>258</v>
      </c>
      <c r="C162" s="14">
        <v>20</v>
      </c>
      <c r="D162" s="292">
        <v>140</v>
      </c>
      <c r="E162" s="14">
        <v>20</v>
      </c>
      <c r="F162" s="14">
        <v>8.2099999999999991</v>
      </c>
      <c r="G162" s="193">
        <v>85</v>
      </c>
      <c r="H162" s="292">
        <v>8.8000000000000096</v>
      </c>
      <c r="I162" s="292">
        <v>20</v>
      </c>
      <c r="J162" s="292">
        <v>59</v>
      </c>
      <c r="K162" s="292">
        <v>20</v>
      </c>
      <c r="N162" s="14">
        <v>208</v>
      </c>
      <c r="O162" s="14">
        <v>20</v>
      </c>
      <c r="P162" s="292">
        <v>70</v>
      </c>
      <c r="Q162" s="14">
        <v>20</v>
      </c>
      <c r="R162" s="14">
        <v>9.2099999999999991</v>
      </c>
      <c r="S162" s="14">
        <v>85</v>
      </c>
      <c r="T162" s="292">
        <v>5.8000000000000096</v>
      </c>
      <c r="U162" s="292">
        <v>20</v>
      </c>
      <c r="V162" s="292">
        <v>49</v>
      </c>
      <c r="W162" s="292">
        <v>20</v>
      </c>
    </row>
    <row r="163" spans="1:23" s="14" customFormat="1">
      <c r="A163" s="184"/>
      <c r="B163" s="14">
        <v>260</v>
      </c>
      <c r="C163" s="14">
        <v>25</v>
      </c>
      <c r="D163" s="292">
        <v>145</v>
      </c>
      <c r="E163" s="14">
        <v>25</v>
      </c>
      <c r="F163" s="14">
        <v>8.3099999999999987</v>
      </c>
      <c r="G163" s="14">
        <v>80</v>
      </c>
      <c r="H163" s="292">
        <v>9.0000000000000107</v>
      </c>
      <c r="I163" s="292">
        <v>25</v>
      </c>
      <c r="J163" s="292">
        <v>60</v>
      </c>
      <c r="K163" s="292">
        <v>25</v>
      </c>
      <c r="N163" s="14">
        <v>210</v>
      </c>
      <c r="O163" s="14">
        <v>25</v>
      </c>
      <c r="P163" s="292">
        <v>75</v>
      </c>
      <c r="Q163" s="14">
        <v>25</v>
      </c>
      <c r="R163" s="14">
        <v>9.3099999999999987</v>
      </c>
      <c r="S163" s="14">
        <v>80</v>
      </c>
      <c r="T163" s="292">
        <v>6.0000000000000098</v>
      </c>
      <c r="U163" s="292">
        <v>25</v>
      </c>
      <c r="V163" s="292">
        <v>50</v>
      </c>
      <c r="W163" s="292">
        <v>25</v>
      </c>
    </row>
    <row r="164" spans="1:23" s="14" customFormat="1">
      <c r="B164" s="14">
        <v>262</v>
      </c>
      <c r="C164" s="14">
        <v>30</v>
      </c>
      <c r="D164" s="292">
        <v>150</v>
      </c>
      <c r="E164" s="14">
        <v>30</v>
      </c>
      <c r="F164" s="14">
        <v>8.4099999999999984</v>
      </c>
      <c r="G164" s="14">
        <v>75</v>
      </c>
      <c r="H164" s="292">
        <v>9.2000000000000099</v>
      </c>
      <c r="I164" s="292">
        <v>30</v>
      </c>
      <c r="J164" s="292">
        <v>61</v>
      </c>
      <c r="K164" s="292">
        <v>30</v>
      </c>
      <c r="N164" s="14">
        <v>212</v>
      </c>
      <c r="O164" s="14">
        <v>30</v>
      </c>
      <c r="P164" s="292">
        <v>80</v>
      </c>
      <c r="Q164" s="14">
        <v>30</v>
      </c>
      <c r="R164" s="14">
        <v>9.4099999999999984</v>
      </c>
      <c r="S164" s="14">
        <v>75</v>
      </c>
      <c r="T164" s="292">
        <v>6.2000000000000099</v>
      </c>
      <c r="U164" s="292">
        <v>30</v>
      </c>
      <c r="V164" s="292">
        <v>51</v>
      </c>
      <c r="W164" s="292">
        <v>30</v>
      </c>
    </row>
    <row r="165" spans="1:23" s="14" customFormat="1">
      <c r="B165" s="14">
        <v>264</v>
      </c>
      <c r="C165" s="14">
        <v>35</v>
      </c>
      <c r="D165" s="292">
        <v>155</v>
      </c>
      <c r="E165" s="14">
        <v>35</v>
      </c>
      <c r="F165" s="14">
        <v>8.509999999999998</v>
      </c>
      <c r="G165" s="14">
        <v>70</v>
      </c>
      <c r="H165" s="292">
        <v>9.4000000000000092</v>
      </c>
      <c r="I165" s="292">
        <v>35</v>
      </c>
      <c r="J165" s="292">
        <v>62</v>
      </c>
      <c r="K165" s="292">
        <v>35</v>
      </c>
      <c r="N165" s="14">
        <v>214</v>
      </c>
      <c r="O165" s="14">
        <v>35</v>
      </c>
      <c r="P165" s="292">
        <v>85</v>
      </c>
      <c r="Q165" s="14">
        <v>35</v>
      </c>
      <c r="R165" s="14">
        <v>9.509999999999998</v>
      </c>
      <c r="S165" s="14">
        <v>70</v>
      </c>
      <c r="T165" s="292">
        <v>6.4000000000000101</v>
      </c>
      <c r="U165" s="292">
        <v>35</v>
      </c>
      <c r="V165" s="292">
        <v>52</v>
      </c>
      <c r="W165" s="292">
        <v>35</v>
      </c>
    </row>
    <row r="166" spans="1:23" s="14" customFormat="1">
      <c r="B166" s="14">
        <v>266</v>
      </c>
      <c r="C166" s="14">
        <v>40</v>
      </c>
      <c r="D166" s="292">
        <v>160</v>
      </c>
      <c r="E166" s="14">
        <v>40</v>
      </c>
      <c r="F166" s="14">
        <v>8.6099999999999977</v>
      </c>
      <c r="G166" s="14">
        <v>65</v>
      </c>
      <c r="H166" s="292">
        <v>9.6000000000000103</v>
      </c>
      <c r="I166" s="292">
        <v>40</v>
      </c>
      <c r="J166" s="292">
        <v>63</v>
      </c>
      <c r="K166" s="292">
        <v>40</v>
      </c>
      <c r="N166" s="14">
        <v>216</v>
      </c>
      <c r="O166" s="14">
        <v>40</v>
      </c>
      <c r="P166" s="292">
        <v>90</v>
      </c>
      <c r="Q166" s="14">
        <v>40</v>
      </c>
      <c r="R166" s="14">
        <v>9.6099999999999977</v>
      </c>
      <c r="S166" s="14">
        <v>65</v>
      </c>
      <c r="T166" s="292">
        <v>6.6000000000000103</v>
      </c>
      <c r="U166" s="292">
        <v>40</v>
      </c>
      <c r="V166" s="292">
        <v>53</v>
      </c>
      <c r="W166" s="292">
        <v>40</v>
      </c>
    </row>
    <row r="167" spans="1:23" s="14" customFormat="1">
      <c r="B167" s="14">
        <v>268</v>
      </c>
      <c r="C167" s="14">
        <v>45</v>
      </c>
      <c r="D167" s="292">
        <v>165</v>
      </c>
      <c r="E167" s="14">
        <v>45</v>
      </c>
      <c r="F167" s="14">
        <v>8.7099999999999973</v>
      </c>
      <c r="G167" s="14">
        <v>60</v>
      </c>
      <c r="H167" s="292">
        <v>9.8000000000000096</v>
      </c>
      <c r="I167" s="292">
        <v>45</v>
      </c>
      <c r="J167" s="292">
        <v>64</v>
      </c>
      <c r="K167" s="292">
        <v>45</v>
      </c>
      <c r="N167" s="14">
        <v>218</v>
      </c>
      <c r="O167" s="14">
        <v>45</v>
      </c>
      <c r="P167" s="292">
        <v>95</v>
      </c>
      <c r="Q167" s="14">
        <v>45</v>
      </c>
      <c r="R167" s="14">
        <v>9.7099999999999973</v>
      </c>
      <c r="S167" s="14">
        <v>60</v>
      </c>
      <c r="T167" s="292">
        <v>6.8000000000000096</v>
      </c>
      <c r="U167" s="292">
        <v>45</v>
      </c>
      <c r="V167" s="292">
        <v>54</v>
      </c>
      <c r="W167" s="292">
        <v>45</v>
      </c>
    </row>
    <row r="168" spans="1:23" s="14" customFormat="1">
      <c r="B168" s="14">
        <v>270</v>
      </c>
      <c r="C168" s="14">
        <v>50</v>
      </c>
      <c r="D168" s="292">
        <v>170</v>
      </c>
      <c r="E168" s="14">
        <v>50</v>
      </c>
      <c r="F168" s="14">
        <v>8.8099999999999969</v>
      </c>
      <c r="G168" s="14">
        <v>55</v>
      </c>
      <c r="H168" s="292">
        <v>10</v>
      </c>
      <c r="I168" s="292">
        <v>50</v>
      </c>
      <c r="J168" s="292">
        <v>65</v>
      </c>
      <c r="K168" s="292">
        <v>50</v>
      </c>
      <c r="N168" s="14">
        <v>220</v>
      </c>
      <c r="O168" s="14">
        <v>50</v>
      </c>
      <c r="P168" s="292">
        <v>100</v>
      </c>
      <c r="Q168" s="14">
        <v>50</v>
      </c>
      <c r="R168" s="14">
        <v>9.8099999999999969</v>
      </c>
      <c r="S168" s="14">
        <v>55</v>
      </c>
      <c r="T168" s="292">
        <v>7.0000000000000098</v>
      </c>
      <c r="U168" s="292">
        <v>50</v>
      </c>
      <c r="V168" s="292">
        <v>55</v>
      </c>
      <c r="W168" s="292">
        <v>50</v>
      </c>
    </row>
    <row r="169" spans="1:23" s="14" customFormat="1">
      <c r="B169" s="14">
        <v>272</v>
      </c>
      <c r="C169" s="14">
        <v>55</v>
      </c>
      <c r="D169" s="292">
        <v>175</v>
      </c>
      <c r="E169" s="14">
        <v>55</v>
      </c>
      <c r="F169" s="14">
        <v>8.9099999999999966</v>
      </c>
      <c r="G169" s="14">
        <v>50</v>
      </c>
      <c r="H169" s="292">
        <v>10.199999999999999</v>
      </c>
      <c r="I169" s="292">
        <v>55</v>
      </c>
      <c r="J169" s="292">
        <v>66</v>
      </c>
      <c r="K169" s="292">
        <v>55</v>
      </c>
      <c r="N169" s="14">
        <v>222</v>
      </c>
      <c r="O169" s="14">
        <v>55</v>
      </c>
      <c r="P169" s="292">
        <v>105</v>
      </c>
      <c r="Q169" s="14">
        <v>55</v>
      </c>
      <c r="R169" s="14">
        <v>9.9099999999999966</v>
      </c>
      <c r="S169" s="14">
        <v>50</v>
      </c>
      <c r="T169" s="292">
        <v>7.2000000000000099</v>
      </c>
      <c r="U169" s="292">
        <v>55</v>
      </c>
      <c r="V169" s="292">
        <v>56</v>
      </c>
      <c r="W169" s="292">
        <v>55</v>
      </c>
    </row>
    <row r="170" spans="1:23" s="14" customFormat="1">
      <c r="B170" s="14">
        <v>274</v>
      </c>
      <c r="C170" s="14">
        <v>60</v>
      </c>
      <c r="D170" s="292">
        <v>180</v>
      </c>
      <c r="E170" s="14">
        <v>60</v>
      </c>
      <c r="F170" s="14">
        <v>9.0099999999999962</v>
      </c>
      <c r="G170" s="14">
        <v>45</v>
      </c>
      <c r="H170" s="292">
        <v>10.4</v>
      </c>
      <c r="I170" s="292">
        <v>60</v>
      </c>
      <c r="J170" s="292">
        <v>67</v>
      </c>
      <c r="K170" s="292">
        <v>60</v>
      </c>
      <c r="N170" s="14">
        <v>224</v>
      </c>
      <c r="O170" s="14">
        <v>60</v>
      </c>
      <c r="P170" s="292">
        <v>110</v>
      </c>
      <c r="Q170" s="14">
        <v>60</v>
      </c>
      <c r="R170" s="14">
        <v>10.009999999999996</v>
      </c>
      <c r="S170" s="14">
        <v>45</v>
      </c>
      <c r="T170" s="292">
        <v>7.4</v>
      </c>
      <c r="U170" s="292">
        <v>60</v>
      </c>
      <c r="V170" s="292">
        <v>57</v>
      </c>
      <c r="W170" s="292">
        <v>60</v>
      </c>
    </row>
    <row r="171" spans="1:23" s="14" customFormat="1">
      <c r="B171" s="14">
        <v>276</v>
      </c>
      <c r="C171" s="14">
        <v>65</v>
      </c>
      <c r="D171" s="292">
        <v>185</v>
      </c>
      <c r="E171" s="14">
        <v>65</v>
      </c>
      <c r="F171" s="14">
        <v>9.1099999999999959</v>
      </c>
      <c r="G171" s="14">
        <v>40</v>
      </c>
      <c r="H171" s="292">
        <v>10.6</v>
      </c>
      <c r="I171" s="292">
        <v>65</v>
      </c>
      <c r="J171" s="292">
        <v>68</v>
      </c>
      <c r="K171" s="292">
        <v>65</v>
      </c>
      <c r="N171" s="14">
        <v>226</v>
      </c>
      <c r="O171" s="14">
        <v>65</v>
      </c>
      <c r="P171" s="292">
        <v>115</v>
      </c>
      <c r="Q171" s="14">
        <v>65</v>
      </c>
      <c r="R171" s="14">
        <v>10.109999999999996</v>
      </c>
      <c r="S171" s="14">
        <v>40</v>
      </c>
      <c r="T171" s="292">
        <v>7.6</v>
      </c>
      <c r="U171" s="292">
        <v>65</v>
      </c>
      <c r="V171" s="292">
        <v>58</v>
      </c>
      <c r="W171" s="292">
        <v>65</v>
      </c>
    </row>
    <row r="172" spans="1:23" s="14" customFormat="1">
      <c r="B172" s="14">
        <v>278</v>
      </c>
      <c r="C172" s="14">
        <v>70</v>
      </c>
      <c r="D172" s="292">
        <v>190</v>
      </c>
      <c r="E172" s="14">
        <v>70</v>
      </c>
      <c r="F172" s="14">
        <v>9.2099999999999955</v>
      </c>
      <c r="G172" s="14">
        <v>35</v>
      </c>
      <c r="H172" s="292">
        <v>10.8</v>
      </c>
      <c r="I172" s="292">
        <v>70</v>
      </c>
      <c r="J172" s="292">
        <v>69</v>
      </c>
      <c r="K172" s="292">
        <v>70</v>
      </c>
      <c r="N172" s="14">
        <v>228</v>
      </c>
      <c r="O172" s="14">
        <v>70</v>
      </c>
      <c r="P172" s="292">
        <v>120</v>
      </c>
      <c r="Q172" s="14">
        <v>70</v>
      </c>
      <c r="R172" s="14">
        <v>10.209999999999996</v>
      </c>
      <c r="S172" s="14">
        <v>35</v>
      </c>
      <c r="T172" s="292">
        <v>7.8</v>
      </c>
      <c r="U172" s="292">
        <v>70</v>
      </c>
      <c r="V172" s="292">
        <v>59</v>
      </c>
      <c r="W172" s="292">
        <v>70</v>
      </c>
    </row>
    <row r="173" spans="1:23" s="14" customFormat="1">
      <c r="B173" s="14">
        <v>280</v>
      </c>
      <c r="C173" s="14">
        <v>75</v>
      </c>
      <c r="D173" s="292">
        <v>195</v>
      </c>
      <c r="E173" s="14">
        <v>75</v>
      </c>
      <c r="F173" s="14">
        <v>9.3099999999999952</v>
      </c>
      <c r="G173" s="14">
        <v>30</v>
      </c>
      <c r="H173" s="292">
        <v>11</v>
      </c>
      <c r="I173" s="292">
        <v>75</v>
      </c>
      <c r="J173" s="292">
        <v>70</v>
      </c>
      <c r="K173" s="292">
        <v>75</v>
      </c>
      <c r="N173" s="14">
        <v>230</v>
      </c>
      <c r="O173" s="14">
        <v>75</v>
      </c>
      <c r="P173" s="292">
        <v>125</v>
      </c>
      <c r="Q173" s="14">
        <v>75</v>
      </c>
      <c r="R173" s="14">
        <v>10.309999999999995</v>
      </c>
      <c r="S173" s="14">
        <v>30</v>
      </c>
      <c r="T173" s="292">
        <v>8</v>
      </c>
      <c r="U173" s="292">
        <v>75</v>
      </c>
      <c r="V173" s="292">
        <v>60</v>
      </c>
      <c r="W173" s="292">
        <v>75</v>
      </c>
    </row>
    <row r="174" spans="1:23" s="14" customFormat="1">
      <c r="B174" s="14">
        <v>282</v>
      </c>
      <c r="C174" s="14">
        <v>80</v>
      </c>
      <c r="D174" s="292">
        <v>200</v>
      </c>
      <c r="E174" s="14">
        <v>80</v>
      </c>
      <c r="F174" s="14">
        <v>9.4099999999999948</v>
      </c>
      <c r="G174" s="14">
        <v>25</v>
      </c>
      <c r="H174" s="292">
        <v>11.2</v>
      </c>
      <c r="I174" s="292">
        <v>80</v>
      </c>
      <c r="J174" s="292">
        <v>71</v>
      </c>
      <c r="K174" s="292">
        <v>80</v>
      </c>
      <c r="N174" s="14">
        <v>232</v>
      </c>
      <c r="O174" s="14">
        <v>80</v>
      </c>
      <c r="P174" s="292">
        <v>130</v>
      </c>
      <c r="Q174" s="14">
        <v>80</v>
      </c>
      <c r="R174" s="14">
        <v>10.409999999999995</v>
      </c>
      <c r="S174" s="14">
        <v>25</v>
      </c>
      <c r="T174" s="292">
        <v>8.1999999999999993</v>
      </c>
      <c r="U174" s="292">
        <v>80</v>
      </c>
      <c r="V174" s="292">
        <v>61</v>
      </c>
      <c r="W174" s="292">
        <v>80</v>
      </c>
    </row>
    <row r="175" spans="1:23" s="14" customFormat="1">
      <c r="B175" s="14">
        <v>284</v>
      </c>
      <c r="C175" s="193">
        <v>85</v>
      </c>
      <c r="D175" s="292">
        <v>205</v>
      </c>
      <c r="E175" s="193">
        <v>85</v>
      </c>
      <c r="F175" s="14">
        <v>9.5099999999999945</v>
      </c>
      <c r="G175" s="14">
        <v>20</v>
      </c>
      <c r="H175" s="292">
        <v>11.4</v>
      </c>
      <c r="I175" s="216">
        <v>85</v>
      </c>
      <c r="J175" s="292">
        <v>72</v>
      </c>
      <c r="K175" s="216">
        <v>85</v>
      </c>
      <c r="N175" s="14">
        <v>234</v>
      </c>
      <c r="O175" s="14">
        <v>85</v>
      </c>
      <c r="P175" s="292">
        <v>135</v>
      </c>
      <c r="Q175" s="14">
        <v>85</v>
      </c>
      <c r="R175" s="14">
        <v>10.509999999999994</v>
      </c>
      <c r="S175" s="14">
        <v>20</v>
      </c>
      <c r="T175" s="292">
        <v>8.4</v>
      </c>
      <c r="U175" s="292">
        <v>85</v>
      </c>
      <c r="V175" s="292">
        <v>62</v>
      </c>
      <c r="W175" s="292">
        <v>85</v>
      </c>
    </row>
    <row r="176" spans="1:23" s="14" customFormat="1">
      <c r="B176" s="14">
        <v>286</v>
      </c>
      <c r="C176" s="14">
        <v>90</v>
      </c>
      <c r="D176" s="292">
        <v>210</v>
      </c>
      <c r="E176" s="14">
        <v>90</v>
      </c>
      <c r="F176" s="14">
        <v>9.6099999999999941</v>
      </c>
      <c r="G176" s="14">
        <v>15</v>
      </c>
      <c r="H176" s="292">
        <v>11.6</v>
      </c>
      <c r="I176" s="292">
        <v>90</v>
      </c>
      <c r="J176" s="292">
        <v>73</v>
      </c>
      <c r="K176" s="292">
        <v>90</v>
      </c>
      <c r="N176" s="14">
        <v>236</v>
      </c>
      <c r="O176" s="14">
        <v>90</v>
      </c>
      <c r="P176" s="292">
        <v>140</v>
      </c>
      <c r="Q176" s="14">
        <v>90</v>
      </c>
      <c r="R176" s="14">
        <v>10.609999999999994</v>
      </c>
      <c r="S176" s="14">
        <v>15</v>
      </c>
      <c r="T176" s="292">
        <v>8.6</v>
      </c>
      <c r="U176" s="292">
        <v>90</v>
      </c>
      <c r="V176" s="292">
        <v>63</v>
      </c>
      <c r="W176" s="292">
        <v>90</v>
      </c>
    </row>
    <row r="177" spans="1:31" s="14" customFormat="1">
      <c r="B177" s="14">
        <v>288</v>
      </c>
      <c r="C177" s="14">
        <v>95</v>
      </c>
      <c r="D177" s="14">
        <v>215</v>
      </c>
      <c r="E177" s="14">
        <v>95</v>
      </c>
      <c r="F177" s="14">
        <v>9.7099999999999937</v>
      </c>
      <c r="G177" s="14">
        <v>10</v>
      </c>
      <c r="H177" s="292">
        <v>11.8</v>
      </c>
      <c r="I177" s="292">
        <v>95</v>
      </c>
      <c r="J177" s="292">
        <v>74</v>
      </c>
      <c r="K177" s="292">
        <v>95</v>
      </c>
      <c r="N177" s="14">
        <v>238</v>
      </c>
      <c r="O177" s="14">
        <v>95</v>
      </c>
      <c r="P177" s="14">
        <v>145</v>
      </c>
      <c r="Q177" s="14">
        <v>95</v>
      </c>
      <c r="R177" s="14">
        <v>10.709999999999994</v>
      </c>
      <c r="S177" s="14">
        <v>10</v>
      </c>
      <c r="T177" s="292">
        <v>8.8000000000000007</v>
      </c>
      <c r="U177" s="292">
        <v>95</v>
      </c>
      <c r="V177" s="292">
        <v>64</v>
      </c>
      <c r="W177" s="292">
        <v>95</v>
      </c>
    </row>
    <row r="178" spans="1:31">
      <c r="B178" s="14">
        <v>290</v>
      </c>
      <c r="C178" s="14">
        <v>100</v>
      </c>
      <c r="D178" s="14">
        <v>220</v>
      </c>
      <c r="E178" s="14">
        <v>100</v>
      </c>
      <c r="F178" s="14">
        <v>9.8099999999999934</v>
      </c>
      <c r="G178" s="14">
        <v>5</v>
      </c>
      <c r="H178" s="292">
        <v>12</v>
      </c>
      <c r="I178" s="292">
        <v>100</v>
      </c>
      <c r="J178" s="292">
        <v>75</v>
      </c>
      <c r="K178" s="292">
        <v>100</v>
      </c>
      <c r="N178" s="14">
        <v>240</v>
      </c>
      <c r="O178" s="14">
        <v>100</v>
      </c>
      <c r="P178" s="14">
        <v>150</v>
      </c>
      <c r="Q178" s="14">
        <v>100</v>
      </c>
      <c r="R178" s="14">
        <v>10.809999999999993</v>
      </c>
      <c r="S178" s="14">
        <v>5</v>
      </c>
      <c r="T178" s="292">
        <v>9</v>
      </c>
      <c r="U178" s="292">
        <v>100</v>
      </c>
      <c r="V178" s="292">
        <v>65</v>
      </c>
      <c r="W178" s="292">
        <v>100</v>
      </c>
    </row>
    <row r="179" spans="1:31" s="13" customForma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AC179" s="14"/>
      <c r="AE179" s="14"/>
    </row>
    <row r="180" spans="1:31">
      <c r="B180" s="534" t="s">
        <v>486</v>
      </c>
      <c r="C180" s="534"/>
      <c r="D180" s="534"/>
      <c r="E180" s="534"/>
      <c r="F180" s="534"/>
      <c r="G180" s="534"/>
      <c r="H180" s="534"/>
      <c r="I180" s="534"/>
      <c r="J180" s="534"/>
      <c r="K180" s="534"/>
      <c r="L180" s="32"/>
      <c r="M180" s="32"/>
      <c r="N180" s="534" t="s">
        <v>435</v>
      </c>
      <c r="O180" s="534"/>
      <c r="P180" s="534"/>
      <c r="Q180" s="534"/>
      <c r="R180" s="534"/>
      <c r="S180" s="534"/>
      <c r="T180" s="534"/>
      <c r="U180" s="534"/>
      <c r="V180" s="534"/>
      <c r="W180" s="534"/>
    </row>
    <row r="181" spans="1:31">
      <c r="A181" s="74" t="s">
        <v>276</v>
      </c>
      <c r="B181" s="25" t="s">
        <v>448</v>
      </c>
      <c r="C181" s="25" t="s">
        <v>471</v>
      </c>
      <c r="D181" s="25" t="s">
        <v>457</v>
      </c>
      <c r="E181" s="25" t="s">
        <v>471</v>
      </c>
      <c r="F181" s="25" t="s">
        <v>449</v>
      </c>
      <c r="G181" s="25" t="s">
        <v>464</v>
      </c>
      <c r="H181" s="25" t="s">
        <v>426</v>
      </c>
      <c r="I181" s="25" t="s">
        <v>471</v>
      </c>
      <c r="N181" s="25" t="s">
        <v>448</v>
      </c>
      <c r="O181" s="25" t="s">
        <v>471</v>
      </c>
      <c r="P181" s="25" t="s">
        <v>457</v>
      </c>
      <c r="Q181" s="25" t="s">
        <v>471</v>
      </c>
      <c r="R181" s="25" t="s">
        <v>449</v>
      </c>
      <c r="S181" s="25" t="s">
        <v>464</v>
      </c>
      <c r="T181" s="25" t="s">
        <v>426</v>
      </c>
      <c r="U181" s="25" t="s">
        <v>471</v>
      </c>
    </row>
    <row r="182" spans="1:31">
      <c r="A182" s="74" t="s">
        <v>275</v>
      </c>
      <c r="D182" s="25">
        <v>0</v>
      </c>
      <c r="E182" s="305">
        <v>25</v>
      </c>
      <c r="F182" s="11">
        <v>0</v>
      </c>
      <c r="G182" s="11">
        <v>1</v>
      </c>
      <c r="J182" s="11">
        <v>0</v>
      </c>
      <c r="K182" s="11">
        <v>1</v>
      </c>
      <c r="P182" s="25">
        <v>0</v>
      </c>
      <c r="Q182" s="305">
        <v>25</v>
      </c>
      <c r="W182" s="11">
        <v>0</v>
      </c>
      <c r="X182" s="11">
        <v>1</v>
      </c>
    </row>
    <row r="183" spans="1:31">
      <c r="A183" s="74" t="s">
        <v>382</v>
      </c>
      <c r="D183" s="25">
        <v>8.11</v>
      </c>
      <c r="E183" s="305">
        <v>24</v>
      </c>
      <c r="F183" s="11">
        <v>244</v>
      </c>
      <c r="G183" s="11">
        <v>2</v>
      </c>
      <c r="J183" s="11">
        <v>52</v>
      </c>
      <c r="K183" s="11">
        <v>2</v>
      </c>
      <c r="M183" s="11">
        <v>194</v>
      </c>
      <c r="P183" s="25">
        <v>9.2100000000000009</v>
      </c>
      <c r="Q183" s="305">
        <v>24</v>
      </c>
      <c r="W183" s="11">
        <v>47</v>
      </c>
      <c r="X183" s="11">
        <v>2</v>
      </c>
    </row>
    <row r="184" spans="1:31">
      <c r="A184" s="85"/>
      <c r="D184" s="25">
        <v>8.2100000000000009</v>
      </c>
      <c r="E184" s="305">
        <v>23</v>
      </c>
      <c r="F184" s="11">
        <v>246</v>
      </c>
      <c r="G184" s="11">
        <v>3</v>
      </c>
      <c r="J184" s="11">
        <v>53</v>
      </c>
      <c r="K184" s="11">
        <v>3</v>
      </c>
      <c r="M184" s="11">
        <v>196</v>
      </c>
      <c r="P184" s="25">
        <v>9.31</v>
      </c>
      <c r="Q184" s="305">
        <v>23</v>
      </c>
      <c r="W184" s="11">
        <v>48</v>
      </c>
      <c r="X184" s="11">
        <v>3</v>
      </c>
    </row>
    <row r="185" spans="1:31">
      <c r="A185" s="183" t="s">
        <v>422</v>
      </c>
      <c r="D185" s="25">
        <v>8.3100000000000023</v>
      </c>
      <c r="E185" s="305">
        <v>22</v>
      </c>
      <c r="F185" s="11">
        <v>248</v>
      </c>
      <c r="G185" s="11">
        <v>4</v>
      </c>
      <c r="J185" s="11">
        <v>54</v>
      </c>
      <c r="K185" s="11">
        <v>4</v>
      </c>
      <c r="M185" s="11">
        <v>198</v>
      </c>
      <c r="P185" s="25">
        <v>9.41</v>
      </c>
      <c r="Q185" s="305">
        <v>22</v>
      </c>
      <c r="W185" s="11">
        <v>49</v>
      </c>
      <c r="X185" s="11">
        <v>4</v>
      </c>
    </row>
    <row r="186" spans="1:31">
      <c r="A186" s="183" t="s">
        <v>205</v>
      </c>
      <c r="D186" s="25">
        <v>8.4100000000000037</v>
      </c>
      <c r="E186" s="305">
        <v>21</v>
      </c>
      <c r="F186" s="11">
        <v>250</v>
      </c>
      <c r="G186" s="11">
        <v>5</v>
      </c>
      <c r="J186" s="11">
        <v>55</v>
      </c>
      <c r="K186" s="11">
        <v>5</v>
      </c>
      <c r="M186" s="11">
        <v>200</v>
      </c>
      <c r="P186" s="25">
        <v>9.51</v>
      </c>
      <c r="Q186" s="305">
        <v>21</v>
      </c>
      <c r="W186" s="11">
        <v>50</v>
      </c>
      <c r="X186" s="11">
        <v>5</v>
      </c>
    </row>
    <row r="187" spans="1:31">
      <c r="A187" s="183" t="s">
        <v>543</v>
      </c>
      <c r="D187" s="25">
        <v>8.5100000000000051</v>
      </c>
      <c r="E187" s="305">
        <v>20</v>
      </c>
      <c r="F187" s="11">
        <v>252</v>
      </c>
      <c r="G187" s="11">
        <v>6</v>
      </c>
      <c r="J187" s="11">
        <v>56</v>
      </c>
      <c r="K187" s="11">
        <v>6</v>
      </c>
      <c r="M187" s="11">
        <v>202</v>
      </c>
      <c r="P187" s="25">
        <v>9.61</v>
      </c>
      <c r="Q187" s="305">
        <v>20</v>
      </c>
      <c r="W187" s="11">
        <v>51</v>
      </c>
      <c r="X187" s="11">
        <v>6</v>
      </c>
    </row>
    <row r="188" spans="1:31">
      <c r="A188" s="183" t="s">
        <v>96</v>
      </c>
      <c r="D188" s="25">
        <v>8.6100000000000065</v>
      </c>
      <c r="E188" s="305">
        <v>19</v>
      </c>
      <c r="F188" s="11">
        <v>254</v>
      </c>
      <c r="G188" s="11">
        <v>7</v>
      </c>
      <c r="J188" s="11">
        <v>57</v>
      </c>
      <c r="K188" s="11">
        <v>7</v>
      </c>
      <c r="M188" s="11">
        <v>204</v>
      </c>
      <c r="P188" s="25">
        <v>9.7099999999999991</v>
      </c>
      <c r="Q188" s="305">
        <v>19</v>
      </c>
      <c r="W188" s="11">
        <v>52</v>
      </c>
      <c r="X188" s="11">
        <v>7</v>
      </c>
    </row>
    <row r="189" spans="1:31">
      <c r="A189" s="183" t="s">
        <v>553</v>
      </c>
      <c r="D189" s="25">
        <v>8.710000000000008</v>
      </c>
      <c r="E189" s="305">
        <v>18</v>
      </c>
      <c r="F189" s="11">
        <v>256</v>
      </c>
      <c r="G189" s="11">
        <v>8</v>
      </c>
      <c r="J189" s="11">
        <v>58</v>
      </c>
      <c r="K189" s="11">
        <v>8</v>
      </c>
      <c r="M189" s="11">
        <v>206</v>
      </c>
      <c r="P189" s="25">
        <v>9.8099999999999987</v>
      </c>
      <c r="Q189" s="305">
        <v>18</v>
      </c>
      <c r="W189" s="11">
        <v>53</v>
      </c>
      <c r="X189" s="11">
        <v>8</v>
      </c>
    </row>
    <row r="190" spans="1:31">
      <c r="A190" s="85"/>
      <c r="D190" s="25">
        <v>8.8100000000000094</v>
      </c>
      <c r="E190" s="305">
        <v>17</v>
      </c>
      <c r="F190" s="11">
        <v>258</v>
      </c>
      <c r="G190" s="11">
        <v>9</v>
      </c>
      <c r="J190" s="11">
        <v>59</v>
      </c>
      <c r="K190" s="11">
        <v>9</v>
      </c>
      <c r="M190" s="11">
        <v>208</v>
      </c>
      <c r="P190" s="25">
        <v>9.9099999999999984</v>
      </c>
      <c r="Q190" s="305">
        <v>17</v>
      </c>
      <c r="W190" s="11">
        <v>54</v>
      </c>
      <c r="X190" s="11">
        <v>9</v>
      </c>
    </row>
    <row r="191" spans="1:31">
      <c r="A191" s="85"/>
      <c r="B191" s="25">
        <v>0</v>
      </c>
      <c r="C191" s="305">
        <v>20</v>
      </c>
      <c r="D191" s="25">
        <v>8.9100000000000108</v>
      </c>
      <c r="E191" s="305">
        <v>16</v>
      </c>
      <c r="H191" s="305">
        <v>0</v>
      </c>
      <c r="I191" s="305">
        <v>15</v>
      </c>
      <c r="M191" s="11">
        <v>210</v>
      </c>
      <c r="N191" s="25">
        <v>0</v>
      </c>
      <c r="O191" s="305">
        <v>20</v>
      </c>
      <c r="P191" s="25">
        <v>10.009999999999998</v>
      </c>
      <c r="Q191" s="305">
        <v>16</v>
      </c>
      <c r="T191" s="305">
        <v>0</v>
      </c>
      <c r="U191" s="305">
        <v>15</v>
      </c>
      <c r="W191" s="11">
        <v>55</v>
      </c>
      <c r="X191" s="11">
        <v>10</v>
      </c>
    </row>
    <row r="192" spans="1:31">
      <c r="A192" s="85" t="s">
        <v>517</v>
      </c>
      <c r="B192" s="25">
        <v>262</v>
      </c>
      <c r="C192" s="305">
        <v>21</v>
      </c>
      <c r="D192" s="25">
        <v>9.0100000000000122</v>
      </c>
      <c r="E192" s="305">
        <v>15</v>
      </c>
      <c r="H192" s="305">
        <v>56</v>
      </c>
      <c r="I192" s="305">
        <v>16</v>
      </c>
      <c r="M192" s="11">
        <v>212</v>
      </c>
      <c r="N192" s="25">
        <v>207</v>
      </c>
      <c r="O192" s="305">
        <v>21</v>
      </c>
      <c r="P192" s="25">
        <v>10.109999999999998</v>
      </c>
      <c r="Q192" s="305">
        <v>15</v>
      </c>
      <c r="T192" s="305">
        <v>49</v>
      </c>
      <c r="U192" s="305">
        <v>16</v>
      </c>
      <c r="W192" s="11">
        <v>56</v>
      </c>
      <c r="X192" s="11">
        <v>11</v>
      </c>
    </row>
    <row r="193" spans="1:31">
      <c r="A193" s="85" t="s">
        <v>130</v>
      </c>
      <c r="B193" s="25">
        <v>264</v>
      </c>
      <c r="C193" s="305">
        <v>22</v>
      </c>
      <c r="D193" s="25">
        <v>9.1100000000000136</v>
      </c>
      <c r="E193" s="305">
        <v>14</v>
      </c>
      <c r="F193" s="35"/>
      <c r="H193" s="305">
        <v>57</v>
      </c>
      <c r="I193" s="305">
        <v>17</v>
      </c>
      <c r="M193" s="11">
        <v>214</v>
      </c>
      <c r="N193" s="25">
        <v>209</v>
      </c>
      <c r="O193" s="305">
        <v>22</v>
      </c>
      <c r="P193" s="25">
        <v>10.209999999999997</v>
      </c>
      <c r="Q193" s="305">
        <v>14</v>
      </c>
      <c r="R193" s="35"/>
      <c r="T193" s="305">
        <v>50</v>
      </c>
      <c r="U193" s="305">
        <v>17</v>
      </c>
      <c r="W193" s="11">
        <v>57</v>
      </c>
      <c r="X193" s="11">
        <v>12</v>
      </c>
    </row>
    <row r="194" spans="1:31">
      <c r="A194" s="85" t="s">
        <v>19</v>
      </c>
      <c r="B194" s="25">
        <v>266</v>
      </c>
      <c r="C194" s="305">
        <v>23</v>
      </c>
      <c r="D194" s="25">
        <v>9.2100000000000151</v>
      </c>
      <c r="E194" s="305">
        <v>13</v>
      </c>
      <c r="F194" s="35"/>
      <c r="H194" s="305">
        <v>58</v>
      </c>
      <c r="I194" s="305">
        <v>18</v>
      </c>
      <c r="M194" s="11">
        <v>216</v>
      </c>
      <c r="N194" s="25">
        <v>211</v>
      </c>
      <c r="O194" s="305">
        <v>23</v>
      </c>
      <c r="P194" s="25">
        <v>10.309999999999997</v>
      </c>
      <c r="Q194" s="305">
        <v>13</v>
      </c>
      <c r="R194" s="35"/>
      <c r="T194" s="305">
        <v>51</v>
      </c>
      <c r="U194" s="305">
        <v>18</v>
      </c>
      <c r="W194" s="11">
        <v>58</v>
      </c>
      <c r="X194" s="11">
        <v>13</v>
      </c>
    </row>
    <row r="195" spans="1:31">
      <c r="A195" s="85" t="s">
        <v>15</v>
      </c>
      <c r="B195" s="25">
        <v>268</v>
      </c>
      <c r="C195" s="305">
        <v>24</v>
      </c>
      <c r="D195" s="25">
        <v>9.3100000000000165</v>
      </c>
      <c r="E195" s="305">
        <v>12</v>
      </c>
      <c r="F195" s="35"/>
      <c r="H195" s="305">
        <v>59</v>
      </c>
      <c r="I195" s="305">
        <v>19</v>
      </c>
      <c r="M195" s="11">
        <v>218</v>
      </c>
      <c r="N195" s="25">
        <v>213</v>
      </c>
      <c r="O195" s="305">
        <v>24</v>
      </c>
      <c r="P195" s="25">
        <v>10.409999999999997</v>
      </c>
      <c r="Q195" s="305">
        <v>12</v>
      </c>
      <c r="R195" s="35"/>
      <c r="T195" s="305">
        <v>52</v>
      </c>
      <c r="U195" s="305">
        <v>19</v>
      </c>
      <c r="W195" s="11">
        <v>59</v>
      </c>
      <c r="X195" s="11">
        <v>14</v>
      </c>
    </row>
    <row r="196" spans="1:31">
      <c r="A196" s="85" t="s">
        <v>127</v>
      </c>
      <c r="B196" s="25">
        <v>270</v>
      </c>
      <c r="C196" s="305">
        <v>25</v>
      </c>
      <c r="D196" s="25">
        <v>9.4100000000000179</v>
      </c>
      <c r="E196" s="305">
        <v>11</v>
      </c>
      <c r="F196" s="35"/>
      <c r="H196" s="305">
        <v>60</v>
      </c>
      <c r="I196" s="305">
        <v>20</v>
      </c>
      <c r="M196" s="11">
        <v>220</v>
      </c>
      <c r="N196" s="25">
        <v>215</v>
      </c>
      <c r="O196" s="305">
        <v>25</v>
      </c>
      <c r="P196" s="25">
        <v>10.509999999999996</v>
      </c>
      <c r="Q196" s="305">
        <v>11</v>
      </c>
      <c r="R196" s="35"/>
      <c r="T196" s="305">
        <v>53</v>
      </c>
      <c r="U196" s="305">
        <v>20</v>
      </c>
      <c r="W196" s="11">
        <v>60</v>
      </c>
      <c r="X196" s="11">
        <v>15</v>
      </c>
    </row>
    <row r="197" spans="1:31">
      <c r="A197" s="85" t="s">
        <v>132</v>
      </c>
      <c r="B197" s="25">
        <v>272</v>
      </c>
      <c r="C197" s="305">
        <v>26</v>
      </c>
      <c r="D197" s="25">
        <v>9.5100000000000193</v>
      </c>
      <c r="E197" s="305">
        <v>10</v>
      </c>
      <c r="F197" s="35"/>
      <c r="H197" s="305">
        <v>61</v>
      </c>
      <c r="I197" s="305">
        <v>21</v>
      </c>
      <c r="M197" s="11">
        <v>222</v>
      </c>
      <c r="N197" s="25">
        <v>217</v>
      </c>
      <c r="O197" s="305">
        <v>26</v>
      </c>
      <c r="P197" s="25">
        <v>10.609999999999996</v>
      </c>
      <c r="Q197" s="305">
        <v>10</v>
      </c>
      <c r="R197" s="35"/>
      <c r="T197" s="305">
        <v>54</v>
      </c>
      <c r="U197" s="305">
        <v>21</v>
      </c>
      <c r="W197" s="11">
        <v>61</v>
      </c>
      <c r="X197" s="11">
        <v>16</v>
      </c>
    </row>
    <row r="198" spans="1:31">
      <c r="A198" s="85" t="s">
        <v>131</v>
      </c>
      <c r="B198" s="25">
        <v>274</v>
      </c>
      <c r="C198" s="305">
        <v>27</v>
      </c>
      <c r="F198" s="11">
        <v>9.6999999999999975</v>
      </c>
      <c r="H198" s="305">
        <v>62</v>
      </c>
      <c r="I198" s="305">
        <v>22</v>
      </c>
      <c r="M198" s="11">
        <v>224</v>
      </c>
      <c r="N198" s="25">
        <v>219</v>
      </c>
      <c r="O198" s="305">
        <v>27</v>
      </c>
      <c r="R198" s="11">
        <v>10.699999999999996</v>
      </c>
      <c r="S198" s="11">
        <v>9</v>
      </c>
      <c r="T198" s="305">
        <v>55</v>
      </c>
      <c r="U198" s="305">
        <v>22</v>
      </c>
      <c r="W198" s="11">
        <v>62</v>
      </c>
      <c r="X198" s="11">
        <v>17</v>
      </c>
    </row>
    <row r="199" spans="1:31">
      <c r="A199" s="85" t="s">
        <v>128</v>
      </c>
      <c r="B199" s="25">
        <v>276</v>
      </c>
      <c r="C199" s="305">
        <v>28</v>
      </c>
      <c r="F199" s="11">
        <v>9.7999999999999972</v>
      </c>
      <c r="H199" s="305">
        <v>63</v>
      </c>
      <c r="I199" s="305">
        <v>23</v>
      </c>
      <c r="M199" s="11">
        <v>226</v>
      </c>
      <c r="N199" s="25">
        <v>221</v>
      </c>
      <c r="O199" s="305">
        <v>28</v>
      </c>
      <c r="R199" s="11">
        <v>10.799999999999995</v>
      </c>
      <c r="S199" s="11">
        <v>8</v>
      </c>
      <c r="T199" s="305">
        <v>56</v>
      </c>
      <c r="U199" s="305">
        <v>23</v>
      </c>
      <c r="W199" s="11">
        <v>63</v>
      </c>
      <c r="X199" s="11">
        <v>18</v>
      </c>
    </row>
    <row r="200" spans="1:31">
      <c r="B200" s="25">
        <v>278</v>
      </c>
      <c r="C200" s="305">
        <v>29</v>
      </c>
      <c r="F200" s="11">
        <v>9.8999999999999968</v>
      </c>
      <c r="H200" s="305">
        <v>64</v>
      </c>
      <c r="I200" s="305">
        <v>24</v>
      </c>
      <c r="M200" s="11">
        <v>228</v>
      </c>
      <c r="N200" s="25">
        <v>223</v>
      </c>
      <c r="O200" s="305">
        <v>29</v>
      </c>
      <c r="R200" s="11">
        <v>10.899999999999995</v>
      </c>
      <c r="S200" s="11">
        <v>7</v>
      </c>
      <c r="T200" s="305">
        <v>57</v>
      </c>
      <c r="U200" s="305">
        <v>24</v>
      </c>
      <c r="W200" s="11">
        <v>64</v>
      </c>
      <c r="X200" s="11">
        <v>19</v>
      </c>
    </row>
    <row r="201" spans="1:31">
      <c r="B201" s="25">
        <v>280</v>
      </c>
      <c r="C201" s="305">
        <v>30</v>
      </c>
      <c r="F201" s="11">
        <v>9.9999999999999964</v>
      </c>
      <c r="H201" s="305">
        <v>65</v>
      </c>
      <c r="I201" s="305">
        <v>25</v>
      </c>
      <c r="M201" s="11">
        <v>230</v>
      </c>
      <c r="N201" s="25">
        <v>225</v>
      </c>
      <c r="O201" s="305">
        <v>30</v>
      </c>
      <c r="R201" s="11">
        <v>10.999999999999995</v>
      </c>
      <c r="S201" s="11">
        <v>6</v>
      </c>
      <c r="T201" s="305">
        <v>58</v>
      </c>
      <c r="U201" s="305">
        <v>25</v>
      </c>
      <c r="W201" s="11">
        <v>65</v>
      </c>
      <c r="X201" s="11">
        <v>20</v>
      </c>
    </row>
    <row r="202" spans="1:31">
      <c r="B202" s="25">
        <v>282</v>
      </c>
      <c r="C202" s="305">
        <v>31</v>
      </c>
      <c r="F202" s="11">
        <v>10.099999999999996</v>
      </c>
      <c r="H202" s="305">
        <v>66</v>
      </c>
      <c r="I202" s="305">
        <v>26</v>
      </c>
      <c r="M202" s="11">
        <v>232</v>
      </c>
      <c r="N202" s="25">
        <v>227</v>
      </c>
      <c r="O202" s="305">
        <v>31</v>
      </c>
      <c r="R202" s="11">
        <v>11.099999999999994</v>
      </c>
      <c r="S202" s="11">
        <v>5</v>
      </c>
      <c r="T202" s="305">
        <v>59</v>
      </c>
      <c r="U202" s="305">
        <v>26</v>
      </c>
      <c r="W202" s="11">
        <v>66</v>
      </c>
      <c r="X202" s="11">
        <v>21</v>
      </c>
    </row>
    <row r="203" spans="1:31">
      <c r="B203" s="25">
        <v>284</v>
      </c>
      <c r="C203" s="305">
        <v>32</v>
      </c>
      <c r="F203" s="11">
        <v>10.199999999999996</v>
      </c>
      <c r="H203" s="305">
        <v>67</v>
      </c>
      <c r="I203" s="305">
        <v>27</v>
      </c>
      <c r="M203" s="11">
        <v>234</v>
      </c>
      <c r="N203" s="25">
        <v>229</v>
      </c>
      <c r="O203" s="305">
        <v>32</v>
      </c>
      <c r="R203" s="11">
        <v>11.199999999999994</v>
      </c>
      <c r="S203" s="11">
        <v>4</v>
      </c>
      <c r="T203" s="305">
        <v>60</v>
      </c>
      <c r="U203" s="305">
        <v>27</v>
      </c>
      <c r="W203" s="11">
        <v>67</v>
      </c>
      <c r="X203" s="11">
        <v>22</v>
      </c>
    </row>
    <row r="204" spans="1:31">
      <c r="B204" s="25">
        <v>286</v>
      </c>
      <c r="C204" s="305">
        <v>33</v>
      </c>
      <c r="F204" s="11">
        <v>10.299999999999995</v>
      </c>
      <c r="H204" s="305">
        <v>68</v>
      </c>
      <c r="I204" s="305">
        <v>28</v>
      </c>
      <c r="M204" s="11">
        <v>236</v>
      </c>
      <c r="N204" s="25">
        <v>231</v>
      </c>
      <c r="O204" s="305">
        <v>33</v>
      </c>
      <c r="R204" s="11">
        <v>11.299999999999994</v>
      </c>
      <c r="S204" s="11">
        <v>3</v>
      </c>
      <c r="T204" s="305">
        <v>61</v>
      </c>
      <c r="U204" s="305">
        <v>28</v>
      </c>
      <c r="W204" s="11">
        <v>68</v>
      </c>
      <c r="X204" s="11">
        <v>23</v>
      </c>
    </row>
    <row r="205" spans="1:31">
      <c r="B205" s="25">
        <v>288</v>
      </c>
      <c r="C205" s="305">
        <v>34</v>
      </c>
      <c r="F205" s="11">
        <v>10.399999999999995</v>
      </c>
      <c r="H205" s="305">
        <v>69</v>
      </c>
      <c r="I205" s="305">
        <v>29</v>
      </c>
      <c r="M205" s="11">
        <v>238</v>
      </c>
      <c r="N205" s="25">
        <v>233</v>
      </c>
      <c r="O205" s="305">
        <v>34</v>
      </c>
      <c r="R205" s="11">
        <v>11.399999999999993</v>
      </c>
      <c r="S205" s="11">
        <v>2</v>
      </c>
      <c r="T205" s="305">
        <v>62</v>
      </c>
      <c r="U205" s="305">
        <v>29</v>
      </c>
      <c r="W205" s="11">
        <v>69</v>
      </c>
      <c r="X205" s="11">
        <v>24</v>
      </c>
    </row>
    <row r="206" spans="1:31">
      <c r="B206" s="25">
        <v>290</v>
      </c>
      <c r="C206" s="305">
        <v>35</v>
      </c>
      <c r="F206" s="35"/>
      <c r="H206" s="305">
        <v>70</v>
      </c>
      <c r="I206" s="305">
        <v>30</v>
      </c>
      <c r="M206" s="11">
        <v>240</v>
      </c>
      <c r="N206" s="25">
        <v>235</v>
      </c>
      <c r="O206" s="305">
        <v>35</v>
      </c>
      <c r="R206" s="11">
        <v>11.499999999999993</v>
      </c>
      <c r="S206" s="11">
        <v>1</v>
      </c>
      <c r="T206" s="305">
        <v>63</v>
      </c>
      <c r="U206" s="305">
        <v>30</v>
      </c>
      <c r="W206" s="11">
        <v>70</v>
      </c>
      <c r="X206" s="11">
        <v>25</v>
      </c>
    </row>
    <row r="207" spans="1:31" s="13" customFormat="1">
      <c r="A207" s="14"/>
      <c r="B207" s="14"/>
      <c r="C207" s="14"/>
      <c r="D207" s="14"/>
      <c r="E207" s="14"/>
      <c r="F207" s="35"/>
      <c r="G207" s="14"/>
      <c r="H207" s="14"/>
      <c r="I207" s="14"/>
      <c r="J207" s="14"/>
      <c r="K207" s="14"/>
      <c r="L207" s="14"/>
      <c r="M207" s="14"/>
      <c r="N207" s="14"/>
      <c r="O207" s="14"/>
      <c r="R207" s="11"/>
      <c r="S207" s="11"/>
      <c r="T207" s="14"/>
      <c r="U207" s="14"/>
      <c r="V207" s="14"/>
      <c r="W207" s="14"/>
      <c r="X207" s="14"/>
      <c r="AC207" s="14"/>
      <c r="AE207" s="14"/>
    </row>
    <row r="208" spans="1:31" s="13" customFormat="1">
      <c r="A208" s="74" t="s">
        <v>272</v>
      </c>
      <c r="B208" s="14" t="s">
        <v>448</v>
      </c>
      <c r="C208" s="14" t="s">
        <v>471</v>
      </c>
      <c r="D208" s="14" t="s">
        <v>473</v>
      </c>
      <c r="E208" s="14" t="s">
        <v>471</v>
      </c>
      <c r="F208" s="446" t="s">
        <v>653</v>
      </c>
      <c r="G208" s="14" t="s">
        <v>471</v>
      </c>
      <c r="I208" s="454" t="s">
        <v>448</v>
      </c>
      <c r="J208" s="454" t="s">
        <v>473</v>
      </c>
      <c r="K208" s="454" t="s">
        <v>515</v>
      </c>
      <c r="L208" s="454" t="s">
        <v>471</v>
      </c>
      <c r="N208" s="14" t="s">
        <v>448</v>
      </c>
      <c r="O208" s="14" t="s">
        <v>471</v>
      </c>
      <c r="P208" s="14" t="s">
        <v>473</v>
      </c>
      <c r="Q208" s="14" t="s">
        <v>471</v>
      </c>
      <c r="R208" s="446" t="s">
        <v>653</v>
      </c>
      <c r="S208" s="6" t="s">
        <v>471</v>
      </c>
      <c r="V208" s="454" t="s">
        <v>448</v>
      </c>
      <c r="W208" s="454" t="s">
        <v>473</v>
      </c>
      <c r="X208" s="454" t="s">
        <v>515</v>
      </c>
      <c r="Y208" s="454" t="s">
        <v>471</v>
      </c>
      <c r="AC208" s="14"/>
      <c r="AE208" s="14"/>
    </row>
    <row r="209" spans="1:31" s="13" customFormat="1">
      <c r="A209" s="85"/>
      <c r="B209" s="14">
        <v>0</v>
      </c>
      <c r="C209" s="14">
        <v>0</v>
      </c>
      <c r="D209" s="14">
        <v>0</v>
      </c>
      <c r="E209" s="14">
        <v>100</v>
      </c>
      <c r="F209" s="308">
        <v>0</v>
      </c>
      <c r="G209" s="6">
        <v>0</v>
      </c>
      <c r="I209" s="454">
        <v>0</v>
      </c>
      <c r="J209" s="454">
        <v>0</v>
      </c>
      <c r="K209" s="454">
        <v>0</v>
      </c>
      <c r="L209" s="454">
        <v>0</v>
      </c>
      <c r="N209" s="14">
        <v>0</v>
      </c>
      <c r="O209" s="14">
        <v>0</v>
      </c>
      <c r="P209" s="14">
        <v>0</v>
      </c>
      <c r="Q209" s="14">
        <v>100</v>
      </c>
      <c r="R209" s="308">
        <v>0</v>
      </c>
      <c r="S209" s="6">
        <v>0</v>
      </c>
      <c r="V209" s="454">
        <v>0</v>
      </c>
      <c r="W209" s="454">
        <v>0</v>
      </c>
      <c r="X209" s="454">
        <v>0</v>
      </c>
      <c r="Y209" s="454">
        <v>0</v>
      </c>
      <c r="AC209" s="14"/>
      <c r="AE209" s="14"/>
    </row>
    <row r="210" spans="1:31" s="13" customFormat="1">
      <c r="A210" s="85" t="s">
        <v>199</v>
      </c>
      <c r="B210" s="305">
        <v>243</v>
      </c>
      <c r="C210" s="14">
        <v>5</v>
      </c>
      <c r="D210" s="305">
        <v>13.9</v>
      </c>
      <c r="E210" s="14">
        <v>95</v>
      </c>
      <c r="F210" s="188">
        <v>6.2999999999999901</v>
      </c>
      <c r="G210" s="6">
        <v>5</v>
      </c>
      <c r="I210" s="454">
        <v>196</v>
      </c>
      <c r="J210" s="454">
        <v>14.1</v>
      </c>
      <c r="K210" s="456">
        <v>4</v>
      </c>
      <c r="L210" s="454">
        <v>5</v>
      </c>
      <c r="N210" s="305">
        <v>193</v>
      </c>
      <c r="O210" s="14">
        <v>5</v>
      </c>
      <c r="P210" s="14">
        <v>15.9</v>
      </c>
      <c r="Q210" s="14">
        <v>95</v>
      </c>
      <c r="R210" s="188">
        <v>2.7999999999999901</v>
      </c>
      <c r="S210" s="6">
        <v>5</v>
      </c>
      <c r="V210" s="454">
        <v>146</v>
      </c>
      <c r="W210" s="454">
        <v>15.9</v>
      </c>
      <c r="X210" s="456">
        <v>6</v>
      </c>
      <c r="Y210" s="454">
        <v>5</v>
      </c>
      <c r="AC210" s="14"/>
      <c r="AE210" s="14"/>
    </row>
    <row r="211" spans="1:31" s="13" customFormat="1">
      <c r="A211" s="85" t="s">
        <v>9</v>
      </c>
      <c r="B211" s="305">
        <v>246</v>
      </c>
      <c r="C211" s="14">
        <v>10</v>
      </c>
      <c r="D211" s="305">
        <v>14.1</v>
      </c>
      <c r="E211" s="14">
        <v>90</v>
      </c>
      <c r="F211" s="188">
        <v>6.5999999999999899</v>
      </c>
      <c r="G211" s="6">
        <v>10</v>
      </c>
      <c r="I211" s="454">
        <v>203</v>
      </c>
      <c r="J211" s="454">
        <v>14.3</v>
      </c>
      <c r="K211" s="456">
        <v>5</v>
      </c>
      <c r="L211" s="454">
        <v>10</v>
      </c>
      <c r="N211" s="305">
        <v>196</v>
      </c>
      <c r="O211" s="14">
        <v>10</v>
      </c>
      <c r="P211" s="14">
        <v>16.100000000000001</v>
      </c>
      <c r="Q211" s="14">
        <v>90</v>
      </c>
      <c r="R211" s="188">
        <v>3.0999999999999899</v>
      </c>
      <c r="S211" s="6">
        <v>10</v>
      </c>
      <c r="V211" s="454">
        <v>153</v>
      </c>
      <c r="W211" s="454">
        <v>16.100000000000001</v>
      </c>
      <c r="X211" s="456">
        <v>7</v>
      </c>
      <c r="Y211" s="454">
        <v>10</v>
      </c>
      <c r="AC211" s="14"/>
      <c r="AE211" s="14"/>
    </row>
    <row r="212" spans="1:31" s="13" customFormat="1">
      <c r="A212" s="85" t="s">
        <v>11</v>
      </c>
      <c r="B212" s="305">
        <v>249</v>
      </c>
      <c r="C212" s="14">
        <v>15</v>
      </c>
      <c r="D212" s="305">
        <v>14.3</v>
      </c>
      <c r="E212" s="14">
        <v>85</v>
      </c>
      <c r="F212" s="188">
        <v>6.8999999999999897</v>
      </c>
      <c r="G212" s="6">
        <v>15</v>
      </c>
      <c r="I212" s="454">
        <v>210</v>
      </c>
      <c r="J212" s="454">
        <v>14.500000000000002</v>
      </c>
      <c r="K212" s="456">
        <v>6</v>
      </c>
      <c r="L212" s="454">
        <v>15</v>
      </c>
      <c r="N212" s="305">
        <v>199</v>
      </c>
      <c r="O212" s="14">
        <v>15</v>
      </c>
      <c r="P212" s="14">
        <v>16.300000000000004</v>
      </c>
      <c r="Q212" s="14">
        <v>85</v>
      </c>
      <c r="R212" s="188">
        <v>3.3999999999999901</v>
      </c>
      <c r="S212" s="6">
        <v>15</v>
      </c>
      <c r="V212" s="454">
        <v>160</v>
      </c>
      <c r="W212" s="454">
        <v>16.300000000000004</v>
      </c>
      <c r="X212" s="456">
        <v>8</v>
      </c>
      <c r="Y212" s="454">
        <v>15</v>
      </c>
      <c r="AC212" s="14"/>
      <c r="AE212" s="14"/>
    </row>
    <row r="213" spans="1:31" s="13" customFormat="1">
      <c r="A213" s="85" t="s">
        <v>587</v>
      </c>
      <c r="B213" s="305">
        <v>252</v>
      </c>
      <c r="C213" s="14">
        <v>20</v>
      </c>
      <c r="D213" s="305">
        <v>14.5</v>
      </c>
      <c r="E213" s="14">
        <v>80</v>
      </c>
      <c r="F213" s="188">
        <v>7.1999999999999904</v>
      </c>
      <c r="G213" s="6">
        <v>20</v>
      </c>
      <c r="I213" s="454">
        <v>215</v>
      </c>
      <c r="J213" s="454">
        <v>14.700000000000003</v>
      </c>
      <c r="K213" s="456">
        <v>7</v>
      </c>
      <c r="L213" s="454">
        <v>20</v>
      </c>
      <c r="N213" s="305">
        <v>202</v>
      </c>
      <c r="O213" s="14">
        <v>20</v>
      </c>
      <c r="P213" s="14">
        <v>16.500000000000004</v>
      </c>
      <c r="Q213" s="14">
        <v>80</v>
      </c>
      <c r="R213" s="188">
        <v>3.69999999999999</v>
      </c>
      <c r="S213" s="6">
        <v>20</v>
      </c>
      <c r="V213" s="454">
        <v>165</v>
      </c>
      <c r="W213" s="454">
        <v>16.500000000000004</v>
      </c>
      <c r="X213" s="456">
        <v>9</v>
      </c>
      <c r="Y213" s="454">
        <v>20</v>
      </c>
      <c r="AC213" s="14"/>
      <c r="AE213" s="14"/>
    </row>
    <row r="214" spans="1:31" s="13" customFormat="1">
      <c r="A214" s="85"/>
      <c r="B214" s="305">
        <v>255</v>
      </c>
      <c r="C214" s="14">
        <v>25</v>
      </c>
      <c r="D214" s="305">
        <v>14.7</v>
      </c>
      <c r="E214" s="14">
        <v>75</v>
      </c>
      <c r="F214" s="188">
        <v>7.4999999999999902</v>
      </c>
      <c r="G214" s="6">
        <v>25</v>
      </c>
      <c r="I214" s="454">
        <v>220</v>
      </c>
      <c r="J214" s="454">
        <v>14.900000000000004</v>
      </c>
      <c r="K214" s="456">
        <v>8</v>
      </c>
      <c r="L214" s="454">
        <v>25</v>
      </c>
      <c r="N214" s="305">
        <v>205</v>
      </c>
      <c r="O214" s="14">
        <v>25</v>
      </c>
      <c r="P214" s="14">
        <v>16.700000000000003</v>
      </c>
      <c r="Q214" s="14">
        <v>75</v>
      </c>
      <c r="R214" s="188">
        <v>3.9999999999999898</v>
      </c>
      <c r="S214" s="6">
        <v>25</v>
      </c>
      <c r="V214" s="454">
        <v>170</v>
      </c>
      <c r="W214" s="454">
        <v>16.700000000000003</v>
      </c>
      <c r="X214" s="456">
        <v>10</v>
      </c>
      <c r="Y214" s="454">
        <v>25</v>
      </c>
      <c r="AC214" s="14"/>
      <c r="AE214" s="14"/>
    </row>
    <row r="215" spans="1:31" s="13" customFormat="1">
      <c r="A215" s="85" t="s">
        <v>10</v>
      </c>
      <c r="B215" s="305">
        <v>258</v>
      </c>
      <c r="C215" s="14">
        <v>30</v>
      </c>
      <c r="D215" s="305">
        <v>14.9</v>
      </c>
      <c r="E215" s="14">
        <v>70</v>
      </c>
      <c r="F215" s="188">
        <v>7.7999999999999901</v>
      </c>
      <c r="G215" s="6">
        <v>30</v>
      </c>
      <c r="I215" s="454">
        <v>225</v>
      </c>
      <c r="J215" s="454">
        <v>15.100000000000005</v>
      </c>
      <c r="K215" s="456">
        <v>9</v>
      </c>
      <c r="L215" s="454">
        <v>30</v>
      </c>
      <c r="N215" s="305">
        <v>208</v>
      </c>
      <c r="O215" s="14">
        <v>30</v>
      </c>
      <c r="P215" s="14">
        <v>16.900000000000006</v>
      </c>
      <c r="Q215" s="14">
        <v>70</v>
      </c>
      <c r="R215" s="188">
        <v>4.2999999999999901</v>
      </c>
      <c r="S215" s="6">
        <v>30</v>
      </c>
      <c r="V215" s="454">
        <v>175</v>
      </c>
      <c r="W215" s="454">
        <v>16.900000000000006</v>
      </c>
      <c r="X215" s="456">
        <v>11</v>
      </c>
      <c r="Y215" s="454">
        <v>30</v>
      </c>
      <c r="AC215" s="14"/>
      <c r="AE215" s="14"/>
    </row>
    <row r="216" spans="1:31" s="13" customFormat="1">
      <c r="A216" s="85" t="s">
        <v>126</v>
      </c>
      <c r="B216" s="305">
        <v>261</v>
      </c>
      <c r="C216" s="14">
        <v>35</v>
      </c>
      <c r="D216" s="305">
        <v>15.1</v>
      </c>
      <c r="E216" s="14">
        <v>65</v>
      </c>
      <c r="F216" s="188">
        <v>8.0999999999999908</v>
      </c>
      <c r="G216" s="6">
        <v>35</v>
      </c>
      <c r="I216" s="454">
        <v>230</v>
      </c>
      <c r="J216" s="454">
        <v>15.300000000000006</v>
      </c>
      <c r="K216" s="456">
        <v>10</v>
      </c>
      <c r="L216" s="454">
        <v>35</v>
      </c>
      <c r="N216" s="305">
        <v>211</v>
      </c>
      <c r="O216" s="14">
        <v>35</v>
      </c>
      <c r="P216" s="14">
        <v>17.100000000000009</v>
      </c>
      <c r="Q216" s="14">
        <v>65</v>
      </c>
      <c r="R216" s="188">
        <v>4.5999999999999899</v>
      </c>
      <c r="S216" s="6">
        <v>35</v>
      </c>
      <c r="V216" s="454">
        <v>180</v>
      </c>
      <c r="W216" s="454">
        <v>17.100000000000009</v>
      </c>
      <c r="X216" s="456">
        <v>12</v>
      </c>
      <c r="Y216" s="454">
        <v>35</v>
      </c>
      <c r="AC216" s="14"/>
      <c r="AE216" s="14"/>
    </row>
    <row r="217" spans="1:31" s="13" customFormat="1">
      <c r="A217" s="14"/>
      <c r="B217" s="305">
        <v>264</v>
      </c>
      <c r="C217" s="14">
        <v>40</v>
      </c>
      <c r="D217" s="305">
        <v>15.3</v>
      </c>
      <c r="E217" s="14">
        <v>60</v>
      </c>
      <c r="F217" s="188">
        <v>8.3999999999999897</v>
      </c>
      <c r="G217" s="6">
        <v>40</v>
      </c>
      <c r="I217" s="454">
        <v>235</v>
      </c>
      <c r="J217" s="454">
        <v>15.500000000000007</v>
      </c>
      <c r="K217" s="456">
        <v>11</v>
      </c>
      <c r="L217" s="454">
        <v>40</v>
      </c>
      <c r="N217" s="305">
        <v>214</v>
      </c>
      <c r="O217" s="14">
        <v>40</v>
      </c>
      <c r="P217" s="14">
        <v>17.300000000000008</v>
      </c>
      <c r="Q217" s="14">
        <v>60</v>
      </c>
      <c r="R217" s="188">
        <v>4.8999999999999897</v>
      </c>
      <c r="S217" s="6">
        <v>40</v>
      </c>
      <c r="V217" s="454">
        <v>185</v>
      </c>
      <c r="W217" s="454">
        <v>17.300000000000008</v>
      </c>
      <c r="X217" s="456">
        <v>13</v>
      </c>
      <c r="Y217" s="454">
        <v>40</v>
      </c>
      <c r="AC217" s="14"/>
      <c r="AE217" s="14"/>
    </row>
    <row r="218" spans="1:31" s="13" customFormat="1">
      <c r="A218" s="455" t="s">
        <v>654</v>
      </c>
      <c r="B218" s="305">
        <v>267</v>
      </c>
      <c r="C218" s="14">
        <v>45</v>
      </c>
      <c r="D218" s="305">
        <v>15.5</v>
      </c>
      <c r="E218" s="14">
        <v>55</v>
      </c>
      <c r="F218" s="188">
        <v>8.6999999999999904</v>
      </c>
      <c r="G218" s="6">
        <v>45</v>
      </c>
      <c r="I218" s="454">
        <v>240</v>
      </c>
      <c r="J218" s="454">
        <v>15.700000000000008</v>
      </c>
      <c r="K218" s="456">
        <v>12</v>
      </c>
      <c r="L218" s="454">
        <v>45</v>
      </c>
      <c r="N218" s="305">
        <v>217</v>
      </c>
      <c r="O218" s="14">
        <v>45</v>
      </c>
      <c r="P218" s="14">
        <v>17.500000000000007</v>
      </c>
      <c r="Q218" s="14">
        <v>55</v>
      </c>
      <c r="R218" s="188">
        <v>5.1999999999999904</v>
      </c>
      <c r="S218" s="6">
        <v>45</v>
      </c>
      <c r="V218" s="454">
        <v>190</v>
      </c>
      <c r="W218" s="454">
        <v>17.500000000000007</v>
      </c>
      <c r="X218" s="456">
        <v>14</v>
      </c>
      <c r="Y218" s="454">
        <v>45</v>
      </c>
      <c r="AC218" s="14"/>
      <c r="AE218" s="14"/>
    </row>
    <row r="219" spans="1:31" s="13" customFormat="1">
      <c r="A219" s="455" t="s">
        <v>651</v>
      </c>
      <c r="B219" s="305">
        <v>270</v>
      </c>
      <c r="C219" s="14">
        <v>50</v>
      </c>
      <c r="D219" s="305">
        <v>15.7</v>
      </c>
      <c r="E219" s="14">
        <v>50</v>
      </c>
      <c r="F219" s="188">
        <v>8.9999999999999893</v>
      </c>
      <c r="G219" s="6">
        <v>50</v>
      </c>
      <c r="I219" s="454">
        <v>245</v>
      </c>
      <c r="J219" s="454">
        <v>15.900000000000009</v>
      </c>
      <c r="K219" s="456">
        <v>13</v>
      </c>
      <c r="L219" s="454">
        <v>50</v>
      </c>
      <c r="N219" s="305">
        <v>220</v>
      </c>
      <c r="O219" s="14">
        <v>50</v>
      </c>
      <c r="P219" s="14">
        <v>17.70000000000001</v>
      </c>
      <c r="Q219" s="14">
        <v>50</v>
      </c>
      <c r="R219" s="188">
        <v>5.4999999999999902</v>
      </c>
      <c r="S219" s="6">
        <v>50</v>
      </c>
      <c r="V219" s="454">
        <v>195</v>
      </c>
      <c r="W219" s="454">
        <v>17.70000000000001</v>
      </c>
      <c r="X219" s="456">
        <v>15</v>
      </c>
      <c r="Y219" s="454">
        <v>50</v>
      </c>
      <c r="AC219" s="14"/>
      <c r="AE219" s="14"/>
    </row>
    <row r="220" spans="1:31" s="13" customFormat="1">
      <c r="A220" s="455" t="s">
        <v>652</v>
      </c>
      <c r="B220" s="305">
        <v>273</v>
      </c>
      <c r="C220" s="14">
        <v>55</v>
      </c>
      <c r="D220" s="305">
        <v>15.9</v>
      </c>
      <c r="E220" s="14">
        <v>45</v>
      </c>
      <c r="F220" s="188">
        <v>9.2999999999999901</v>
      </c>
      <c r="G220" s="6">
        <v>55</v>
      </c>
      <c r="I220" s="454">
        <v>250</v>
      </c>
      <c r="J220" s="454">
        <v>16.100000000000009</v>
      </c>
      <c r="K220" s="456">
        <v>14</v>
      </c>
      <c r="L220" s="454">
        <v>55</v>
      </c>
      <c r="N220" s="305">
        <v>223</v>
      </c>
      <c r="O220" s="14">
        <v>55</v>
      </c>
      <c r="P220" s="14">
        <v>17.900000000000013</v>
      </c>
      <c r="Q220" s="14">
        <v>45</v>
      </c>
      <c r="R220" s="188">
        <v>5.7999999999999901</v>
      </c>
      <c r="S220" s="6">
        <v>55</v>
      </c>
      <c r="V220" s="454">
        <v>200</v>
      </c>
      <c r="W220" s="454">
        <v>17.900000000000013</v>
      </c>
      <c r="X220" s="456">
        <v>16</v>
      </c>
      <c r="Y220" s="454">
        <v>55</v>
      </c>
      <c r="AC220" s="14"/>
      <c r="AE220" s="14"/>
    </row>
    <row r="221" spans="1:31" s="13" customFormat="1">
      <c r="A221" s="455"/>
      <c r="B221" s="305">
        <v>276</v>
      </c>
      <c r="C221" s="14">
        <v>60</v>
      </c>
      <c r="D221" s="305">
        <v>16.100000000000001</v>
      </c>
      <c r="E221" s="14">
        <v>40</v>
      </c>
      <c r="F221" s="188">
        <v>9.6</v>
      </c>
      <c r="G221" s="6">
        <v>60</v>
      </c>
      <c r="I221" s="454">
        <v>255</v>
      </c>
      <c r="J221" s="454">
        <v>16.300000000000011</v>
      </c>
      <c r="K221" s="456">
        <v>15</v>
      </c>
      <c r="L221" s="454">
        <v>60</v>
      </c>
      <c r="N221" s="305">
        <v>226</v>
      </c>
      <c r="O221" s="14">
        <v>60</v>
      </c>
      <c r="P221" s="14">
        <v>18.100000000000012</v>
      </c>
      <c r="Q221" s="14">
        <v>40</v>
      </c>
      <c r="R221" s="188">
        <v>6.1</v>
      </c>
      <c r="S221" s="6">
        <v>60</v>
      </c>
      <c r="V221" s="454">
        <v>205</v>
      </c>
      <c r="W221" s="454">
        <v>18.100000000000012</v>
      </c>
      <c r="X221" s="456">
        <v>17</v>
      </c>
      <c r="Y221" s="454">
        <v>60</v>
      </c>
      <c r="AC221" s="14"/>
      <c r="AE221" s="14"/>
    </row>
    <row r="222" spans="1:31" s="13" customFormat="1">
      <c r="A222" s="14"/>
      <c r="B222" s="305">
        <v>279</v>
      </c>
      <c r="C222" s="14">
        <v>65</v>
      </c>
      <c r="D222" s="305">
        <v>16.3</v>
      </c>
      <c r="E222" s="14">
        <v>35</v>
      </c>
      <c r="F222" s="188">
        <v>9.9</v>
      </c>
      <c r="G222" s="6">
        <v>65</v>
      </c>
      <c r="I222" s="454">
        <v>260</v>
      </c>
      <c r="J222" s="454">
        <v>16.500000000000014</v>
      </c>
      <c r="K222" s="456">
        <v>16</v>
      </c>
      <c r="L222" s="454">
        <v>65</v>
      </c>
      <c r="N222" s="305">
        <v>229</v>
      </c>
      <c r="O222" s="14">
        <v>65</v>
      </c>
      <c r="P222" s="14">
        <v>18.300000000000011</v>
      </c>
      <c r="Q222" s="14">
        <v>35</v>
      </c>
      <c r="R222" s="188">
        <v>6.4</v>
      </c>
      <c r="S222" s="6">
        <v>65</v>
      </c>
      <c r="V222" s="454">
        <v>210</v>
      </c>
      <c r="W222" s="454">
        <v>18.300000000000011</v>
      </c>
      <c r="X222" s="456">
        <v>18</v>
      </c>
      <c r="Y222" s="454">
        <v>65</v>
      </c>
      <c r="AC222" s="14"/>
      <c r="AE222" s="14"/>
    </row>
    <row r="223" spans="1:31" s="13" customFormat="1">
      <c r="A223" s="14"/>
      <c r="B223" s="305">
        <v>282</v>
      </c>
      <c r="C223" s="14">
        <v>70</v>
      </c>
      <c r="D223" s="305">
        <v>16.5</v>
      </c>
      <c r="E223" s="14">
        <v>30</v>
      </c>
      <c r="F223" s="188">
        <v>10.199999999999999</v>
      </c>
      <c r="G223" s="6">
        <v>70</v>
      </c>
      <c r="I223" s="454">
        <v>265</v>
      </c>
      <c r="J223" s="454">
        <v>16.700000000000014</v>
      </c>
      <c r="K223" s="456">
        <v>17</v>
      </c>
      <c r="L223" s="454">
        <v>70</v>
      </c>
      <c r="N223" s="305">
        <v>232</v>
      </c>
      <c r="O223" s="14">
        <v>70</v>
      </c>
      <c r="P223" s="14">
        <v>18.500000000000014</v>
      </c>
      <c r="Q223" s="14">
        <v>30</v>
      </c>
      <c r="R223" s="188">
        <v>6.7</v>
      </c>
      <c r="S223" s="6">
        <v>70</v>
      </c>
      <c r="V223" s="454">
        <v>215</v>
      </c>
      <c r="W223" s="454">
        <v>18.500000000000014</v>
      </c>
      <c r="X223" s="456">
        <v>19</v>
      </c>
      <c r="Y223" s="454">
        <v>70</v>
      </c>
      <c r="AC223" s="14"/>
      <c r="AE223" s="14"/>
    </row>
    <row r="224" spans="1:31" s="13" customFormat="1">
      <c r="A224" s="14"/>
      <c r="B224" s="305">
        <v>285</v>
      </c>
      <c r="C224" s="14">
        <v>75</v>
      </c>
      <c r="D224" s="305">
        <v>16.7</v>
      </c>
      <c r="E224" s="14">
        <v>25</v>
      </c>
      <c r="F224" s="188">
        <v>10.5</v>
      </c>
      <c r="G224" s="6">
        <v>75</v>
      </c>
      <c r="I224" s="454">
        <v>270</v>
      </c>
      <c r="J224" s="454">
        <v>16.900000000000013</v>
      </c>
      <c r="K224" s="456">
        <v>18</v>
      </c>
      <c r="L224" s="454">
        <v>75</v>
      </c>
      <c r="N224" s="305">
        <v>235</v>
      </c>
      <c r="O224" s="14">
        <v>75</v>
      </c>
      <c r="P224" s="14">
        <v>18.700000000000017</v>
      </c>
      <c r="Q224" s="14">
        <v>25</v>
      </c>
      <c r="R224" s="188">
        <v>7</v>
      </c>
      <c r="S224" s="6">
        <v>75</v>
      </c>
      <c r="V224" s="454">
        <v>220</v>
      </c>
      <c r="W224" s="454">
        <v>18.700000000000017</v>
      </c>
      <c r="X224" s="456">
        <v>20</v>
      </c>
      <c r="Y224" s="454">
        <v>75</v>
      </c>
      <c r="AC224" s="14"/>
      <c r="AE224" s="14"/>
    </row>
    <row r="225" spans="1:31" s="13" customFormat="1">
      <c r="A225" s="14"/>
      <c r="B225" s="305">
        <v>288</v>
      </c>
      <c r="C225" s="14">
        <v>80</v>
      </c>
      <c r="D225" s="305">
        <v>16.899999999999999</v>
      </c>
      <c r="E225" s="14">
        <v>20</v>
      </c>
      <c r="F225" s="188">
        <v>10.8</v>
      </c>
      <c r="G225" s="6">
        <v>80</v>
      </c>
      <c r="I225" s="454">
        <v>275</v>
      </c>
      <c r="J225" s="454">
        <v>17.100000000000016</v>
      </c>
      <c r="K225" s="456">
        <v>19</v>
      </c>
      <c r="L225" s="454">
        <v>80</v>
      </c>
      <c r="N225" s="305">
        <v>238</v>
      </c>
      <c r="O225" s="14">
        <v>80</v>
      </c>
      <c r="P225" s="14">
        <v>18.900000000000016</v>
      </c>
      <c r="Q225" s="14">
        <v>20</v>
      </c>
      <c r="R225" s="188">
        <v>7.3</v>
      </c>
      <c r="S225" s="6">
        <v>80</v>
      </c>
      <c r="V225" s="454">
        <v>225</v>
      </c>
      <c r="W225" s="454">
        <v>18.900000000000016</v>
      </c>
      <c r="X225" s="456">
        <v>21</v>
      </c>
      <c r="Y225" s="454">
        <v>80</v>
      </c>
      <c r="AC225" s="14"/>
      <c r="AE225" s="14"/>
    </row>
    <row r="226" spans="1:31" s="13" customFormat="1">
      <c r="A226" s="14"/>
      <c r="B226" s="305">
        <v>291</v>
      </c>
      <c r="C226" s="14">
        <v>85</v>
      </c>
      <c r="D226" s="305">
        <v>17.100000000000001</v>
      </c>
      <c r="E226" s="14">
        <v>15</v>
      </c>
      <c r="F226" s="188">
        <v>11.1</v>
      </c>
      <c r="G226" s="6">
        <v>85</v>
      </c>
      <c r="I226" s="454">
        <v>280</v>
      </c>
      <c r="J226" s="454">
        <v>17.300000000000018</v>
      </c>
      <c r="K226" s="456">
        <v>22</v>
      </c>
      <c r="L226" s="454">
        <v>85</v>
      </c>
      <c r="N226" s="305">
        <v>241</v>
      </c>
      <c r="O226" s="14">
        <v>85</v>
      </c>
      <c r="P226" s="14">
        <v>19.100000000000016</v>
      </c>
      <c r="Q226" s="14">
        <v>15</v>
      </c>
      <c r="R226" s="188">
        <v>7.6</v>
      </c>
      <c r="S226" s="6">
        <v>85</v>
      </c>
      <c r="V226" s="454">
        <v>230</v>
      </c>
      <c r="W226" s="454">
        <v>19.100000000000016</v>
      </c>
      <c r="X226" s="456">
        <v>24</v>
      </c>
      <c r="Y226" s="454">
        <v>85</v>
      </c>
      <c r="AC226" s="14"/>
      <c r="AE226" s="14"/>
    </row>
    <row r="227" spans="1:31" s="13" customFormat="1">
      <c r="A227" s="14"/>
      <c r="B227" s="305">
        <v>294</v>
      </c>
      <c r="C227" s="14">
        <v>90</v>
      </c>
      <c r="D227" s="305">
        <v>17.3</v>
      </c>
      <c r="E227" s="14">
        <v>10</v>
      </c>
      <c r="F227" s="188">
        <v>11.4</v>
      </c>
      <c r="G227" s="6">
        <v>90</v>
      </c>
      <c r="I227" s="454">
        <v>285</v>
      </c>
      <c r="J227" s="454">
        <v>17.500000000000018</v>
      </c>
      <c r="K227" s="456">
        <v>25</v>
      </c>
      <c r="L227" s="454">
        <v>90</v>
      </c>
      <c r="N227" s="305">
        <v>244</v>
      </c>
      <c r="O227" s="14">
        <v>90</v>
      </c>
      <c r="P227" s="14">
        <v>19.300000000000018</v>
      </c>
      <c r="Q227" s="14">
        <v>10</v>
      </c>
      <c r="R227" s="188">
        <v>7.9</v>
      </c>
      <c r="S227" s="6">
        <v>90</v>
      </c>
      <c r="V227" s="454">
        <v>235</v>
      </c>
      <c r="W227" s="454">
        <v>19.300000000000018</v>
      </c>
      <c r="X227" s="456">
        <v>27</v>
      </c>
      <c r="Y227" s="454">
        <v>90</v>
      </c>
      <c r="AC227" s="14"/>
      <c r="AE227" s="14"/>
    </row>
    <row r="228" spans="1:31" s="13" customFormat="1">
      <c r="A228" s="14"/>
      <c r="B228" s="305">
        <v>297</v>
      </c>
      <c r="C228" s="14">
        <v>95</v>
      </c>
      <c r="D228" s="305">
        <v>17.5</v>
      </c>
      <c r="E228" s="14">
        <v>5</v>
      </c>
      <c r="F228" s="188">
        <v>11.7</v>
      </c>
      <c r="G228" s="6">
        <v>95</v>
      </c>
      <c r="I228" s="454">
        <v>290</v>
      </c>
      <c r="J228" s="454">
        <v>17.700000000000017</v>
      </c>
      <c r="K228" s="456">
        <v>28</v>
      </c>
      <c r="L228" s="454">
        <v>95</v>
      </c>
      <c r="N228" s="305">
        <v>247</v>
      </c>
      <c r="O228" s="14">
        <v>95</v>
      </c>
      <c r="P228" s="14">
        <v>19.500000000000021</v>
      </c>
      <c r="Q228" s="14">
        <v>5</v>
      </c>
      <c r="R228" s="188">
        <v>8.1999999999999993</v>
      </c>
      <c r="S228" s="6">
        <v>95</v>
      </c>
      <c r="V228" s="454">
        <v>240</v>
      </c>
      <c r="W228" s="454">
        <v>19.500000000000021</v>
      </c>
      <c r="X228" s="456">
        <v>30</v>
      </c>
      <c r="Y228" s="454">
        <v>95</v>
      </c>
      <c r="AC228" s="14"/>
      <c r="AE228" s="14"/>
    </row>
    <row r="229" spans="1:31" s="13" customFormat="1">
      <c r="A229" s="14"/>
      <c r="B229" s="305">
        <v>300</v>
      </c>
      <c r="C229" s="14">
        <v>100</v>
      </c>
      <c r="D229" s="305">
        <v>17.7</v>
      </c>
      <c r="E229" s="14">
        <v>0</v>
      </c>
      <c r="F229" s="188">
        <v>12</v>
      </c>
      <c r="G229" s="6">
        <v>100</v>
      </c>
      <c r="I229" s="454">
        <v>295</v>
      </c>
      <c r="J229" s="454">
        <v>17.90000000000002</v>
      </c>
      <c r="K229" s="456">
        <v>30.1</v>
      </c>
      <c r="L229" s="454">
        <v>100</v>
      </c>
      <c r="N229" s="305">
        <v>250</v>
      </c>
      <c r="O229" s="14">
        <v>100</v>
      </c>
      <c r="P229" s="14">
        <v>19.700000000000021</v>
      </c>
      <c r="Q229" s="14">
        <v>0</v>
      </c>
      <c r="R229" s="188">
        <v>8.5</v>
      </c>
      <c r="S229" s="6">
        <v>100</v>
      </c>
      <c r="V229" s="454">
        <v>245</v>
      </c>
      <c r="W229" s="454">
        <v>19.700000000000021</v>
      </c>
      <c r="X229" s="456">
        <v>32.1</v>
      </c>
      <c r="Y229" s="454">
        <v>100</v>
      </c>
      <c r="AC229" s="14"/>
      <c r="AE229" s="14"/>
    </row>
    <row r="230" spans="1:31" s="292" customFormat="1">
      <c r="F230" s="35"/>
      <c r="R230" s="35"/>
    </row>
    <row r="231" spans="1:31" s="292" customFormat="1">
      <c r="F231" s="35"/>
      <c r="R231" s="35"/>
    </row>
    <row r="232" spans="1:31" s="292" customFormat="1">
      <c r="A232" s="375" t="s">
        <v>22</v>
      </c>
      <c r="B232" s="375" t="s">
        <v>218</v>
      </c>
      <c r="C232" s="375" t="s">
        <v>471</v>
      </c>
      <c r="D232" s="375" t="s">
        <v>507</v>
      </c>
      <c r="E232" s="375" t="s">
        <v>471</v>
      </c>
      <c r="F232" s="381" t="s">
        <v>515</v>
      </c>
      <c r="G232" s="375" t="s">
        <v>471</v>
      </c>
      <c r="H232" s="375" t="s">
        <v>455</v>
      </c>
      <c r="I232" s="375" t="s">
        <v>471</v>
      </c>
      <c r="N232" s="375" t="s">
        <v>218</v>
      </c>
      <c r="O232" s="375" t="s">
        <v>471</v>
      </c>
      <c r="P232" s="375" t="s">
        <v>507</v>
      </c>
      <c r="Q232" s="375" t="s">
        <v>471</v>
      </c>
      <c r="R232" s="381" t="s">
        <v>515</v>
      </c>
      <c r="S232" s="375" t="s">
        <v>471</v>
      </c>
      <c r="T232" s="375" t="s">
        <v>455</v>
      </c>
      <c r="U232" s="375" t="s">
        <v>471</v>
      </c>
    </row>
    <row r="233" spans="1:31" s="292" customFormat="1">
      <c r="B233" s="292">
        <v>0</v>
      </c>
      <c r="C233" s="292">
        <v>100</v>
      </c>
      <c r="D233" s="292">
        <v>0</v>
      </c>
      <c r="E233" s="292">
        <v>36</v>
      </c>
      <c r="F233" s="35">
        <v>0</v>
      </c>
      <c r="G233" s="292">
        <v>36</v>
      </c>
      <c r="H233" s="292">
        <v>0</v>
      </c>
      <c r="I233" s="292">
        <v>36</v>
      </c>
      <c r="N233" s="292">
        <v>0</v>
      </c>
      <c r="O233" s="292">
        <v>100</v>
      </c>
      <c r="P233" s="292">
        <v>0</v>
      </c>
      <c r="Q233" s="292">
        <v>36</v>
      </c>
      <c r="R233" s="35">
        <v>0</v>
      </c>
      <c r="S233" s="292">
        <v>36</v>
      </c>
      <c r="T233" s="292">
        <v>0</v>
      </c>
      <c r="U233" s="292">
        <v>36</v>
      </c>
    </row>
    <row r="234" spans="1:31" s="292" customFormat="1">
      <c r="B234" s="292">
        <v>9.91</v>
      </c>
      <c r="C234" s="292">
        <v>92</v>
      </c>
      <c r="D234" s="292">
        <v>120</v>
      </c>
      <c r="E234" s="292">
        <v>44</v>
      </c>
      <c r="F234" s="35">
        <v>10.1</v>
      </c>
      <c r="G234" s="292">
        <v>44</v>
      </c>
      <c r="H234" s="292">
        <v>11</v>
      </c>
      <c r="I234" s="292">
        <v>44</v>
      </c>
      <c r="N234" s="292">
        <v>11.01</v>
      </c>
      <c r="O234" s="292">
        <v>92</v>
      </c>
      <c r="P234" s="292">
        <v>90</v>
      </c>
      <c r="Q234" s="292">
        <v>44</v>
      </c>
      <c r="R234" s="35">
        <v>15.1</v>
      </c>
      <c r="S234" s="292">
        <v>44</v>
      </c>
      <c r="T234" s="292">
        <v>9</v>
      </c>
      <c r="U234" s="292">
        <v>44</v>
      </c>
    </row>
    <row r="235" spans="1:31" s="292" customFormat="1">
      <c r="B235" s="292">
        <v>10.119999999999999</v>
      </c>
      <c r="C235" s="292">
        <v>84</v>
      </c>
      <c r="D235" s="292">
        <v>125</v>
      </c>
      <c r="E235" s="292">
        <v>52</v>
      </c>
      <c r="F235" s="35">
        <v>12.2</v>
      </c>
      <c r="G235" s="292">
        <v>52</v>
      </c>
      <c r="H235" s="292">
        <v>14</v>
      </c>
      <c r="I235" s="292">
        <v>52</v>
      </c>
      <c r="N235" s="292">
        <v>11.22</v>
      </c>
      <c r="O235" s="292">
        <v>84</v>
      </c>
      <c r="P235" s="292">
        <v>95</v>
      </c>
      <c r="Q235" s="292">
        <v>52</v>
      </c>
      <c r="R235" s="35">
        <v>17.100000000000001</v>
      </c>
      <c r="S235" s="292">
        <v>52</v>
      </c>
      <c r="T235" s="292">
        <v>11</v>
      </c>
      <c r="U235" s="292">
        <v>52</v>
      </c>
    </row>
    <row r="236" spans="1:31" s="292" customFormat="1">
      <c r="B236" s="292">
        <v>10.32</v>
      </c>
      <c r="C236" s="292">
        <v>76</v>
      </c>
      <c r="D236" s="292">
        <v>130</v>
      </c>
      <c r="E236" s="292">
        <v>60</v>
      </c>
      <c r="F236" s="35">
        <v>15.6</v>
      </c>
      <c r="G236" s="292">
        <v>60</v>
      </c>
      <c r="H236" s="292">
        <v>17</v>
      </c>
      <c r="I236" s="292">
        <v>60</v>
      </c>
      <c r="N236" s="292">
        <v>11.42</v>
      </c>
      <c r="O236" s="292">
        <v>76</v>
      </c>
      <c r="P236" s="292">
        <v>100</v>
      </c>
      <c r="Q236" s="292">
        <v>60</v>
      </c>
      <c r="R236" s="35">
        <v>20.100000000000001</v>
      </c>
      <c r="S236" s="292">
        <v>60</v>
      </c>
      <c r="T236" s="292">
        <v>13</v>
      </c>
      <c r="U236" s="292">
        <v>60</v>
      </c>
    </row>
    <row r="237" spans="1:31" s="292" customFormat="1">
      <c r="B237" s="292">
        <v>10.52</v>
      </c>
      <c r="C237" s="292">
        <v>68</v>
      </c>
      <c r="D237" s="292">
        <v>135</v>
      </c>
      <c r="E237" s="292">
        <v>68</v>
      </c>
      <c r="F237" s="35">
        <v>19.2</v>
      </c>
      <c r="G237" s="292">
        <v>68</v>
      </c>
      <c r="H237" s="292">
        <v>19</v>
      </c>
      <c r="I237" s="292">
        <v>68</v>
      </c>
      <c r="N237" s="292">
        <v>11.62</v>
      </c>
      <c r="O237" s="292">
        <v>68</v>
      </c>
      <c r="P237" s="292">
        <v>105</v>
      </c>
      <c r="Q237" s="292">
        <v>68</v>
      </c>
      <c r="R237" s="35">
        <v>23.2</v>
      </c>
      <c r="S237" s="292">
        <v>68</v>
      </c>
      <c r="T237" s="292">
        <v>15</v>
      </c>
      <c r="U237" s="292">
        <v>68</v>
      </c>
    </row>
    <row r="238" spans="1:31" s="292" customFormat="1">
      <c r="B238" s="292">
        <v>10.72</v>
      </c>
      <c r="C238" s="292">
        <v>60</v>
      </c>
      <c r="D238" s="292">
        <v>140</v>
      </c>
      <c r="E238" s="292">
        <v>76</v>
      </c>
      <c r="F238" s="35">
        <v>22.5</v>
      </c>
      <c r="G238" s="292">
        <v>76</v>
      </c>
      <c r="H238" s="292">
        <v>21</v>
      </c>
      <c r="I238" s="292">
        <v>76</v>
      </c>
      <c r="N238" s="292">
        <v>11.82</v>
      </c>
      <c r="O238" s="292">
        <v>60</v>
      </c>
      <c r="P238" s="292">
        <v>110</v>
      </c>
      <c r="Q238" s="292">
        <v>76</v>
      </c>
      <c r="R238" s="35">
        <v>25.3</v>
      </c>
      <c r="S238" s="292">
        <v>76</v>
      </c>
      <c r="T238" s="292">
        <v>17</v>
      </c>
      <c r="U238" s="292">
        <v>76</v>
      </c>
    </row>
    <row r="239" spans="1:31" s="292" customFormat="1">
      <c r="B239" s="292">
        <v>10.92</v>
      </c>
      <c r="C239" s="292">
        <v>52</v>
      </c>
      <c r="D239" s="292">
        <v>145</v>
      </c>
      <c r="E239" s="292">
        <v>84</v>
      </c>
      <c r="F239" s="35">
        <v>25</v>
      </c>
      <c r="G239" s="292">
        <v>84</v>
      </c>
      <c r="H239" s="292">
        <v>23</v>
      </c>
      <c r="I239" s="292">
        <v>84</v>
      </c>
      <c r="N239" s="292">
        <v>12.02</v>
      </c>
      <c r="O239" s="292">
        <v>52</v>
      </c>
      <c r="P239" s="292">
        <v>115</v>
      </c>
      <c r="Q239" s="292">
        <v>84</v>
      </c>
      <c r="R239" s="35">
        <v>29</v>
      </c>
      <c r="S239" s="292">
        <v>84</v>
      </c>
      <c r="T239" s="292">
        <v>19</v>
      </c>
      <c r="U239" s="292">
        <v>84</v>
      </c>
    </row>
    <row r="240" spans="1:31" s="292" customFormat="1">
      <c r="B240" s="292">
        <v>11.12</v>
      </c>
      <c r="C240" s="292">
        <v>44</v>
      </c>
      <c r="D240" s="292">
        <v>150</v>
      </c>
      <c r="E240" s="292">
        <v>92</v>
      </c>
      <c r="F240" s="35">
        <v>27.2</v>
      </c>
      <c r="G240" s="292">
        <v>92</v>
      </c>
      <c r="H240" s="292">
        <v>26</v>
      </c>
      <c r="I240" s="292">
        <v>92</v>
      </c>
      <c r="N240" s="292">
        <v>12.22</v>
      </c>
      <c r="O240" s="292">
        <v>44</v>
      </c>
      <c r="P240" s="292">
        <v>120</v>
      </c>
      <c r="Q240" s="292">
        <v>92</v>
      </c>
      <c r="R240" s="35">
        <v>31.3</v>
      </c>
      <c r="S240" s="292">
        <v>92</v>
      </c>
      <c r="T240" s="292">
        <v>21</v>
      </c>
      <c r="U240" s="292">
        <v>92</v>
      </c>
    </row>
    <row r="241" spans="1:31" s="292" customFormat="1">
      <c r="B241" s="292">
        <v>11.32</v>
      </c>
      <c r="C241" s="292">
        <v>36</v>
      </c>
      <c r="D241" s="292">
        <v>155</v>
      </c>
      <c r="E241" s="292">
        <v>100</v>
      </c>
      <c r="F241" s="35">
        <v>29.6</v>
      </c>
      <c r="G241" s="292">
        <v>100</v>
      </c>
      <c r="H241" s="292">
        <v>28</v>
      </c>
      <c r="I241" s="292">
        <v>100</v>
      </c>
      <c r="N241" s="292">
        <v>12.42</v>
      </c>
      <c r="O241" s="292">
        <v>36</v>
      </c>
      <c r="P241" s="292">
        <v>125</v>
      </c>
      <c r="Q241" s="292">
        <v>100</v>
      </c>
      <c r="R241" s="35">
        <v>32.6</v>
      </c>
      <c r="S241" s="292">
        <v>100</v>
      </c>
      <c r="T241" s="292">
        <v>23</v>
      </c>
      <c r="U241" s="292">
        <v>100</v>
      </c>
    </row>
    <row r="242" spans="1:31" s="292" customFormat="1">
      <c r="F242" s="35"/>
      <c r="R242" s="35"/>
    </row>
    <row r="243" spans="1:31" s="292" customFormat="1">
      <c r="F243" s="35"/>
      <c r="R243" s="35"/>
    </row>
    <row r="244" spans="1:31" s="292" customFormat="1">
      <c r="F244" s="35"/>
      <c r="R244" s="35"/>
    </row>
    <row r="246" spans="1:31" s="292" customFormat="1">
      <c r="A246" s="6" t="s">
        <v>296</v>
      </c>
      <c r="B246" s="6" t="s">
        <v>448</v>
      </c>
      <c r="C246" s="6" t="s">
        <v>471</v>
      </c>
      <c r="D246" s="293" t="s">
        <v>452</v>
      </c>
      <c r="E246" s="293" t="s">
        <v>471</v>
      </c>
      <c r="F246" s="6" t="s">
        <v>451</v>
      </c>
      <c r="G246" s="6" t="s">
        <v>471</v>
      </c>
      <c r="H246" s="31" t="s">
        <v>473</v>
      </c>
      <c r="I246" s="31" t="s">
        <v>471</v>
      </c>
      <c r="J246" s="6"/>
      <c r="K246" s="293" t="s">
        <v>458</v>
      </c>
      <c r="L246" s="293" t="s">
        <v>471</v>
      </c>
      <c r="M246" s="6"/>
      <c r="N246" s="6" t="s">
        <v>448</v>
      </c>
      <c r="O246" s="6" t="s">
        <v>471</v>
      </c>
      <c r="P246" s="293" t="s">
        <v>452</v>
      </c>
      <c r="Q246" s="293" t="s">
        <v>471</v>
      </c>
      <c r="R246" s="6" t="s">
        <v>451</v>
      </c>
      <c r="S246" s="6" t="s">
        <v>471</v>
      </c>
      <c r="T246" s="31" t="s">
        <v>473</v>
      </c>
      <c r="U246" s="31" t="s">
        <v>471</v>
      </c>
      <c r="V246" s="6"/>
      <c r="W246" s="6"/>
      <c r="X246" s="6"/>
      <c r="AC246" s="6"/>
      <c r="AE246" s="6"/>
    </row>
    <row r="247" spans="1:31" s="292" customFormat="1">
      <c r="A247" s="98"/>
      <c r="B247" s="56">
        <v>0</v>
      </c>
      <c r="C247" s="56">
        <v>50</v>
      </c>
      <c r="D247" s="294"/>
      <c r="E247" s="295"/>
      <c r="F247" s="35">
        <v>0</v>
      </c>
      <c r="G247" s="56">
        <v>50</v>
      </c>
      <c r="H247" s="31">
        <v>0</v>
      </c>
      <c r="I247" s="31">
        <v>100</v>
      </c>
      <c r="J247" s="31">
        <v>100</v>
      </c>
      <c r="K247" s="294">
        <v>0</v>
      </c>
      <c r="L247" s="295">
        <v>50</v>
      </c>
      <c r="M247" s="6"/>
      <c r="N247" s="56">
        <v>0</v>
      </c>
      <c r="O247" s="56">
        <v>50</v>
      </c>
      <c r="P247" s="294"/>
      <c r="Q247" s="295"/>
      <c r="R247" s="35">
        <v>0</v>
      </c>
      <c r="S247" s="56">
        <v>50</v>
      </c>
      <c r="T247" s="31">
        <v>0</v>
      </c>
      <c r="U247" s="31">
        <v>100</v>
      </c>
      <c r="V247" s="6"/>
      <c r="W247" s="6"/>
      <c r="X247" s="6"/>
      <c r="AC247" s="6"/>
      <c r="AE247" s="6"/>
    </row>
    <row r="248" spans="1:31" s="292" customFormat="1">
      <c r="A248" s="98"/>
      <c r="B248" s="56">
        <v>252</v>
      </c>
      <c r="C248" s="56">
        <v>52</v>
      </c>
      <c r="D248" s="294"/>
      <c r="E248" s="295"/>
      <c r="F248" s="35">
        <v>124</v>
      </c>
      <c r="G248" s="56">
        <v>52</v>
      </c>
      <c r="H248" s="31">
        <v>14.41</v>
      </c>
      <c r="I248" s="31">
        <v>98</v>
      </c>
      <c r="J248" s="31">
        <v>98.25</v>
      </c>
      <c r="K248" s="294">
        <v>12</v>
      </c>
      <c r="L248" s="295">
        <v>52</v>
      </c>
      <c r="M248" s="6"/>
      <c r="N248" s="56">
        <v>202</v>
      </c>
      <c r="O248" s="56">
        <v>52</v>
      </c>
      <c r="P248" s="294"/>
      <c r="Q248" s="295"/>
      <c r="R248" s="186">
        <v>42</v>
      </c>
      <c r="S248" s="56">
        <v>52</v>
      </c>
      <c r="T248" s="31">
        <v>16.41</v>
      </c>
      <c r="U248" s="31">
        <v>98</v>
      </c>
      <c r="V248" s="6"/>
      <c r="W248" s="6"/>
      <c r="X248" s="6"/>
      <c r="AC248" s="6"/>
      <c r="AE248" s="6"/>
    </row>
    <row r="249" spans="1:31" s="292" customFormat="1">
      <c r="A249" s="98"/>
      <c r="B249" s="56">
        <v>254</v>
      </c>
      <c r="C249" s="56">
        <v>54</v>
      </c>
      <c r="D249" s="294"/>
      <c r="E249" s="295"/>
      <c r="F249" s="35">
        <v>128</v>
      </c>
      <c r="G249" s="56">
        <v>54</v>
      </c>
      <c r="H249" s="31">
        <v>14.51</v>
      </c>
      <c r="I249" s="31">
        <v>96</v>
      </c>
      <c r="J249" s="31">
        <v>96.5</v>
      </c>
      <c r="K249" s="294">
        <v>12.5</v>
      </c>
      <c r="L249" s="295">
        <v>54</v>
      </c>
      <c r="M249" s="6"/>
      <c r="N249" s="56">
        <v>204</v>
      </c>
      <c r="O249" s="56">
        <v>54</v>
      </c>
      <c r="P249" s="294"/>
      <c r="Q249" s="295"/>
      <c r="R249" s="186">
        <v>46</v>
      </c>
      <c r="S249" s="56">
        <v>54</v>
      </c>
      <c r="T249" s="31">
        <v>16.510000000000002</v>
      </c>
      <c r="U249" s="31">
        <v>96</v>
      </c>
      <c r="V249" s="6"/>
      <c r="W249" s="6"/>
      <c r="X249" s="6"/>
      <c r="AC249" s="6"/>
      <c r="AE249" s="6"/>
    </row>
    <row r="250" spans="1:31" s="292" customFormat="1">
      <c r="A250" s="98"/>
      <c r="B250" s="56">
        <v>256</v>
      </c>
      <c r="C250" s="56">
        <v>56</v>
      </c>
      <c r="D250" s="294"/>
      <c r="E250" s="295"/>
      <c r="F250" s="35">
        <v>132</v>
      </c>
      <c r="G250" s="56">
        <v>56</v>
      </c>
      <c r="H250" s="31">
        <v>14.61</v>
      </c>
      <c r="I250" s="31">
        <v>94</v>
      </c>
      <c r="J250" s="31">
        <v>94.75</v>
      </c>
      <c r="K250" s="294">
        <v>13</v>
      </c>
      <c r="L250" s="295">
        <v>56</v>
      </c>
      <c r="M250" s="6"/>
      <c r="N250" s="56">
        <v>206</v>
      </c>
      <c r="O250" s="56">
        <v>56</v>
      </c>
      <c r="P250" s="294"/>
      <c r="Q250" s="295"/>
      <c r="R250" s="186">
        <v>50</v>
      </c>
      <c r="S250" s="56">
        <v>56</v>
      </c>
      <c r="T250" s="31">
        <v>16.61</v>
      </c>
      <c r="U250" s="31">
        <v>94</v>
      </c>
      <c r="V250" s="6"/>
      <c r="W250" s="6"/>
      <c r="X250" s="6"/>
      <c r="AC250" s="6"/>
      <c r="AE250" s="6"/>
    </row>
    <row r="251" spans="1:31" s="292" customFormat="1">
      <c r="A251" s="98"/>
      <c r="B251" s="56">
        <v>258</v>
      </c>
      <c r="C251" s="56">
        <v>58</v>
      </c>
      <c r="D251" s="294"/>
      <c r="E251" s="295"/>
      <c r="F251" s="35">
        <v>136</v>
      </c>
      <c r="G251" s="56">
        <v>58</v>
      </c>
      <c r="H251" s="31">
        <v>14.71</v>
      </c>
      <c r="I251" s="31">
        <v>92</v>
      </c>
      <c r="J251" s="31">
        <v>93</v>
      </c>
      <c r="K251" s="294">
        <v>13.5</v>
      </c>
      <c r="L251" s="295">
        <v>58</v>
      </c>
      <c r="M251" s="6"/>
      <c r="N251" s="56">
        <v>208</v>
      </c>
      <c r="O251" s="56">
        <v>58</v>
      </c>
      <c r="P251" s="294"/>
      <c r="Q251" s="295"/>
      <c r="R251" s="186">
        <v>54</v>
      </c>
      <c r="S251" s="56">
        <v>58</v>
      </c>
      <c r="T251" s="31">
        <v>16.71</v>
      </c>
      <c r="U251" s="31">
        <v>92</v>
      </c>
      <c r="V251" s="6"/>
      <c r="W251" s="6"/>
      <c r="X251" s="6"/>
      <c r="AC251" s="6"/>
      <c r="AE251" s="6"/>
    </row>
    <row r="252" spans="1:31" s="292" customFormat="1">
      <c r="A252" s="98"/>
      <c r="B252" s="56">
        <v>260</v>
      </c>
      <c r="C252" s="56">
        <v>60</v>
      </c>
      <c r="D252" s="294"/>
      <c r="E252" s="295"/>
      <c r="F252" s="35">
        <v>140</v>
      </c>
      <c r="G252" s="56">
        <v>60</v>
      </c>
      <c r="H252" s="31">
        <v>14.81</v>
      </c>
      <c r="I252" s="31">
        <v>90</v>
      </c>
      <c r="J252" s="31">
        <v>91.25</v>
      </c>
      <c r="K252" s="294">
        <v>14</v>
      </c>
      <c r="L252" s="295">
        <v>60</v>
      </c>
      <c r="M252" s="6"/>
      <c r="N252" s="56">
        <v>210</v>
      </c>
      <c r="O252" s="56">
        <v>60</v>
      </c>
      <c r="P252" s="294"/>
      <c r="Q252" s="295"/>
      <c r="R252" s="186">
        <v>58</v>
      </c>
      <c r="S252" s="56">
        <v>60</v>
      </c>
      <c r="T252" s="31">
        <v>16.809999999999999</v>
      </c>
      <c r="U252" s="31">
        <v>90</v>
      </c>
      <c r="V252" s="6"/>
      <c r="W252" s="6"/>
      <c r="X252" s="6"/>
      <c r="AC252" s="6"/>
      <c r="AE252" s="6"/>
    </row>
    <row r="253" spans="1:31" s="292" customFormat="1">
      <c r="A253" s="98"/>
      <c r="B253" s="56">
        <v>262</v>
      </c>
      <c r="C253" s="56">
        <v>62</v>
      </c>
      <c r="D253" s="294"/>
      <c r="E253" s="295"/>
      <c r="F253" s="35">
        <v>144</v>
      </c>
      <c r="G253" s="56">
        <v>62</v>
      </c>
      <c r="H253" s="31">
        <v>14.91</v>
      </c>
      <c r="I253" s="31">
        <v>88</v>
      </c>
      <c r="J253" s="31">
        <v>89.5</v>
      </c>
      <c r="K253" s="294">
        <v>14.5</v>
      </c>
      <c r="L253" s="295">
        <v>62</v>
      </c>
      <c r="M253" s="6"/>
      <c r="N253" s="56">
        <v>212</v>
      </c>
      <c r="O253" s="56">
        <v>62</v>
      </c>
      <c r="P253" s="294"/>
      <c r="Q253" s="295"/>
      <c r="R253" s="186">
        <v>62</v>
      </c>
      <c r="S253" s="56">
        <v>62</v>
      </c>
      <c r="T253" s="31">
        <v>16.91</v>
      </c>
      <c r="U253" s="31">
        <v>88</v>
      </c>
      <c r="V253" s="6"/>
      <c r="W253" s="6"/>
      <c r="X253" s="6"/>
      <c r="AC253" s="6"/>
      <c r="AE253" s="6"/>
    </row>
    <row r="254" spans="1:31" s="292" customFormat="1">
      <c r="A254" s="98"/>
      <c r="B254" s="56">
        <v>264</v>
      </c>
      <c r="C254" s="56">
        <v>64</v>
      </c>
      <c r="D254" s="294"/>
      <c r="E254" s="295"/>
      <c r="F254" s="35">
        <v>148</v>
      </c>
      <c r="G254" s="56">
        <v>64</v>
      </c>
      <c r="H254" s="31">
        <v>15.01</v>
      </c>
      <c r="I254" s="31">
        <v>86</v>
      </c>
      <c r="J254" s="31">
        <v>87.75</v>
      </c>
      <c r="K254" s="294">
        <v>15</v>
      </c>
      <c r="L254" s="295">
        <v>64</v>
      </c>
      <c r="M254" s="6"/>
      <c r="N254" s="56">
        <v>214</v>
      </c>
      <c r="O254" s="56">
        <v>64</v>
      </c>
      <c r="P254" s="294"/>
      <c r="Q254" s="295"/>
      <c r="R254" s="35">
        <v>68</v>
      </c>
      <c r="S254" s="56">
        <v>64</v>
      </c>
      <c r="T254" s="31">
        <v>17.010000000000002</v>
      </c>
      <c r="U254" s="31">
        <v>86</v>
      </c>
      <c r="V254" s="6"/>
      <c r="W254" s="6"/>
      <c r="X254" s="6"/>
      <c r="AC254" s="6"/>
      <c r="AE254" s="6"/>
    </row>
    <row r="255" spans="1:31" s="292" customFormat="1">
      <c r="A255" s="98"/>
      <c r="B255" s="56">
        <v>266</v>
      </c>
      <c r="C255" s="56">
        <v>66</v>
      </c>
      <c r="D255" s="294"/>
      <c r="E255" s="295"/>
      <c r="F255" s="35">
        <v>152</v>
      </c>
      <c r="G255" s="56">
        <v>66</v>
      </c>
      <c r="H255" s="31">
        <v>15.11</v>
      </c>
      <c r="I255" s="31">
        <v>84</v>
      </c>
      <c r="J255" s="31">
        <v>86</v>
      </c>
      <c r="K255" s="294">
        <v>15.5</v>
      </c>
      <c r="L255" s="295">
        <v>66</v>
      </c>
      <c r="M255" s="6"/>
      <c r="N255" s="56">
        <v>216</v>
      </c>
      <c r="O255" s="56">
        <v>66</v>
      </c>
      <c r="P255" s="294"/>
      <c r="Q255" s="295"/>
      <c r="R255" s="35">
        <v>72</v>
      </c>
      <c r="S255" s="56">
        <v>66</v>
      </c>
      <c r="T255" s="31">
        <v>17.11</v>
      </c>
      <c r="U255" s="31">
        <v>84</v>
      </c>
      <c r="V255" s="6"/>
      <c r="W255" s="6"/>
      <c r="X255" s="6"/>
      <c r="AC255" s="6"/>
      <c r="AE255" s="6"/>
    </row>
    <row r="256" spans="1:31" s="292" customFormat="1" ht="15" customHeight="1">
      <c r="A256" s="98"/>
      <c r="B256" s="56">
        <v>268</v>
      </c>
      <c r="C256" s="56">
        <v>68</v>
      </c>
      <c r="D256" s="294"/>
      <c r="E256" s="295"/>
      <c r="F256" s="35">
        <v>156</v>
      </c>
      <c r="G256" s="56">
        <v>68</v>
      </c>
      <c r="H256" s="31">
        <v>15.21</v>
      </c>
      <c r="I256" s="31">
        <v>82</v>
      </c>
      <c r="J256" s="31">
        <v>84.25</v>
      </c>
      <c r="K256" s="294">
        <v>16</v>
      </c>
      <c r="L256" s="295">
        <v>68</v>
      </c>
      <c r="M256" s="6"/>
      <c r="N256" s="56">
        <v>218</v>
      </c>
      <c r="O256" s="56">
        <v>68</v>
      </c>
      <c r="P256" s="294"/>
      <c r="Q256" s="295"/>
      <c r="R256" s="35">
        <v>76</v>
      </c>
      <c r="S256" s="56">
        <v>68</v>
      </c>
      <c r="T256" s="31">
        <v>17.21</v>
      </c>
      <c r="U256" s="31">
        <v>82</v>
      </c>
      <c r="V256" s="6"/>
      <c r="W256" s="6"/>
      <c r="X256" s="6"/>
      <c r="AC256" s="6"/>
      <c r="AE256" s="6"/>
    </row>
    <row r="257" spans="1:31" s="292" customFormat="1">
      <c r="A257" s="6"/>
      <c r="B257" s="56">
        <v>270</v>
      </c>
      <c r="C257" s="56">
        <v>70</v>
      </c>
      <c r="D257" s="294">
        <v>0</v>
      </c>
      <c r="E257" s="295">
        <v>70</v>
      </c>
      <c r="F257" s="35">
        <v>160</v>
      </c>
      <c r="G257" s="56">
        <v>70</v>
      </c>
      <c r="H257" s="31">
        <v>15.31</v>
      </c>
      <c r="I257" s="31">
        <v>80</v>
      </c>
      <c r="J257" s="236">
        <v>82.5</v>
      </c>
      <c r="K257" s="294">
        <v>16.5</v>
      </c>
      <c r="L257" s="295">
        <v>70</v>
      </c>
      <c r="M257" s="6"/>
      <c r="N257" s="56">
        <v>220</v>
      </c>
      <c r="O257" s="56">
        <v>70</v>
      </c>
      <c r="P257" s="294">
        <v>0</v>
      </c>
      <c r="Q257" s="295">
        <v>70</v>
      </c>
      <c r="R257" s="35">
        <v>80</v>
      </c>
      <c r="S257" s="56">
        <v>70</v>
      </c>
      <c r="T257" s="31">
        <v>17.309999999999999</v>
      </c>
      <c r="U257" s="31">
        <v>80</v>
      </c>
      <c r="V257" s="6"/>
      <c r="W257" s="6"/>
      <c r="X257" s="6"/>
      <c r="AC257" s="6"/>
      <c r="AE257" s="6"/>
    </row>
    <row r="258" spans="1:31" s="292" customFormat="1">
      <c r="A258" s="98"/>
      <c r="B258" s="56">
        <v>272</v>
      </c>
      <c r="C258" s="56">
        <v>72</v>
      </c>
      <c r="D258" s="294">
        <v>6.4</v>
      </c>
      <c r="E258" s="295">
        <v>72</v>
      </c>
      <c r="F258" s="35">
        <v>164</v>
      </c>
      <c r="G258" s="56">
        <v>72</v>
      </c>
      <c r="H258" s="31">
        <v>15.41</v>
      </c>
      <c r="I258" s="31">
        <v>78</v>
      </c>
      <c r="J258" s="236">
        <v>80.75</v>
      </c>
      <c r="K258" s="294">
        <v>17</v>
      </c>
      <c r="L258" s="295">
        <v>72</v>
      </c>
      <c r="M258" s="6"/>
      <c r="N258" s="56">
        <v>222</v>
      </c>
      <c r="O258" s="56">
        <v>72</v>
      </c>
      <c r="P258" s="294">
        <v>3.4</v>
      </c>
      <c r="Q258" s="295">
        <v>72</v>
      </c>
      <c r="R258" s="35">
        <v>84</v>
      </c>
      <c r="S258" s="56">
        <v>72</v>
      </c>
      <c r="T258" s="31">
        <v>17.41</v>
      </c>
      <c r="U258" s="31">
        <v>78</v>
      </c>
      <c r="V258" s="6"/>
      <c r="W258" s="6"/>
      <c r="X258" s="6"/>
      <c r="AC258" s="6"/>
      <c r="AE258" s="6"/>
    </row>
    <row r="259" spans="1:31" s="292" customFormat="1">
      <c r="A259" s="98"/>
      <c r="B259" s="56">
        <v>274</v>
      </c>
      <c r="C259" s="56">
        <v>74</v>
      </c>
      <c r="D259" s="294">
        <v>6.8</v>
      </c>
      <c r="E259" s="295">
        <v>74</v>
      </c>
      <c r="F259" s="35">
        <v>168</v>
      </c>
      <c r="G259" s="56">
        <v>74</v>
      </c>
      <c r="H259" s="31">
        <v>15.51</v>
      </c>
      <c r="I259" s="31">
        <v>76</v>
      </c>
      <c r="J259" s="236">
        <v>79</v>
      </c>
      <c r="K259" s="294">
        <v>17.5</v>
      </c>
      <c r="L259" s="295">
        <v>74</v>
      </c>
      <c r="M259" s="6"/>
      <c r="N259" s="56">
        <v>224</v>
      </c>
      <c r="O259" s="56">
        <v>74</v>
      </c>
      <c r="P259" s="294">
        <v>3.8</v>
      </c>
      <c r="Q259" s="295">
        <v>74</v>
      </c>
      <c r="R259" s="35">
        <v>88</v>
      </c>
      <c r="S259" s="56">
        <v>74</v>
      </c>
      <c r="T259" s="31">
        <v>17.510000000000002</v>
      </c>
      <c r="U259" s="31">
        <v>76</v>
      </c>
      <c r="V259" s="6"/>
      <c r="W259" s="6"/>
      <c r="X259" s="6"/>
      <c r="AC259" s="6"/>
      <c r="AE259" s="6"/>
    </row>
    <row r="260" spans="1:31" s="292" customFormat="1">
      <c r="A260" s="6"/>
      <c r="B260" s="56">
        <v>276</v>
      </c>
      <c r="C260" s="56">
        <v>76</v>
      </c>
      <c r="D260" s="294">
        <v>7.2</v>
      </c>
      <c r="E260" s="295">
        <v>76</v>
      </c>
      <c r="F260" s="35">
        <v>172</v>
      </c>
      <c r="G260" s="56">
        <v>76</v>
      </c>
      <c r="H260" s="31">
        <v>15.61</v>
      </c>
      <c r="I260" s="31">
        <v>74</v>
      </c>
      <c r="J260" s="236">
        <v>77.25</v>
      </c>
      <c r="K260" s="294">
        <v>18</v>
      </c>
      <c r="L260" s="295">
        <v>76</v>
      </c>
      <c r="M260" s="6"/>
      <c r="N260" s="56">
        <v>226</v>
      </c>
      <c r="O260" s="56">
        <v>76</v>
      </c>
      <c r="P260" s="294">
        <v>4.2</v>
      </c>
      <c r="Q260" s="295">
        <v>76</v>
      </c>
      <c r="R260" s="35">
        <v>92</v>
      </c>
      <c r="S260" s="56">
        <v>76</v>
      </c>
      <c r="T260" s="31">
        <v>17.61</v>
      </c>
      <c r="U260" s="31">
        <v>74</v>
      </c>
      <c r="V260" s="6"/>
      <c r="W260" s="6"/>
      <c r="X260" s="6"/>
      <c r="AC260" s="6"/>
      <c r="AE260" s="6"/>
    </row>
    <row r="261" spans="1:31" s="292" customFormat="1">
      <c r="A261" s="98"/>
      <c r="B261" s="56">
        <v>278</v>
      </c>
      <c r="C261" s="56">
        <v>78</v>
      </c>
      <c r="D261" s="294">
        <v>7.6</v>
      </c>
      <c r="E261" s="295">
        <v>78</v>
      </c>
      <c r="F261" s="35">
        <v>176</v>
      </c>
      <c r="G261" s="56">
        <v>78</v>
      </c>
      <c r="H261" s="31">
        <v>15.71</v>
      </c>
      <c r="I261" s="31">
        <v>72</v>
      </c>
      <c r="J261" s="236">
        <v>75.5</v>
      </c>
      <c r="K261" s="294">
        <v>18.5</v>
      </c>
      <c r="L261" s="295">
        <v>78</v>
      </c>
      <c r="M261" s="6"/>
      <c r="N261" s="56">
        <v>228</v>
      </c>
      <c r="O261" s="56">
        <v>78</v>
      </c>
      <c r="P261" s="294">
        <v>4.5999999999999996</v>
      </c>
      <c r="Q261" s="295">
        <v>78</v>
      </c>
      <c r="R261" s="35">
        <v>96</v>
      </c>
      <c r="S261" s="56">
        <v>78</v>
      </c>
      <c r="T261" s="31">
        <v>17.71</v>
      </c>
      <c r="U261" s="31">
        <v>72</v>
      </c>
      <c r="V261" s="6"/>
      <c r="W261" s="6"/>
      <c r="X261" s="6"/>
      <c r="AC261" s="6"/>
      <c r="AE261" s="6"/>
    </row>
    <row r="262" spans="1:31" s="292" customFormat="1">
      <c r="A262" s="98"/>
      <c r="B262" s="56">
        <v>280</v>
      </c>
      <c r="C262" s="56">
        <v>80</v>
      </c>
      <c r="D262" s="294">
        <v>8</v>
      </c>
      <c r="E262" s="295">
        <v>80</v>
      </c>
      <c r="F262" s="35">
        <v>180</v>
      </c>
      <c r="G262" s="56">
        <v>80</v>
      </c>
      <c r="H262" s="31">
        <v>15.81</v>
      </c>
      <c r="I262" s="31">
        <v>70</v>
      </c>
      <c r="J262" s="236">
        <v>73.75</v>
      </c>
      <c r="K262" s="294">
        <v>19</v>
      </c>
      <c r="L262" s="295">
        <v>80</v>
      </c>
      <c r="M262" s="6"/>
      <c r="N262" s="56">
        <v>230</v>
      </c>
      <c r="O262" s="56">
        <v>80</v>
      </c>
      <c r="P262" s="294">
        <v>5</v>
      </c>
      <c r="Q262" s="295">
        <v>80</v>
      </c>
      <c r="R262" s="35">
        <v>100</v>
      </c>
      <c r="S262" s="56">
        <v>80</v>
      </c>
      <c r="T262" s="31">
        <v>17.809999999999999</v>
      </c>
      <c r="U262" s="31">
        <v>70</v>
      </c>
      <c r="V262" s="6"/>
      <c r="W262" s="6"/>
      <c r="X262" s="6"/>
      <c r="AC262" s="6"/>
      <c r="AE262" s="6"/>
    </row>
    <row r="263" spans="1:31" s="292" customFormat="1">
      <c r="A263" s="6"/>
      <c r="B263" s="56">
        <v>282</v>
      </c>
      <c r="C263" s="56">
        <v>82</v>
      </c>
      <c r="D263" s="294">
        <v>8.4</v>
      </c>
      <c r="E263" s="295">
        <v>82</v>
      </c>
      <c r="F263" s="35">
        <v>184</v>
      </c>
      <c r="G263" s="56">
        <v>82</v>
      </c>
      <c r="H263" s="31">
        <v>15.91</v>
      </c>
      <c r="I263" s="31">
        <v>68</v>
      </c>
      <c r="J263" s="236">
        <v>72</v>
      </c>
      <c r="K263" s="294">
        <v>19.5</v>
      </c>
      <c r="L263" s="295">
        <v>82</v>
      </c>
      <c r="M263" s="6"/>
      <c r="N263" s="56">
        <v>232</v>
      </c>
      <c r="O263" s="56">
        <v>82</v>
      </c>
      <c r="P263" s="294">
        <v>5.4</v>
      </c>
      <c r="Q263" s="295">
        <v>82</v>
      </c>
      <c r="R263" s="35">
        <v>104</v>
      </c>
      <c r="S263" s="56">
        <v>82</v>
      </c>
      <c r="T263" s="31">
        <v>17.91</v>
      </c>
      <c r="U263" s="31">
        <v>68</v>
      </c>
      <c r="V263" s="6"/>
      <c r="W263" s="6"/>
      <c r="X263" s="6"/>
      <c r="AC263" s="6"/>
      <c r="AE263" s="6"/>
    </row>
    <row r="264" spans="1:31" s="292" customFormat="1">
      <c r="A264" s="6"/>
      <c r="B264" s="56">
        <v>284</v>
      </c>
      <c r="C264" s="56">
        <v>84</v>
      </c>
      <c r="D264" s="294">
        <v>8.8000000000000007</v>
      </c>
      <c r="E264" s="295">
        <v>84</v>
      </c>
      <c r="F264" s="35">
        <v>188</v>
      </c>
      <c r="G264" s="56">
        <v>84</v>
      </c>
      <c r="H264" s="31">
        <v>16.010000000000002</v>
      </c>
      <c r="I264" s="31">
        <v>66</v>
      </c>
      <c r="J264" s="236">
        <v>70.25</v>
      </c>
      <c r="K264" s="294">
        <v>20</v>
      </c>
      <c r="L264" s="295">
        <v>84</v>
      </c>
      <c r="M264" s="6"/>
      <c r="N264" s="56">
        <v>234</v>
      </c>
      <c r="O264" s="56">
        <v>84</v>
      </c>
      <c r="P264" s="294">
        <v>5.8</v>
      </c>
      <c r="Q264" s="295">
        <v>84</v>
      </c>
      <c r="R264" s="35">
        <v>108</v>
      </c>
      <c r="S264" s="56">
        <v>84</v>
      </c>
      <c r="T264" s="31">
        <v>18.010000000000002</v>
      </c>
      <c r="U264" s="31">
        <v>66</v>
      </c>
      <c r="V264" s="6"/>
      <c r="W264" s="6"/>
      <c r="X264" s="6"/>
      <c r="AC264" s="6"/>
      <c r="AE264" s="6"/>
    </row>
    <row r="265" spans="1:31" s="292" customFormat="1">
      <c r="A265" s="6"/>
      <c r="B265" s="56">
        <v>286</v>
      </c>
      <c r="C265" s="56">
        <v>86</v>
      </c>
      <c r="D265" s="294">
        <v>9.1999999999999993</v>
      </c>
      <c r="E265" s="295">
        <v>86</v>
      </c>
      <c r="F265" s="35">
        <v>192</v>
      </c>
      <c r="G265" s="56">
        <v>86</v>
      </c>
      <c r="H265" s="31">
        <v>16.11</v>
      </c>
      <c r="I265" s="31">
        <v>64</v>
      </c>
      <c r="J265" s="236">
        <v>68.5</v>
      </c>
      <c r="K265" s="294">
        <v>20.5</v>
      </c>
      <c r="L265" s="295">
        <v>86</v>
      </c>
      <c r="M265" s="6"/>
      <c r="N265" s="56">
        <v>236</v>
      </c>
      <c r="O265" s="56">
        <v>86</v>
      </c>
      <c r="P265" s="294">
        <v>6.2</v>
      </c>
      <c r="Q265" s="295">
        <v>86</v>
      </c>
      <c r="R265" s="35">
        <v>112</v>
      </c>
      <c r="S265" s="56">
        <v>86</v>
      </c>
      <c r="T265" s="31">
        <v>18.11</v>
      </c>
      <c r="U265" s="31">
        <v>64</v>
      </c>
      <c r="V265" s="6"/>
      <c r="W265" s="6"/>
      <c r="X265" s="6"/>
      <c r="AC265" s="6"/>
      <c r="AE265" s="6"/>
    </row>
    <row r="266" spans="1:31" s="292" customFormat="1">
      <c r="A266" s="6"/>
      <c r="B266" s="56">
        <v>288</v>
      </c>
      <c r="C266" s="56">
        <v>88</v>
      </c>
      <c r="D266" s="294">
        <v>9.6</v>
      </c>
      <c r="E266" s="295">
        <v>88</v>
      </c>
      <c r="F266" s="35">
        <v>196</v>
      </c>
      <c r="G266" s="56">
        <v>88</v>
      </c>
      <c r="H266" s="31">
        <v>16.21</v>
      </c>
      <c r="I266" s="31">
        <v>62</v>
      </c>
      <c r="J266" s="236">
        <v>66.75</v>
      </c>
      <c r="K266" s="294">
        <v>21</v>
      </c>
      <c r="L266" s="295">
        <v>88</v>
      </c>
      <c r="M266" s="6"/>
      <c r="N266" s="56">
        <v>238</v>
      </c>
      <c r="O266" s="56">
        <v>88</v>
      </c>
      <c r="P266" s="294">
        <v>6.6</v>
      </c>
      <c r="Q266" s="295">
        <v>88</v>
      </c>
      <c r="R266" s="35">
        <v>116</v>
      </c>
      <c r="S266" s="56">
        <v>88</v>
      </c>
      <c r="T266" s="31">
        <v>18.21</v>
      </c>
      <c r="U266" s="31">
        <v>62</v>
      </c>
      <c r="V266" s="6"/>
      <c r="W266" s="6"/>
      <c r="X266" s="6"/>
      <c r="AC266" s="6"/>
      <c r="AE266" s="6"/>
    </row>
    <row r="267" spans="1:31" s="292" customFormat="1">
      <c r="A267" s="6"/>
      <c r="B267" s="56">
        <v>290</v>
      </c>
      <c r="C267" s="56">
        <v>90</v>
      </c>
      <c r="D267" s="294">
        <v>10</v>
      </c>
      <c r="E267" s="295">
        <v>90</v>
      </c>
      <c r="F267" s="35">
        <v>200</v>
      </c>
      <c r="G267" s="56">
        <v>90</v>
      </c>
      <c r="H267" s="31">
        <v>16.309999999999999</v>
      </c>
      <c r="I267" s="31">
        <v>60</v>
      </c>
      <c r="J267" s="236">
        <v>65</v>
      </c>
      <c r="K267" s="294">
        <v>21.5</v>
      </c>
      <c r="L267" s="295">
        <v>90</v>
      </c>
      <c r="M267" s="6"/>
      <c r="N267" s="56">
        <v>240</v>
      </c>
      <c r="O267" s="56">
        <v>90</v>
      </c>
      <c r="P267" s="294">
        <v>7</v>
      </c>
      <c r="Q267" s="295">
        <v>90</v>
      </c>
      <c r="R267" s="35">
        <v>120</v>
      </c>
      <c r="S267" s="56">
        <v>90</v>
      </c>
      <c r="T267" s="31">
        <v>18.309999999999999</v>
      </c>
      <c r="U267" s="31">
        <v>60</v>
      </c>
      <c r="V267" s="6"/>
      <c r="W267" s="6"/>
      <c r="X267" s="6"/>
      <c r="AC267" s="6"/>
      <c r="AE267" s="6"/>
    </row>
    <row r="268" spans="1:31" s="292" customFormat="1">
      <c r="A268" s="6"/>
      <c r="B268" s="56">
        <v>292</v>
      </c>
      <c r="C268" s="56">
        <v>92</v>
      </c>
      <c r="D268" s="294">
        <v>10.4</v>
      </c>
      <c r="E268" s="295">
        <v>92</v>
      </c>
      <c r="F268" s="35">
        <v>204</v>
      </c>
      <c r="G268" s="56">
        <v>92</v>
      </c>
      <c r="H268" s="31">
        <v>16.41</v>
      </c>
      <c r="I268" s="31">
        <v>58</v>
      </c>
      <c r="J268" s="236">
        <v>63.25</v>
      </c>
      <c r="K268" s="294">
        <v>22</v>
      </c>
      <c r="L268" s="295">
        <v>92</v>
      </c>
      <c r="M268" s="6"/>
      <c r="N268" s="56">
        <v>242</v>
      </c>
      <c r="O268" s="56">
        <v>92</v>
      </c>
      <c r="P268" s="294">
        <v>7.4</v>
      </c>
      <c r="Q268" s="295">
        <v>92</v>
      </c>
      <c r="R268" s="35">
        <v>124</v>
      </c>
      <c r="S268" s="56">
        <v>92</v>
      </c>
      <c r="T268" s="31">
        <v>18.41</v>
      </c>
      <c r="U268" s="31">
        <v>58</v>
      </c>
      <c r="V268" s="6"/>
      <c r="W268" s="6"/>
      <c r="X268" s="6"/>
      <c r="AC268" s="6"/>
      <c r="AE268" s="6"/>
    </row>
    <row r="269" spans="1:31" s="292" customFormat="1" ht="15" customHeight="1">
      <c r="A269" s="6"/>
      <c r="B269" s="56">
        <v>294</v>
      </c>
      <c r="C269" s="56">
        <v>94</v>
      </c>
      <c r="D269" s="294">
        <v>10.8</v>
      </c>
      <c r="E269" s="295">
        <v>94</v>
      </c>
      <c r="F269" s="35">
        <v>208</v>
      </c>
      <c r="G269" s="56">
        <v>94</v>
      </c>
      <c r="H269" s="31">
        <v>16.510000000000002</v>
      </c>
      <c r="I269" s="31">
        <v>56</v>
      </c>
      <c r="J269" s="236">
        <v>61.5</v>
      </c>
      <c r="K269" s="294">
        <v>22.5</v>
      </c>
      <c r="L269" s="295">
        <v>94</v>
      </c>
      <c r="M269" s="6"/>
      <c r="N269" s="56">
        <v>244</v>
      </c>
      <c r="O269" s="56">
        <v>94</v>
      </c>
      <c r="P269" s="294">
        <v>7.8</v>
      </c>
      <c r="Q269" s="295">
        <v>94</v>
      </c>
      <c r="R269" s="35">
        <v>128</v>
      </c>
      <c r="S269" s="56">
        <v>94</v>
      </c>
      <c r="T269" s="31">
        <v>18.510000000000002</v>
      </c>
      <c r="U269" s="31">
        <v>56</v>
      </c>
      <c r="V269" s="6"/>
      <c r="W269" s="6"/>
      <c r="X269" s="6"/>
      <c r="AC269" s="6"/>
      <c r="AE269" s="6"/>
    </row>
    <row r="270" spans="1:31" s="292" customFormat="1" ht="15" customHeight="1">
      <c r="A270" s="6"/>
      <c r="B270" s="56">
        <v>296</v>
      </c>
      <c r="C270" s="56">
        <v>96</v>
      </c>
      <c r="D270" s="294">
        <v>11.2</v>
      </c>
      <c r="E270" s="295">
        <v>96</v>
      </c>
      <c r="F270" s="35">
        <v>212</v>
      </c>
      <c r="G270" s="56">
        <v>96</v>
      </c>
      <c r="H270" s="31">
        <v>16.61</v>
      </c>
      <c r="I270" s="31">
        <v>54</v>
      </c>
      <c r="J270" s="236">
        <v>59.75</v>
      </c>
      <c r="K270" s="294">
        <v>23</v>
      </c>
      <c r="L270" s="295">
        <v>96</v>
      </c>
      <c r="M270" s="6"/>
      <c r="N270" s="56">
        <v>246</v>
      </c>
      <c r="O270" s="56">
        <v>96</v>
      </c>
      <c r="P270" s="294">
        <v>8.1999999999999993</v>
      </c>
      <c r="Q270" s="295">
        <v>96</v>
      </c>
      <c r="R270" s="35">
        <v>132</v>
      </c>
      <c r="S270" s="56">
        <v>96</v>
      </c>
      <c r="T270" s="31">
        <v>18.61</v>
      </c>
      <c r="U270" s="31">
        <v>54</v>
      </c>
      <c r="V270" s="6"/>
      <c r="W270" s="6"/>
      <c r="X270" s="6"/>
      <c r="AC270" s="6"/>
      <c r="AE270" s="6"/>
    </row>
    <row r="271" spans="1:31" s="292" customFormat="1">
      <c r="A271" s="6"/>
      <c r="B271" s="56">
        <v>298</v>
      </c>
      <c r="C271" s="56">
        <v>98</v>
      </c>
      <c r="D271" s="294">
        <v>11.6</v>
      </c>
      <c r="E271" s="295">
        <v>98</v>
      </c>
      <c r="F271" s="35">
        <v>216</v>
      </c>
      <c r="G271" s="56">
        <v>98</v>
      </c>
      <c r="H271" s="31">
        <v>16.71</v>
      </c>
      <c r="I271" s="31">
        <v>52</v>
      </c>
      <c r="J271" s="236">
        <v>58</v>
      </c>
      <c r="K271" s="294">
        <v>23.5</v>
      </c>
      <c r="L271" s="295">
        <v>98</v>
      </c>
      <c r="M271" s="6"/>
      <c r="N271" s="56">
        <v>248</v>
      </c>
      <c r="O271" s="56">
        <v>98</v>
      </c>
      <c r="P271" s="294">
        <v>8.6</v>
      </c>
      <c r="Q271" s="295">
        <v>98</v>
      </c>
      <c r="R271" s="35">
        <v>136</v>
      </c>
      <c r="S271" s="56">
        <v>98</v>
      </c>
      <c r="T271" s="31">
        <v>18.71</v>
      </c>
      <c r="U271" s="31">
        <v>52</v>
      </c>
      <c r="V271" s="6"/>
      <c r="W271" s="6"/>
      <c r="X271" s="6"/>
      <c r="AC271" s="6"/>
      <c r="AE271" s="6"/>
    </row>
    <row r="272" spans="1:31" s="292" customFormat="1">
      <c r="A272" s="6"/>
      <c r="B272" s="56">
        <v>300</v>
      </c>
      <c r="C272" s="56">
        <v>100</v>
      </c>
      <c r="D272" s="294">
        <v>12</v>
      </c>
      <c r="E272" s="295">
        <v>100</v>
      </c>
      <c r="F272" s="35">
        <v>220</v>
      </c>
      <c r="G272" s="56">
        <v>100</v>
      </c>
      <c r="H272" s="31">
        <v>16.809999999999999</v>
      </c>
      <c r="I272" s="31">
        <v>50</v>
      </c>
      <c r="J272" s="236">
        <v>56.25</v>
      </c>
      <c r="K272" s="294">
        <v>24</v>
      </c>
      <c r="L272" s="295">
        <v>100</v>
      </c>
      <c r="M272" s="6"/>
      <c r="N272" s="56">
        <v>250</v>
      </c>
      <c r="O272" s="56">
        <v>100</v>
      </c>
      <c r="P272" s="294">
        <v>9</v>
      </c>
      <c r="Q272" s="295">
        <v>100</v>
      </c>
      <c r="R272" s="35">
        <v>140</v>
      </c>
      <c r="S272" s="56">
        <v>100</v>
      </c>
      <c r="T272" s="31">
        <v>18.809999999999999</v>
      </c>
      <c r="U272" s="31">
        <v>50</v>
      </c>
      <c r="V272" s="6"/>
      <c r="W272" s="6"/>
      <c r="X272" s="6"/>
      <c r="AC272" s="6"/>
      <c r="AE272" s="6"/>
    </row>
    <row r="273" spans="1:31" s="292" customFormat="1">
      <c r="A273" s="6"/>
      <c r="B273" s="56"/>
      <c r="C273" s="56"/>
      <c r="D273" s="294"/>
      <c r="E273" s="295"/>
      <c r="F273" s="35"/>
      <c r="G273" s="56"/>
      <c r="H273" s="31"/>
      <c r="I273" s="98"/>
      <c r="J273" s="6"/>
      <c r="K273" s="31"/>
      <c r="L273" s="6"/>
      <c r="M273" s="6"/>
      <c r="N273" s="56"/>
      <c r="O273" s="56"/>
      <c r="P273" s="294"/>
      <c r="Q273" s="295"/>
      <c r="R273" s="35"/>
      <c r="S273" s="56"/>
      <c r="T273" s="31"/>
      <c r="U273" s="98"/>
      <c r="V273" s="6"/>
      <c r="W273" s="6"/>
      <c r="X273" s="6"/>
      <c r="AC273" s="6"/>
      <c r="AE273" s="6"/>
    </row>
    <row r="274" spans="1:31" s="13" customFormat="1">
      <c r="A274" s="74" t="s">
        <v>490</v>
      </c>
      <c r="B274" s="13" t="s">
        <v>448</v>
      </c>
      <c r="C274" s="13" t="s">
        <v>471</v>
      </c>
      <c r="D274" s="13" t="s">
        <v>473</v>
      </c>
      <c r="E274" s="13" t="s">
        <v>471</v>
      </c>
      <c r="F274" s="305" t="s">
        <v>426</v>
      </c>
      <c r="G274" s="305" t="s">
        <v>471</v>
      </c>
      <c r="N274" s="13" t="s">
        <v>448</v>
      </c>
      <c r="O274" s="13" t="s">
        <v>471</v>
      </c>
      <c r="P274" s="13" t="s">
        <v>473</v>
      </c>
      <c r="Q274" s="13" t="s">
        <v>471</v>
      </c>
      <c r="R274" s="305" t="s">
        <v>426</v>
      </c>
      <c r="S274" s="305" t="s">
        <v>471</v>
      </c>
    </row>
    <row r="275" spans="1:31" s="13" customFormat="1">
      <c r="A275" s="85"/>
      <c r="B275" s="13">
        <v>0</v>
      </c>
      <c r="C275" s="13">
        <v>90</v>
      </c>
      <c r="D275" s="13">
        <v>0</v>
      </c>
      <c r="E275" s="13">
        <v>300</v>
      </c>
      <c r="F275" s="306">
        <v>0</v>
      </c>
      <c r="G275" s="305">
        <v>60</v>
      </c>
      <c r="N275" s="13">
        <v>0</v>
      </c>
      <c r="O275" s="6">
        <v>90</v>
      </c>
      <c r="P275" s="13">
        <v>0</v>
      </c>
      <c r="Q275" s="6">
        <v>300</v>
      </c>
      <c r="R275" s="306">
        <v>0</v>
      </c>
      <c r="S275" s="305">
        <v>60</v>
      </c>
    </row>
    <row r="276" spans="1:31" s="13" customFormat="1">
      <c r="A276" s="13" t="s">
        <v>245</v>
      </c>
      <c r="B276" s="13">
        <v>251</v>
      </c>
      <c r="C276" s="13">
        <v>105</v>
      </c>
      <c r="D276" s="13">
        <v>13.7</v>
      </c>
      <c r="E276" s="13">
        <v>285</v>
      </c>
      <c r="F276" s="306">
        <v>64</v>
      </c>
      <c r="G276" s="305">
        <v>70</v>
      </c>
      <c r="N276" s="13">
        <v>191</v>
      </c>
      <c r="O276" s="6">
        <v>105</v>
      </c>
      <c r="P276" s="13">
        <v>16.2</v>
      </c>
      <c r="Q276" s="6">
        <v>285</v>
      </c>
      <c r="R276" s="306">
        <v>59</v>
      </c>
      <c r="S276" s="305">
        <v>70</v>
      </c>
    </row>
    <row r="277" spans="1:31" s="13" customFormat="1">
      <c r="B277" s="13">
        <v>254</v>
      </c>
      <c r="C277" s="13">
        <v>120</v>
      </c>
      <c r="D277" s="13">
        <v>14.1</v>
      </c>
      <c r="E277" s="13">
        <v>270</v>
      </c>
      <c r="F277" s="306">
        <v>65</v>
      </c>
      <c r="G277" s="305">
        <v>80</v>
      </c>
      <c r="N277" s="13">
        <v>195</v>
      </c>
      <c r="O277" s="6">
        <v>120</v>
      </c>
      <c r="P277" s="13">
        <v>16.600000000000001</v>
      </c>
      <c r="Q277" s="6">
        <v>270</v>
      </c>
      <c r="R277" s="306">
        <v>60</v>
      </c>
      <c r="S277" s="305">
        <v>80</v>
      </c>
    </row>
    <row r="278" spans="1:31" s="13" customFormat="1">
      <c r="B278" s="13">
        <v>257</v>
      </c>
      <c r="C278" s="13">
        <v>135</v>
      </c>
      <c r="D278" s="13">
        <v>14.5</v>
      </c>
      <c r="E278" s="13">
        <v>255</v>
      </c>
      <c r="F278" s="306">
        <v>66</v>
      </c>
      <c r="G278" s="305">
        <v>90</v>
      </c>
      <c r="N278" s="13">
        <v>199</v>
      </c>
      <c r="O278" s="6">
        <v>135</v>
      </c>
      <c r="P278" s="13">
        <v>17.000000000000004</v>
      </c>
      <c r="Q278" s="6">
        <v>255</v>
      </c>
      <c r="R278" s="306">
        <v>61</v>
      </c>
      <c r="S278" s="305">
        <v>90</v>
      </c>
    </row>
    <row r="279" spans="1:31" s="13" customFormat="1">
      <c r="B279" s="13">
        <v>260</v>
      </c>
      <c r="C279" s="13">
        <v>150</v>
      </c>
      <c r="D279" s="13">
        <v>14.9</v>
      </c>
      <c r="E279" s="13">
        <v>240</v>
      </c>
      <c r="F279" s="306">
        <v>67</v>
      </c>
      <c r="G279" s="305">
        <v>100</v>
      </c>
      <c r="N279" s="13">
        <v>203</v>
      </c>
      <c r="O279" s="6">
        <v>150</v>
      </c>
      <c r="P279" s="13">
        <v>17.400000000000006</v>
      </c>
      <c r="Q279" s="6">
        <v>240</v>
      </c>
      <c r="R279" s="306">
        <v>62</v>
      </c>
      <c r="S279" s="305">
        <v>100</v>
      </c>
    </row>
    <row r="280" spans="1:31" s="13" customFormat="1">
      <c r="B280" s="13">
        <v>263</v>
      </c>
      <c r="C280" s="13">
        <v>165</v>
      </c>
      <c r="D280" s="13">
        <v>15.3</v>
      </c>
      <c r="E280" s="13">
        <v>225</v>
      </c>
      <c r="F280" s="306">
        <v>68</v>
      </c>
      <c r="G280" s="305">
        <v>110</v>
      </c>
      <c r="N280" s="13">
        <v>207</v>
      </c>
      <c r="O280" s="6">
        <v>165</v>
      </c>
      <c r="P280" s="13">
        <v>17.800000000000008</v>
      </c>
      <c r="Q280" s="6">
        <v>225</v>
      </c>
      <c r="R280" s="306">
        <v>63</v>
      </c>
      <c r="S280" s="305">
        <v>110</v>
      </c>
    </row>
    <row r="281" spans="1:31" s="13" customFormat="1">
      <c r="B281" s="13">
        <v>266</v>
      </c>
      <c r="C281" s="13">
        <v>180</v>
      </c>
      <c r="D281" s="13">
        <v>15.700000000000001</v>
      </c>
      <c r="E281" s="13">
        <v>210</v>
      </c>
      <c r="F281" s="306">
        <v>69</v>
      </c>
      <c r="G281" s="305">
        <v>120</v>
      </c>
      <c r="N281" s="13">
        <v>211</v>
      </c>
      <c r="O281" s="6">
        <v>180</v>
      </c>
      <c r="P281" s="13">
        <v>18.20000000000001</v>
      </c>
      <c r="Q281" s="6">
        <v>210</v>
      </c>
      <c r="R281" s="306">
        <v>64</v>
      </c>
      <c r="S281" s="305">
        <v>120</v>
      </c>
    </row>
    <row r="282" spans="1:31" s="13" customFormat="1">
      <c r="B282" s="13">
        <v>269</v>
      </c>
      <c r="C282" s="13">
        <v>195</v>
      </c>
      <c r="D282" s="13">
        <v>16.100000000000001</v>
      </c>
      <c r="E282" s="13">
        <v>195</v>
      </c>
      <c r="F282" s="306">
        <v>70</v>
      </c>
      <c r="G282" s="305">
        <v>130</v>
      </c>
      <c r="N282" s="13">
        <v>214</v>
      </c>
      <c r="O282" s="6">
        <v>195</v>
      </c>
      <c r="P282" s="13">
        <v>18.600000000000012</v>
      </c>
      <c r="Q282" s="6">
        <v>195</v>
      </c>
      <c r="R282" s="306">
        <v>65</v>
      </c>
      <c r="S282" s="305">
        <v>130</v>
      </c>
    </row>
    <row r="283" spans="1:31" s="13" customFormat="1">
      <c r="B283" s="13">
        <v>272</v>
      </c>
      <c r="C283" s="13">
        <v>210</v>
      </c>
      <c r="D283" s="13">
        <v>16.5</v>
      </c>
      <c r="E283" s="13">
        <v>180</v>
      </c>
      <c r="F283" s="306">
        <v>71</v>
      </c>
      <c r="G283" s="305">
        <v>140</v>
      </c>
      <c r="N283" s="13">
        <v>217</v>
      </c>
      <c r="O283" s="6">
        <v>210</v>
      </c>
      <c r="P283" s="13">
        <v>19.000000000000014</v>
      </c>
      <c r="Q283" s="6">
        <v>180</v>
      </c>
      <c r="R283" s="306">
        <v>66</v>
      </c>
      <c r="S283" s="305">
        <v>140</v>
      </c>
    </row>
    <row r="284" spans="1:31" s="13" customFormat="1">
      <c r="B284" s="13">
        <v>275</v>
      </c>
      <c r="C284" s="13">
        <v>225</v>
      </c>
      <c r="D284" s="13">
        <v>16.900000000000002</v>
      </c>
      <c r="E284" s="13">
        <v>165</v>
      </c>
      <c r="F284" s="306">
        <v>72</v>
      </c>
      <c r="G284" s="305">
        <v>150</v>
      </c>
      <c r="N284" s="13">
        <v>220</v>
      </c>
      <c r="O284" s="6">
        <v>225</v>
      </c>
      <c r="P284" s="13">
        <v>19.400000000000016</v>
      </c>
      <c r="Q284" s="6">
        <v>165</v>
      </c>
      <c r="R284" s="306">
        <v>67</v>
      </c>
      <c r="S284" s="305">
        <v>150</v>
      </c>
    </row>
    <row r="285" spans="1:31" s="13" customFormat="1">
      <c r="B285" s="13">
        <v>278</v>
      </c>
      <c r="C285" s="13">
        <v>240</v>
      </c>
      <c r="D285" s="13">
        <v>17.300000000000004</v>
      </c>
      <c r="E285" s="13">
        <v>150</v>
      </c>
      <c r="F285" s="306">
        <v>73</v>
      </c>
      <c r="G285" s="305">
        <v>160</v>
      </c>
      <c r="N285" s="13">
        <v>223</v>
      </c>
      <c r="O285" s="6">
        <v>240</v>
      </c>
      <c r="P285" s="13">
        <v>19.800000000000018</v>
      </c>
      <c r="Q285" s="6">
        <v>150</v>
      </c>
      <c r="R285" s="306">
        <v>68</v>
      </c>
      <c r="S285" s="305">
        <v>160</v>
      </c>
    </row>
    <row r="286" spans="1:31" s="13" customFormat="1">
      <c r="B286" s="13">
        <v>281</v>
      </c>
      <c r="C286" s="13">
        <v>255</v>
      </c>
      <c r="D286" s="13">
        <v>17.700000000000003</v>
      </c>
      <c r="E286" s="13">
        <v>135</v>
      </c>
      <c r="F286" s="306">
        <v>74</v>
      </c>
      <c r="G286" s="305">
        <v>170</v>
      </c>
      <c r="N286" s="13">
        <v>226</v>
      </c>
      <c r="O286" s="6">
        <v>255</v>
      </c>
      <c r="P286" s="13">
        <v>20.200000000000021</v>
      </c>
      <c r="Q286" s="6">
        <v>135</v>
      </c>
      <c r="R286" s="306">
        <v>69</v>
      </c>
      <c r="S286" s="305">
        <v>170</v>
      </c>
    </row>
    <row r="287" spans="1:31" s="13" customFormat="1">
      <c r="B287" s="13">
        <v>284</v>
      </c>
      <c r="C287" s="13">
        <v>270</v>
      </c>
      <c r="D287" s="13">
        <v>18.100000000000001</v>
      </c>
      <c r="E287" s="13">
        <v>120</v>
      </c>
      <c r="F287" s="306">
        <v>75</v>
      </c>
      <c r="G287" s="305">
        <v>180</v>
      </c>
      <c r="N287" s="13">
        <v>229</v>
      </c>
      <c r="O287" s="6">
        <v>270</v>
      </c>
      <c r="P287" s="13">
        <v>20.600000000000023</v>
      </c>
      <c r="Q287" s="6">
        <v>120</v>
      </c>
      <c r="R287" s="306">
        <v>70</v>
      </c>
      <c r="S287" s="305">
        <v>180</v>
      </c>
    </row>
    <row r="288" spans="1:31" s="13" customFormat="1">
      <c r="B288" s="13">
        <v>287</v>
      </c>
      <c r="C288" s="13">
        <v>285</v>
      </c>
      <c r="D288" s="13">
        <v>18.500000000000004</v>
      </c>
      <c r="E288" s="13">
        <v>105</v>
      </c>
      <c r="F288" s="306">
        <v>76</v>
      </c>
      <c r="G288" s="305">
        <v>190</v>
      </c>
      <c r="N288" s="13">
        <v>232</v>
      </c>
      <c r="O288" s="6">
        <v>285</v>
      </c>
      <c r="P288" s="13">
        <v>21.000000000000025</v>
      </c>
      <c r="Q288" s="6">
        <v>105</v>
      </c>
      <c r="R288" s="306">
        <v>71</v>
      </c>
      <c r="S288" s="305">
        <v>190</v>
      </c>
    </row>
    <row r="289" spans="1:26" s="13" customFormat="1">
      <c r="B289" s="13">
        <v>290</v>
      </c>
      <c r="C289" s="13">
        <v>300</v>
      </c>
      <c r="D289" s="13">
        <v>18.900000000000006</v>
      </c>
      <c r="E289" s="13">
        <v>90</v>
      </c>
      <c r="F289" s="306">
        <v>77</v>
      </c>
      <c r="G289" s="305">
        <v>200</v>
      </c>
      <c r="N289" s="13">
        <v>235</v>
      </c>
      <c r="O289" s="6">
        <v>300</v>
      </c>
      <c r="P289" s="13">
        <v>21.400000000000027</v>
      </c>
      <c r="Q289" s="6">
        <v>90</v>
      </c>
      <c r="R289" s="306">
        <v>72</v>
      </c>
      <c r="S289" s="305">
        <v>200</v>
      </c>
    </row>
    <row r="290" spans="1:26" s="13" customFormat="1">
      <c r="F290" s="35"/>
      <c r="R290" s="35"/>
    </row>
    <row r="291" spans="1:26" s="14" customFormat="1">
      <c r="A291" s="14" t="s">
        <v>380</v>
      </c>
      <c r="B291" s="34" t="s">
        <v>515</v>
      </c>
      <c r="C291" s="14" t="s">
        <v>471</v>
      </c>
      <c r="D291" s="14" t="s">
        <v>457</v>
      </c>
      <c r="E291" s="14" t="s">
        <v>471</v>
      </c>
      <c r="F291" s="14" t="s">
        <v>480</v>
      </c>
      <c r="G291" s="14" t="s">
        <v>471</v>
      </c>
      <c r="N291" s="34" t="s">
        <v>515</v>
      </c>
      <c r="O291" s="14" t="s">
        <v>471</v>
      </c>
      <c r="P291" s="14" t="s">
        <v>457</v>
      </c>
      <c r="Q291" s="14" t="s">
        <v>471</v>
      </c>
      <c r="R291" s="14" t="s">
        <v>480</v>
      </c>
      <c r="S291" s="14" t="s">
        <v>471</v>
      </c>
      <c r="T291" s="79"/>
      <c r="U291" s="71"/>
      <c r="V291" s="71"/>
      <c r="W291" s="71"/>
      <c r="X291" s="71"/>
      <c r="Y291" s="71"/>
      <c r="Z291" s="71"/>
    </row>
    <row r="292" spans="1:26" s="14" customFormat="1">
      <c r="A292" s="194" t="s">
        <v>422</v>
      </c>
      <c r="B292" s="34">
        <v>0</v>
      </c>
      <c r="C292" s="14">
        <v>0</v>
      </c>
      <c r="D292" s="34">
        <v>0</v>
      </c>
      <c r="E292" s="14">
        <v>260</v>
      </c>
      <c r="F292" s="14">
        <v>0</v>
      </c>
      <c r="G292" s="305">
        <v>100</v>
      </c>
      <c r="I292" s="196">
        <v>0</v>
      </c>
      <c r="J292" s="196">
        <v>0</v>
      </c>
      <c r="L292" s="196">
        <v>0</v>
      </c>
      <c r="M292" s="196">
        <v>0</v>
      </c>
      <c r="N292" s="34">
        <v>0</v>
      </c>
      <c r="O292" s="11">
        <v>0</v>
      </c>
      <c r="P292" s="34">
        <v>0</v>
      </c>
      <c r="Q292" s="11">
        <v>260</v>
      </c>
      <c r="R292" s="14">
        <v>0</v>
      </c>
      <c r="S292" s="305">
        <v>100</v>
      </c>
      <c r="T292" s="79"/>
      <c r="U292" s="71"/>
      <c r="V292" s="71"/>
      <c r="W292" s="71"/>
      <c r="X292" s="71"/>
      <c r="Y292" s="71"/>
      <c r="Z292" s="71"/>
    </row>
    <row r="293" spans="1:26" s="14" customFormat="1">
      <c r="A293" s="194" t="s">
        <v>71</v>
      </c>
      <c r="B293" s="34">
        <v>5</v>
      </c>
      <c r="C293" s="14">
        <v>225</v>
      </c>
      <c r="D293" s="34">
        <v>8.59</v>
      </c>
      <c r="E293" s="14">
        <v>255</v>
      </c>
      <c r="F293" s="14">
        <v>256</v>
      </c>
      <c r="G293" s="305">
        <v>225</v>
      </c>
      <c r="I293" s="196">
        <v>100</v>
      </c>
      <c r="J293" s="196">
        <v>225</v>
      </c>
      <c r="L293" s="196">
        <v>100</v>
      </c>
      <c r="M293" s="196">
        <v>225</v>
      </c>
      <c r="N293" s="34">
        <v>5</v>
      </c>
      <c r="O293" s="11">
        <v>225</v>
      </c>
      <c r="P293" s="34">
        <v>9.59</v>
      </c>
      <c r="Q293" s="11">
        <v>255</v>
      </c>
      <c r="R293" s="292">
        <v>201</v>
      </c>
      <c r="S293" s="305">
        <v>225</v>
      </c>
      <c r="T293" s="79"/>
      <c r="U293" s="71"/>
      <c r="V293" s="71"/>
      <c r="W293" s="71"/>
      <c r="X293" s="71"/>
      <c r="Y293" s="71"/>
      <c r="Z293" s="71"/>
    </row>
    <row r="294" spans="1:26" s="14" customFormat="1">
      <c r="A294" s="194" t="s">
        <v>539</v>
      </c>
      <c r="B294" s="34">
        <v>15</v>
      </c>
      <c r="C294" s="14">
        <v>230</v>
      </c>
      <c r="D294" s="34">
        <v>8.73</v>
      </c>
      <c r="E294" s="14">
        <v>250</v>
      </c>
      <c r="F294" s="14">
        <v>261</v>
      </c>
      <c r="G294" s="305">
        <v>230</v>
      </c>
      <c r="I294" s="196">
        <v>241</v>
      </c>
      <c r="J294" s="196">
        <v>230</v>
      </c>
      <c r="L294" s="196">
        <v>191</v>
      </c>
      <c r="M294" s="196">
        <v>230</v>
      </c>
      <c r="N294" s="34">
        <v>17</v>
      </c>
      <c r="O294" s="11">
        <v>230</v>
      </c>
      <c r="P294" s="34">
        <v>9.77</v>
      </c>
      <c r="Q294" s="11">
        <v>250</v>
      </c>
      <c r="R294" s="292">
        <v>204</v>
      </c>
      <c r="S294" s="305">
        <v>230</v>
      </c>
      <c r="T294" s="79"/>
      <c r="U294" s="71"/>
      <c r="V294" s="71"/>
      <c r="W294" s="71"/>
      <c r="X294" s="71"/>
      <c r="Y294" s="71"/>
      <c r="Z294" s="71"/>
    </row>
    <row r="295" spans="1:26" s="14" customFormat="1">
      <c r="A295" s="194" t="s">
        <v>568</v>
      </c>
      <c r="B295" s="34">
        <v>17</v>
      </c>
      <c r="C295" s="14">
        <v>235</v>
      </c>
      <c r="D295" s="34">
        <v>8.8699999999999992</v>
      </c>
      <c r="E295" s="14">
        <v>245</v>
      </c>
      <c r="F295" s="14">
        <v>266</v>
      </c>
      <c r="G295" s="305">
        <v>235</v>
      </c>
      <c r="I295" s="196">
        <v>246</v>
      </c>
      <c r="J295" s="196">
        <v>235</v>
      </c>
      <c r="L295" s="196">
        <v>196</v>
      </c>
      <c r="M295" s="196">
        <v>235</v>
      </c>
      <c r="N295" s="34">
        <v>19</v>
      </c>
      <c r="O295" s="11">
        <v>235</v>
      </c>
      <c r="P295" s="34">
        <v>9.92</v>
      </c>
      <c r="Q295" s="11">
        <v>245</v>
      </c>
      <c r="R295" s="292">
        <v>208</v>
      </c>
      <c r="S295" s="305">
        <v>235</v>
      </c>
      <c r="T295" s="79"/>
      <c r="U295" s="71"/>
      <c r="V295" s="71"/>
      <c r="W295" s="71"/>
      <c r="X295" s="71"/>
      <c r="Y295" s="71"/>
      <c r="Z295" s="71"/>
    </row>
    <row r="296" spans="1:26" s="14" customFormat="1">
      <c r="A296" s="195" t="s">
        <v>203</v>
      </c>
      <c r="B296" s="34">
        <v>19</v>
      </c>
      <c r="C296" s="14">
        <v>240</v>
      </c>
      <c r="D296" s="34">
        <v>9.02</v>
      </c>
      <c r="E296" s="14">
        <v>240</v>
      </c>
      <c r="F296" s="14">
        <v>270</v>
      </c>
      <c r="G296" s="305">
        <v>240</v>
      </c>
      <c r="I296" s="196">
        <v>251</v>
      </c>
      <c r="J296" s="196">
        <v>240</v>
      </c>
      <c r="L296" s="196">
        <v>201</v>
      </c>
      <c r="M296" s="196">
        <v>240</v>
      </c>
      <c r="N296" s="34">
        <v>21</v>
      </c>
      <c r="O296" s="11">
        <v>240</v>
      </c>
      <c r="P296" s="34">
        <v>10.09</v>
      </c>
      <c r="Q296" s="11">
        <v>240</v>
      </c>
      <c r="R296" s="292">
        <v>212</v>
      </c>
      <c r="S296" s="305">
        <v>240</v>
      </c>
      <c r="T296" s="79"/>
      <c r="U296" s="71"/>
      <c r="V296" s="71"/>
      <c r="W296" s="71"/>
      <c r="X296" s="71"/>
      <c r="Y296" s="71"/>
      <c r="Z296" s="71"/>
    </row>
    <row r="297" spans="1:26" s="14" customFormat="1">
      <c r="A297" s="14" t="s">
        <v>225</v>
      </c>
      <c r="B297" s="34">
        <v>21</v>
      </c>
      <c r="C297" s="14">
        <v>245</v>
      </c>
      <c r="D297" s="34">
        <v>9.16</v>
      </c>
      <c r="E297" s="14">
        <v>235</v>
      </c>
      <c r="F297" s="14">
        <v>274</v>
      </c>
      <c r="G297" s="305">
        <v>245</v>
      </c>
      <c r="I297" s="196">
        <v>256</v>
      </c>
      <c r="J297" s="196">
        <v>245</v>
      </c>
      <c r="L297" s="196">
        <v>206</v>
      </c>
      <c r="M297" s="196">
        <v>245</v>
      </c>
      <c r="N297" s="34">
        <v>23</v>
      </c>
      <c r="O297" s="11">
        <v>245</v>
      </c>
      <c r="P297" s="34">
        <v>10.27</v>
      </c>
      <c r="Q297" s="11">
        <v>235</v>
      </c>
      <c r="R297" s="292">
        <v>216</v>
      </c>
      <c r="S297" s="305">
        <v>245</v>
      </c>
      <c r="T297" s="79"/>
      <c r="U297" s="71"/>
      <c r="V297" s="71"/>
      <c r="W297" s="71"/>
      <c r="X297" s="71"/>
      <c r="Y297" s="71"/>
      <c r="Z297" s="71"/>
    </row>
    <row r="298" spans="1:26" s="14" customFormat="1">
      <c r="B298" s="34">
        <v>23</v>
      </c>
      <c r="C298" s="14">
        <v>250</v>
      </c>
      <c r="D298" s="34">
        <v>9.33</v>
      </c>
      <c r="E298" s="14">
        <v>230</v>
      </c>
      <c r="F298" s="14">
        <v>278</v>
      </c>
      <c r="G298" s="305">
        <v>250</v>
      </c>
      <c r="I298" s="196">
        <v>261</v>
      </c>
      <c r="J298" s="196">
        <v>250</v>
      </c>
      <c r="L298" s="196">
        <v>211</v>
      </c>
      <c r="M298" s="196">
        <v>250</v>
      </c>
      <c r="N298" s="34">
        <v>25</v>
      </c>
      <c r="O298" s="11">
        <v>250</v>
      </c>
      <c r="P298" s="34">
        <v>10.43</v>
      </c>
      <c r="Q298" s="11">
        <v>230</v>
      </c>
      <c r="R298" s="292">
        <v>219</v>
      </c>
      <c r="S298" s="305">
        <v>250</v>
      </c>
      <c r="T298" s="79"/>
      <c r="U298" s="71"/>
      <c r="V298" s="71"/>
      <c r="W298" s="71"/>
      <c r="X298" s="71"/>
      <c r="Y298" s="71"/>
      <c r="Z298" s="71"/>
    </row>
    <row r="299" spans="1:26" s="14" customFormat="1">
      <c r="A299" s="184" t="s">
        <v>135</v>
      </c>
      <c r="B299" s="34">
        <v>25</v>
      </c>
      <c r="C299" s="14">
        <v>255</v>
      </c>
      <c r="D299" s="34">
        <v>9.49</v>
      </c>
      <c r="E299" s="14">
        <v>225</v>
      </c>
      <c r="F299" s="14">
        <v>282</v>
      </c>
      <c r="G299" s="305">
        <v>255</v>
      </c>
      <c r="I299" s="196">
        <v>266</v>
      </c>
      <c r="J299" s="196">
        <v>255</v>
      </c>
      <c r="L299" s="196">
        <v>216</v>
      </c>
      <c r="M299" s="196">
        <v>255</v>
      </c>
      <c r="N299" s="34">
        <v>27</v>
      </c>
      <c r="O299" s="11">
        <v>255</v>
      </c>
      <c r="P299" s="34">
        <v>10.61</v>
      </c>
      <c r="Q299" s="11">
        <v>225</v>
      </c>
      <c r="R299" s="292">
        <v>222</v>
      </c>
      <c r="S299" s="305">
        <v>255</v>
      </c>
      <c r="T299" s="79"/>
      <c r="U299" s="71"/>
      <c r="V299" s="71"/>
      <c r="W299" s="71"/>
      <c r="X299" s="71"/>
      <c r="Y299" s="71"/>
      <c r="Z299" s="71"/>
    </row>
    <row r="300" spans="1:26" s="14" customFormat="1">
      <c r="A300" s="184" t="s">
        <v>137</v>
      </c>
      <c r="B300" s="34">
        <v>27</v>
      </c>
      <c r="C300" s="14">
        <v>260</v>
      </c>
      <c r="D300" s="34">
        <v>9.66</v>
      </c>
      <c r="E300" s="14">
        <v>220</v>
      </c>
      <c r="F300" s="14">
        <v>285</v>
      </c>
      <c r="G300" s="305">
        <v>260</v>
      </c>
      <c r="I300" s="196">
        <v>271</v>
      </c>
      <c r="J300" s="196">
        <v>260</v>
      </c>
      <c r="L300" s="196">
        <v>221</v>
      </c>
      <c r="M300" s="196">
        <v>260</v>
      </c>
      <c r="N300" s="34">
        <v>29</v>
      </c>
      <c r="O300" s="11">
        <v>260</v>
      </c>
      <c r="P300" s="34">
        <v>10.8</v>
      </c>
      <c r="Q300" s="11">
        <v>220</v>
      </c>
      <c r="R300" s="292">
        <v>225</v>
      </c>
      <c r="S300" s="305">
        <v>260</v>
      </c>
    </row>
    <row r="301" spans="1:26" s="14" customFormat="1">
      <c r="B301" s="34">
        <v>29</v>
      </c>
      <c r="C301" s="14">
        <v>265</v>
      </c>
      <c r="D301" s="34">
        <v>9.9499999999999993</v>
      </c>
      <c r="E301" s="14">
        <v>215</v>
      </c>
      <c r="F301" s="14">
        <v>288</v>
      </c>
      <c r="G301" s="305">
        <v>265</v>
      </c>
      <c r="I301" s="196">
        <v>276</v>
      </c>
      <c r="J301" s="196">
        <v>265</v>
      </c>
      <c r="L301" s="196">
        <v>226</v>
      </c>
      <c r="M301" s="196">
        <v>265</v>
      </c>
      <c r="N301" s="34">
        <v>31</v>
      </c>
      <c r="O301" s="11">
        <v>265</v>
      </c>
      <c r="P301" s="34">
        <v>11.07</v>
      </c>
      <c r="Q301" s="11">
        <v>215</v>
      </c>
      <c r="R301" s="14">
        <v>228</v>
      </c>
      <c r="S301" s="305">
        <v>265</v>
      </c>
    </row>
    <row r="302" spans="1:26" s="14" customFormat="1">
      <c r="B302" s="34">
        <v>31</v>
      </c>
      <c r="C302" s="14">
        <v>270</v>
      </c>
      <c r="D302" s="34">
        <v>10.220000000000001</v>
      </c>
      <c r="E302" s="14">
        <v>0</v>
      </c>
      <c r="F302" s="14">
        <v>291</v>
      </c>
      <c r="G302" s="305">
        <v>270</v>
      </c>
      <c r="I302" s="196">
        <v>281</v>
      </c>
      <c r="J302" s="196">
        <v>270</v>
      </c>
      <c r="L302" s="196">
        <v>231</v>
      </c>
      <c r="M302" s="196">
        <v>270</v>
      </c>
      <c r="N302" s="34">
        <v>33</v>
      </c>
      <c r="O302" s="11">
        <v>270</v>
      </c>
      <c r="P302" s="34">
        <v>11.35</v>
      </c>
      <c r="Q302" s="14">
        <v>0</v>
      </c>
      <c r="R302" s="14">
        <v>231</v>
      </c>
      <c r="S302" s="305">
        <v>270</v>
      </c>
    </row>
    <row r="304" spans="1:26">
      <c r="B304" s="534" t="s">
        <v>486</v>
      </c>
      <c r="C304" s="534"/>
      <c r="D304" s="534"/>
      <c r="E304" s="534"/>
      <c r="F304" s="534"/>
      <c r="G304" s="534"/>
      <c r="H304" s="534"/>
      <c r="I304" s="534"/>
      <c r="J304" s="534"/>
      <c r="K304" s="534"/>
      <c r="L304" s="32"/>
      <c r="M304" s="32"/>
      <c r="N304" s="534" t="s">
        <v>435</v>
      </c>
      <c r="O304" s="534"/>
      <c r="P304" s="534"/>
      <c r="Q304" s="534"/>
      <c r="R304" s="534"/>
      <c r="S304" s="534"/>
      <c r="T304" s="534"/>
      <c r="U304" s="534"/>
      <c r="V304" s="534"/>
      <c r="W304" s="534"/>
    </row>
    <row r="305" spans="1:21">
      <c r="A305" s="25" t="s">
        <v>505</v>
      </c>
      <c r="B305" s="25" t="s">
        <v>431</v>
      </c>
      <c r="C305" s="25" t="s">
        <v>471</v>
      </c>
      <c r="D305" s="25" t="s">
        <v>448</v>
      </c>
      <c r="E305" s="25" t="s">
        <v>471</v>
      </c>
      <c r="F305" s="25" t="s">
        <v>515</v>
      </c>
      <c r="G305" s="25" t="s">
        <v>471</v>
      </c>
      <c r="H305" s="25" t="s">
        <v>451</v>
      </c>
      <c r="I305" s="25" t="s">
        <v>471</v>
      </c>
      <c r="N305" s="25" t="s">
        <v>431</v>
      </c>
      <c r="O305" s="25" t="s">
        <v>471</v>
      </c>
      <c r="P305" s="25" t="s">
        <v>448</v>
      </c>
      <c r="Q305" s="25" t="s">
        <v>471</v>
      </c>
      <c r="R305" s="25" t="s">
        <v>515</v>
      </c>
      <c r="S305" s="25" t="s">
        <v>471</v>
      </c>
      <c r="T305" s="25" t="s">
        <v>451</v>
      </c>
      <c r="U305" s="25" t="s">
        <v>471</v>
      </c>
    </row>
    <row r="306" spans="1:21">
      <c r="B306" s="25">
        <v>7.19</v>
      </c>
      <c r="D306" s="25">
        <v>300</v>
      </c>
      <c r="F306" s="25">
        <v>30</v>
      </c>
      <c r="H306" s="25">
        <v>220</v>
      </c>
      <c r="N306" s="25">
        <v>7.6</v>
      </c>
      <c r="P306" s="25">
        <v>250</v>
      </c>
      <c r="R306" s="25">
        <v>32</v>
      </c>
      <c r="T306" s="25">
        <v>151</v>
      </c>
    </row>
    <row r="307" spans="1:21">
      <c r="A307" s="25" t="s">
        <v>109</v>
      </c>
      <c r="B307" s="34">
        <v>9.9</v>
      </c>
      <c r="D307" s="25">
        <v>254</v>
      </c>
      <c r="F307" s="35">
        <v>11.9</v>
      </c>
      <c r="H307" s="25">
        <v>130</v>
      </c>
      <c r="N307" s="34">
        <v>10.9</v>
      </c>
      <c r="P307" s="305">
        <v>199</v>
      </c>
      <c r="R307" s="35">
        <v>13.9</v>
      </c>
      <c r="T307" s="25">
        <v>60</v>
      </c>
    </row>
    <row r="308" spans="1:21">
      <c r="A308" s="25" t="s">
        <v>117</v>
      </c>
      <c r="B308" s="34"/>
      <c r="F308" s="35"/>
      <c r="N308" s="34"/>
      <c r="R308" s="35"/>
    </row>
    <row r="309" spans="1:21">
      <c r="A309" s="25" t="s">
        <v>569</v>
      </c>
      <c r="B309" s="34"/>
      <c r="F309" s="35"/>
      <c r="N309" s="34"/>
      <c r="R309" s="35"/>
    </row>
    <row r="310" spans="1:21">
      <c r="A310" s="25" t="s">
        <v>262</v>
      </c>
      <c r="B310" s="34"/>
      <c r="F310" s="35"/>
      <c r="N310" s="34"/>
      <c r="R310" s="35"/>
    </row>
    <row r="311" spans="1:21">
      <c r="A311" s="25" t="s">
        <v>343</v>
      </c>
      <c r="B311" s="34"/>
      <c r="F311" s="35"/>
      <c r="N311" s="34"/>
      <c r="R311" s="35"/>
    </row>
    <row r="312" spans="1:21">
      <c r="A312" s="25" t="s">
        <v>223</v>
      </c>
      <c r="B312" s="34"/>
      <c r="F312" s="35"/>
      <c r="N312" s="34"/>
      <c r="R312" s="35"/>
    </row>
    <row r="313" spans="1:21">
      <c r="B313" s="34"/>
      <c r="F313" s="35"/>
      <c r="N313" s="34"/>
      <c r="R313" s="35"/>
    </row>
    <row r="314" spans="1:21">
      <c r="B314" s="34"/>
      <c r="F314" s="35"/>
      <c r="N314" s="34"/>
      <c r="R314" s="35"/>
    </row>
    <row r="315" spans="1:21">
      <c r="B315" s="34"/>
      <c r="F315" s="35"/>
      <c r="N315" s="34"/>
      <c r="R315" s="35"/>
    </row>
    <row r="316" spans="1:21">
      <c r="B316" s="34"/>
      <c r="F316" s="35"/>
      <c r="N316" s="34"/>
      <c r="R316" s="35"/>
    </row>
    <row r="317" spans="1:21" s="14" customFormat="1">
      <c r="B317" s="34"/>
      <c r="F317" s="35"/>
      <c r="N317" s="34"/>
      <c r="R317" s="35"/>
    </row>
    <row r="318" spans="1:21" s="14" customFormat="1">
      <c r="B318" s="34"/>
      <c r="F318" s="35"/>
      <c r="N318" s="34"/>
      <c r="R318" s="35"/>
    </row>
    <row r="319" spans="1:21" s="14" customFormat="1">
      <c r="A319" s="14" t="s">
        <v>290</v>
      </c>
      <c r="B319" s="534"/>
      <c r="C319" s="534"/>
      <c r="D319" s="534"/>
      <c r="E319" s="534"/>
      <c r="F319" s="534"/>
      <c r="G319" s="534"/>
      <c r="H319" s="534"/>
      <c r="I319" s="534"/>
      <c r="J319" s="534"/>
      <c r="K319" s="534"/>
      <c r="N319" s="34"/>
      <c r="R319" s="35"/>
    </row>
    <row r="320" spans="1:21" s="14" customFormat="1">
      <c r="A320" s="176" t="s">
        <v>350</v>
      </c>
      <c r="B320" s="14" t="s">
        <v>515</v>
      </c>
      <c r="C320" s="14" t="s">
        <v>471</v>
      </c>
      <c r="D320" s="95" t="s">
        <v>457</v>
      </c>
      <c r="E320" s="14" t="s">
        <v>471</v>
      </c>
      <c r="F320" s="31" t="s">
        <v>489</v>
      </c>
      <c r="G320" s="31" t="s">
        <v>471</v>
      </c>
      <c r="H320" s="14" t="s">
        <v>448</v>
      </c>
      <c r="I320" s="14" t="s">
        <v>471</v>
      </c>
      <c r="L320" s="14" t="s">
        <v>316</v>
      </c>
      <c r="M320" s="14" t="s">
        <v>257</v>
      </c>
      <c r="N320" s="109" t="s">
        <v>457</v>
      </c>
      <c r="O320" s="31" t="s">
        <v>471</v>
      </c>
      <c r="P320" s="31" t="s">
        <v>448</v>
      </c>
      <c r="Q320" s="31" t="s">
        <v>471</v>
      </c>
    </row>
    <row r="321" spans="1:17" s="14" customFormat="1">
      <c r="A321" s="176" t="s">
        <v>83</v>
      </c>
      <c r="B321" s="14">
        <v>0</v>
      </c>
      <c r="C321" s="14">
        <v>6</v>
      </c>
      <c r="D321" s="14">
        <v>0</v>
      </c>
      <c r="E321" s="14">
        <v>35</v>
      </c>
      <c r="F321" s="31">
        <v>0</v>
      </c>
      <c r="G321" s="31">
        <v>6</v>
      </c>
      <c r="H321" s="14">
        <v>0</v>
      </c>
      <c r="I321" s="14">
        <v>11</v>
      </c>
      <c r="K321" s="14">
        <v>0</v>
      </c>
      <c r="L321" s="14">
        <v>56</v>
      </c>
      <c r="N321" s="31">
        <v>0</v>
      </c>
      <c r="O321" s="31">
        <v>35</v>
      </c>
      <c r="P321" s="31">
        <v>0</v>
      </c>
      <c r="Q321" s="31">
        <v>11</v>
      </c>
    </row>
    <row r="322" spans="1:17" s="14" customFormat="1">
      <c r="A322" s="176"/>
      <c r="B322" s="14">
        <v>11</v>
      </c>
      <c r="C322" s="14">
        <v>7</v>
      </c>
      <c r="D322" s="14">
        <v>9.86</v>
      </c>
      <c r="E322" s="14">
        <v>34</v>
      </c>
      <c r="F322" s="31">
        <v>35</v>
      </c>
      <c r="G322" s="31">
        <v>7</v>
      </c>
      <c r="H322" s="14">
        <v>195</v>
      </c>
      <c r="I322" s="14">
        <v>12</v>
      </c>
      <c r="K322" s="14">
        <v>30</v>
      </c>
      <c r="L322" s="14">
        <v>60</v>
      </c>
      <c r="N322" s="31">
        <v>9.66</v>
      </c>
      <c r="O322" s="31">
        <v>34</v>
      </c>
      <c r="P322" s="31">
        <v>191</v>
      </c>
      <c r="Q322" s="31">
        <v>12</v>
      </c>
    </row>
    <row r="323" spans="1:17" s="14" customFormat="1">
      <c r="A323" s="176"/>
      <c r="B323" s="14">
        <v>12</v>
      </c>
      <c r="C323" s="14">
        <v>8</v>
      </c>
      <c r="D323" s="14">
        <v>9.9600000000000009</v>
      </c>
      <c r="E323" s="14">
        <v>33</v>
      </c>
      <c r="F323" s="31">
        <v>36</v>
      </c>
      <c r="G323" s="31">
        <v>8</v>
      </c>
      <c r="H323" s="14">
        <v>197</v>
      </c>
      <c r="I323" s="14">
        <v>13</v>
      </c>
      <c r="K323" s="14">
        <v>35</v>
      </c>
      <c r="L323" s="14">
        <v>64</v>
      </c>
      <c r="N323" s="31">
        <v>9.76</v>
      </c>
      <c r="O323" s="31">
        <v>33</v>
      </c>
      <c r="P323" s="31">
        <v>193</v>
      </c>
      <c r="Q323" s="31">
        <v>13</v>
      </c>
    </row>
    <row r="324" spans="1:17" s="14" customFormat="1">
      <c r="B324" s="14">
        <v>13</v>
      </c>
      <c r="C324" s="14">
        <v>9</v>
      </c>
      <c r="D324" s="14">
        <v>10.060000000000002</v>
      </c>
      <c r="E324" s="14">
        <v>32</v>
      </c>
      <c r="F324" s="31">
        <v>37</v>
      </c>
      <c r="G324" s="31">
        <v>9</v>
      </c>
      <c r="H324" s="14">
        <v>199</v>
      </c>
      <c r="I324" s="14">
        <v>14</v>
      </c>
      <c r="K324" s="14">
        <v>40</v>
      </c>
      <c r="L324" s="14">
        <v>68</v>
      </c>
      <c r="N324" s="31">
        <v>9.86</v>
      </c>
      <c r="O324" s="31">
        <v>32</v>
      </c>
      <c r="P324" s="31">
        <v>195</v>
      </c>
      <c r="Q324" s="31">
        <v>14</v>
      </c>
    </row>
    <row r="325" spans="1:17" s="14" customFormat="1">
      <c r="B325" s="14">
        <v>14</v>
      </c>
      <c r="C325" s="14">
        <v>10</v>
      </c>
      <c r="D325" s="14">
        <v>10.160000000000004</v>
      </c>
      <c r="E325" s="14">
        <v>31</v>
      </c>
      <c r="F325" s="31">
        <v>38</v>
      </c>
      <c r="G325" s="31">
        <v>10</v>
      </c>
      <c r="H325" s="14">
        <v>201</v>
      </c>
      <c r="I325" s="14">
        <v>15</v>
      </c>
      <c r="K325" s="14">
        <v>45</v>
      </c>
      <c r="L325" s="14">
        <v>72</v>
      </c>
      <c r="N325" s="31">
        <v>9.9600000000000009</v>
      </c>
      <c r="O325" s="31">
        <v>31</v>
      </c>
      <c r="P325" s="31">
        <v>197</v>
      </c>
      <c r="Q325" s="31">
        <v>15</v>
      </c>
    </row>
    <row r="326" spans="1:17" s="14" customFormat="1">
      <c r="B326" s="14">
        <v>15</v>
      </c>
      <c r="C326" s="14">
        <v>11</v>
      </c>
      <c r="D326" s="14">
        <v>10.260000000000005</v>
      </c>
      <c r="E326" s="14">
        <v>30</v>
      </c>
      <c r="F326" s="31">
        <v>39</v>
      </c>
      <c r="G326" s="31">
        <v>11</v>
      </c>
      <c r="H326" s="14">
        <v>203</v>
      </c>
      <c r="I326" s="14">
        <v>16</v>
      </c>
      <c r="K326" s="14">
        <v>50</v>
      </c>
      <c r="L326" s="14">
        <v>76</v>
      </c>
      <c r="N326" s="31">
        <v>10.06</v>
      </c>
      <c r="O326" s="31">
        <v>30</v>
      </c>
      <c r="P326" s="31">
        <v>199</v>
      </c>
      <c r="Q326" s="31">
        <v>16</v>
      </c>
    </row>
    <row r="327" spans="1:17" s="14" customFormat="1">
      <c r="B327" s="14">
        <v>16</v>
      </c>
      <c r="C327" s="14">
        <v>12</v>
      </c>
      <c r="D327" s="14">
        <v>10.360000000000007</v>
      </c>
      <c r="E327" s="14">
        <v>29</v>
      </c>
      <c r="F327" s="31">
        <v>40</v>
      </c>
      <c r="G327" s="31">
        <v>12</v>
      </c>
      <c r="H327" s="14">
        <v>205</v>
      </c>
      <c r="I327" s="14">
        <v>17</v>
      </c>
      <c r="K327" s="14">
        <v>55</v>
      </c>
      <c r="L327" s="14">
        <v>80</v>
      </c>
      <c r="N327" s="31">
        <v>10.16</v>
      </c>
      <c r="O327" s="31">
        <v>29</v>
      </c>
      <c r="P327" s="31">
        <v>201</v>
      </c>
      <c r="Q327" s="31">
        <v>17</v>
      </c>
    </row>
    <row r="328" spans="1:17" s="14" customFormat="1">
      <c r="B328" s="14">
        <v>17</v>
      </c>
      <c r="C328" s="14">
        <v>13</v>
      </c>
      <c r="D328" s="14">
        <v>10.460000000000008</v>
      </c>
      <c r="E328" s="14">
        <v>28</v>
      </c>
      <c r="F328" s="31">
        <v>41</v>
      </c>
      <c r="G328" s="31">
        <v>13</v>
      </c>
      <c r="H328" s="14">
        <v>207</v>
      </c>
      <c r="I328" s="14">
        <v>18</v>
      </c>
      <c r="K328" s="14">
        <v>60</v>
      </c>
      <c r="L328" s="14">
        <v>84</v>
      </c>
      <c r="N328" s="31">
        <v>10.26</v>
      </c>
      <c r="O328" s="31">
        <v>28</v>
      </c>
      <c r="P328" s="31">
        <v>203</v>
      </c>
      <c r="Q328" s="31">
        <v>18</v>
      </c>
    </row>
    <row r="329" spans="1:17" s="14" customFormat="1">
      <c r="B329" s="14">
        <v>18</v>
      </c>
      <c r="C329" s="14">
        <v>14</v>
      </c>
      <c r="D329" s="14">
        <v>10.560000000000009</v>
      </c>
      <c r="E329" s="14">
        <v>27</v>
      </c>
      <c r="F329" s="31">
        <v>42</v>
      </c>
      <c r="G329" s="31">
        <v>14</v>
      </c>
      <c r="H329" s="14">
        <v>209</v>
      </c>
      <c r="I329" s="14">
        <v>19</v>
      </c>
      <c r="K329" s="14">
        <v>65</v>
      </c>
      <c r="L329" s="14">
        <v>88</v>
      </c>
      <c r="N329" s="31">
        <v>10.36</v>
      </c>
      <c r="O329" s="31">
        <v>27</v>
      </c>
      <c r="P329" s="31">
        <v>205</v>
      </c>
      <c r="Q329" s="31">
        <v>19</v>
      </c>
    </row>
    <row r="330" spans="1:17" s="14" customFormat="1">
      <c r="B330" s="14">
        <v>19</v>
      </c>
      <c r="C330" s="14">
        <v>15</v>
      </c>
      <c r="D330" s="14">
        <v>10.660000000000011</v>
      </c>
      <c r="E330" s="14">
        <v>26</v>
      </c>
      <c r="F330" s="31">
        <v>43</v>
      </c>
      <c r="G330" s="31">
        <v>15</v>
      </c>
      <c r="H330" s="14">
        <v>211</v>
      </c>
      <c r="I330" s="14">
        <v>20</v>
      </c>
      <c r="K330" s="14">
        <v>70</v>
      </c>
      <c r="L330" s="14">
        <v>92</v>
      </c>
      <c r="N330" s="31">
        <v>10.46</v>
      </c>
      <c r="O330" s="31">
        <v>26</v>
      </c>
      <c r="P330" s="31">
        <v>207</v>
      </c>
      <c r="Q330" s="31">
        <v>20</v>
      </c>
    </row>
    <row r="331" spans="1:17" s="14" customFormat="1">
      <c r="B331" s="14">
        <v>20</v>
      </c>
      <c r="C331" s="14">
        <v>16</v>
      </c>
      <c r="D331" s="14">
        <v>10.760000000000012</v>
      </c>
      <c r="E331" s="14">
        <v>25</v>
      </c>
      <c r="F331" s="31">
        <v>44</v>
      </c>
      <c r="G331" s="31">
        <v>16</v>
      </c>
      <c r="H331" s="14">
        <v>213</v>
      </c>
      <c r="I331" s="14">
        <v>21</v>
      </c>
      <c r="K331" s="14">
        <v>75</v>
      </c>
      <c r="L331" s="14">
        <v>96</v>
      </c>
      <c r="N331" s="31">
        <v>10.56</v>
      </c>
      <c r="O331" s="31">
        <v>25</v>
      </c>
      <c r="P331" s="31">
        <v>209</v>
      </c>
      <c r="Q331" s="31">
        <v>21</v>
      </c>
    </row>
    <row r="332" spans="1:17" s="14" customFormat="1">
      <c r="B332" s="14">
        <v>21</v>
      </c>
      <c r="C332" s="14">
        <v>17</v>
      </c>
      <c r="D332" s="14">
        <v>10.860000000000014</v>
      </c>
      <c r="E332" s="14">
        <v>24</v>
      </c>
      <c r="F332" s="31">
        <v>45</v>
      </c>
      <c r="G332" s="31">
        <v>17</v>
      </c>
      <c r="H332" s="14">
        <v>215</v>
      </c>
      <c r="I332" s="14">
        <v>22</v>
      </c>
      <c r="K332" s="14">
        <v>80</v>
      </c>
      <c r="L332" s="14">
        <v>100</v>
      </c>
      <c r="N332" s="31">
        <v>10.66</v>
      </c>
      <c r="O332" s="31">
        <v>24</v>
      </c>
      <c r="P332" s="31">
        <v>211</v>
      </c>
      <c r="Q332" s="31">
        <v>22</v>
      </c>
    </row>
    <row r="333" spans="1:17" s="14" customFormat="1">
      <c r="B333" s="14">
        <v>22</v>
      </c>
      <c r="C333" s="14">
        <v>18</v>
      </c>
      <c r="D333" s="14">
        <v>10.960000000000015</v>
      </c>
      <c r="E333" s="14">
        <v>23</v>
      </c>
      <c r="F333" s="31">
        <v>46</v>
      </c>
      <c r="G333" s="31">
        <v>18</v>
      </c>
      <c r="H333" s="14">
        <v>217</v>
      </c>
      <c r="I333" s="14">
        <v>23</v>
      </c>
      <c r="N333" s="31">
        <v>10.76</v>
      </c>
      <c r="O333" s="31">
        <v>23</v>
      </c>
      <c r="P333" s="31">
        <v>213</v>
      </c>
      <c r="Q333" s="31">
        <v>23</v>
      </c>
    </row>
    <row r="334" spans="1:17" s="14" customFormat="1">
      <c r="B334" s="14">
        <v>23</v>
      </c>
      <c r="C334" s="14">
        <v>19</v>
      </c>
      <c r="D334" s="14">
        <v>11.060000000000016</v>
      </c>
      <c r="E334" s="14">
        <v>22</v>
      </c>
      <c r="F334" s="31">
        <v>47</v>
      </c>
      <c r="G334" s="31">
        <v>19</v>
      </c>
      <c r="H334" s="14">
        <v>219</v>
      </c>
      <c r="I334" s="14">
        <v>24</v>
      </c>
      <c r="N334" s="31">
        <v>10.86</v>
      </c>
      <c r="O334" s="31">
        <v>22</v>
      </c>
      <c r="P334" s="31">
        <v>215</v>
      </c>
      <c r="Q334" s="31">
        <v>24</v>
      </c>
    </row>
    <row r="335" spans="1:17" s="14" customFormat="1">
      <c r="B335" s="14">
        <v>24</v>
      </c>
      <c r="C335" s="14">
        <v>20</v>
      </c>
      <c r="D335" s="14">
        <v>11.160000000000018</v>
      </c>
      <c r="E335" s="14">
        <v>21</v>
      </c>
      <c r="F335" s="31">
        <v>48</v>
      </c>
      <c r="G335" s="31">
        <v>20</v>
      </c>
      <c r="H335" s="14">
        <v>221</v>
      </c>
      <c r="I335" s="14">
        <v>25</v>
      </c>
      <c r="N335" s="31">
        <v>10.96</v>
      </c>
      <c r="O335" s="31">
        <v>21</v>
      </c>
      <c r="P335" s="31">
        <v>217</v>
      </c>
      <c r="Q335" s="31">
        <v>25</v>
      </c>
    </row>
    <row r="336" spans="1:17" s="14" customFormat="1">
      <c r="B336" s="14">
        <v>25</v>
      </c>
      <c r="C336" s="14">
        <v>21</v>
      </c>
      <c r="D336" s="14">
        <v>11.260000000000019</v>
      </c>
      <c r="E336" s="14">
        <v>20</v>
      </c>
      <c r="F336" s="31">
        <v>49</v>
      </c>
      <c r="G336" s="31">
        <v>21</v>
      </c>
      <c r="H336" s="14">
        <v>223</v>
      </c>
      <c r="I336" s="14">
        <v>26</v>
      </c>
      <c r="N336" s="31">
        <v>11.06</v>
      </c>
      <c r="O336" s="31">
        <v>20</v>
      </c>
      <c r="P336" s="31">
        <v>219</v>
      </c>
      <c r="Q336" s="31">
        <v>26</v>
      </c>
    </row>
    <row r="337" spans="1:18" s="14" customFormat="1">
      <c r="B337" s="14">
        <v>26</v>
      </c>
      <c r="C337" s="14">
        <v>22</v>
      </c>
      <c r="D337" s="14">
        <v>11.360000000000021</v>
      </c>
      <c r="E337" s="14">
        <v>19</v>
      </c>
      <c r="F337" s="31">
        <v>50</v>
      </c>
      <c r="G337" s="31">
        <v>22</v>
      </c>
      <c r="H337" s="14">
        <v>225</v>
      </c>
      <c r="I337" s="14">
        <v>27</v>
      </c>
      <c r="N337" s="31">
        <v>11.16</v>
      </c>
      <c r="O337" s="31">
        <v>19</v>
      </c>
      <c r="P337" s="31">
        <v>221</v>
      </c>
      <c r="Q337" s="31">
        <v>27</v>
      </c>
    </row>
    <row r="338" spans="1:18" s="14" customFormat="1">
      <c r="B338" s="14">
        <v>27</v>
      </c>
      <c r="C338" s="14">
        <v>23</v>
      </c>
      <c r="D338" s="14">
        <v>11.460000000000022</v>
      </c>
      <c r="E338" s="14">
        <v>18</v>
      </c>
      <c r="F338" s="31">
        <v>51</v>
      </c>
      <c r="G338" s="31">
        <v>23</v>
      </c>
      <c r="H338" s="14">
        <v>227</v>
      </c>
      <c r="I338" s="14">
        <v>28</v>
      </c>
      <c r="N338" s="31">
        <v>11.26</v>
      </c>
      <c r="O338" s="31">
        <v>18</v>
      </c>
      <c r="P338" s="31">
        <v>223</v>
      </c>
      <c r="Q338" s="31">
        <v>28</v>
      </c>
    </row>
    <row r="339" spans="1:18" s="14" customFormat="1">
      <c r="B339" s="14">
        <v>28</v>
      </c>
      <c r="C339" s="14">
        <v>24</v>
      </c>
      <c r="D339" s="14">
        <v>11.560000000000024</v>
      </c>
      <c r="E339" s="14">
        <v>17</v>
      </c>
      <c r="F339" s="31">
        <v>52</v>
      </c>
      <c r="G339" s="31">
        <v>24</v>
      </c>
      <c r="H339" s="14">
        <v>229</v>
      </c>
      <c r="I339" s="14">
        <v>29</v>
      </c>
      <c r="N339" s="31">
        <v>11.36</v>
      </c>
      <c r="O339" s="31">
        <v>17</v>
      </c>
      <c r="P339" s="31">
        <v>225</v>
      </c>
      <c r="Q339" s="31">
        <v>29</v>
      </c>
    </row>
    <row r="340" spans="1:18" s="14" customFormat="1">
      <c r="B340" s="14">
        <v>29</v>
      </c>
      <c r="C340" s="14">
        <v>25</v>
      </c>
      <c r="D340" s="14">
        <v>11.660000000000025</v>
      </c>
      <c r="E340" s="14">
        <v>16</v>
      </c>
      <c r="F340" s="31">
        <v>53</v>
      </c>
      <c r="G340" s="31">
        <v>25</v>
      </c>
      <c r="H340" s="14">
        <v>231</v>
      </c>
      <c r="I340" s="14">
        <v>30</v>
      </c>
      <c r="N340" s="31">
        <v>11.46</v>
      </c>
      <c r="O340" s="31">
        <v>16</v>
      </c>
      <c r="P340" s="31">
        <v>227</v>
      </c>
      <c r="Q340" s="31">
        <v>30</v>
      </c>
    </row>
    <row r="341" spans="1:18" s="14" customFormat="1">
      <c r="B341" s="14">
        <v>30</v>
      </c>
      <c r="C341" s="14">
        <v>26</v>
      </c>
      <c r="D341" s="14">
        <v>11.760000000000026</v>
      </c>
      <c r="E341" s="14">
        <v>15</v>
      </c>
      <c r="F341" s="14" t="s">
        <v>464</v>
      </c>
      <c r="H341" s="14">
        <v>233</v>
      </c>
      <c r="I341" s="14">
        <v>31</v>
      </c>
      <c r="N341" s="31">
        <v>11.56</v>
      </c>
      <c r="O341" s="31">
        <v>15</v>
      </c>
      <c r="P341" s="31">
        <v>229</v>
      </c>
      <c r="Q341" s="31">
        <v>31</v>
      </c>
    </row>
    <row r="342" spans="1:18" s="14" customFormat="1">
      <c r="B342" s="14">
        <v>31</v>
      </c>
      <c r="C342" s="14">
        <v>27</v>
      </c>
      <c r="D342" s="14">
        <v>11.860000000000028</v>
      </c>
      <c r="E342" s="14">
        <v>14</v>
      </c>
      <c r="H342" s="14">
        <v>235</v>
      </c>
      <c r="I342" s="14">
        <v>32</v>
      </c>
      <c r="N342" s="31">
        <v>11.66</v>
      </c>
      <c r="O342" s="31">
        <v>14</v>
      </c>
      <c r="P342" s="31">
        <v>231</v>
      </c>
      <c r="Q342" s="31">
        <v>32</v>
      </c>
    </row>
    <row r="343" spans="1:18" s="14" customFormat="1">
      <c r="B343" s="14">
        <v>32</v>
      </c>
      <c r="C343" s="14">
        <v>28</v>
      </c>
      <c r="D343" s="14">
        <v>11.960000000000029</v>
      </c>
      <c r="E343" s="14">
        <v>13</v>
      </c>
      <c r="H343" s="14">
        <v>237</v>
      </c>
      <c r="I343" s="14">
        <v>33</v>
      </c>
      <c r="N343" s="31">
        <v>11.76</v>
      </c>
      <c r="O343" s="31">
        <v>13</v>
      </c>
      <c r="P343" s="31">
        <v>233</v>
      </c>
      <c r="Q343" s="31">
        <v>33</v>
      </c>
    </row>
    <row r="344" spans="1:18" s="14" customFormat="1">
      <c r="B344" s="14">
        <v>33</v>
      </c>
      <c r="C344" s="14">
        <v>29</v>
      </c>
      <c r="D344" s="14">
        <v>12.060000000000031</v>
      </c>
      <c r="E344" s="14">
        <v>12</v>
      </c>
      <c r="H344" s="14">
        <v>239</v>
      </c>
      <c r="I344" s="14">
        <v>34</v>
      </c>
      <c r="N344" s="31">
        <v>11.86</v>
      </c>
      <c r="O344" s="31">
        <v>12</v>
      </c>
      <c r="P344" s="31">
        <v>235</v>
      </c>
      <c r="Q344" s="31">
        <v>34</v>
      </c>
    </row>
    <row r="345" spans="1:18" s="14" customFormat="1">
      <c r="B345" s="14">
        <v>34</v>
      </c>
      <c r="C345" s="14">
        <v>30</v>
      </c>
      <c r="D345" s="14">
        <v>12.160000000000032</v>
      </c>
      <c r="E345" s="14">
        <v>11</v>
      </c>
      <c r="H345" s="14">
        <v>241</v>
      </c>
      <c r="I345" s="14">
        <v>35</v>
      </c>
      <c r="N345" s="13">
        <v>11.96</v>
      </c>
      <c r="O345" s="13">
        <v>11</v>
      </c>
      <c r="P345" s="13">
        <v>237</v>
      </c>
      <c r="Q345" s="13">
        <v>35</v>
      </c>
    </row>
    <row r="347" spans="1:18" s="13" customFormat="1">
      <c r="A347" s="13" t="s">
        <v>491</v>
      </c>
      <c r="B347" s="534"/>
      <c r="C347" s="534"/>
      <c r="D347" s="534"/>
      <c r="E347" s="534"/>
      <c r="F347" s="534"/>
      <c r="G347" s="534"/>
      <c r="H347" s="534"/>
      <c r="I347" s="534"/>
      <c r="J347" s="534"/>
      <c r="K347" s="534"/>
      <c r="N347" s="34"/>
      <c r="R347" s="35"/>
    </row>
    <row r="348" spans="1:18" s="13" customFormat="1">
      <c r="B348" s="13" t="s">
        <v>448</v>
      </c>
      <c r="C348" s="13" t="s">
        <v>471</v>
      </c>
      <c r="D348" s="13" t="s">
        <v>457</v>
      </c>
      <c r="E348" s="13" t="s">
        <v>471</v>
      </c>
      <c r="G348" s="535" t="s">
        <v>503</v>
      </c>
      <c r="H348" s="537" t="s">
        <v>356</v>
      </c>
      <c r="I348" s="536"/>
      <c r="J348" s="537" t="s">
        <v>65</v>
      </c>
      <c r="K348" s="536"/>
      <c r="N348" s="13" t="s">
        <v>448</v>
      </c>
      <c r="O348" s="13" t="s">
        <v>471</v>
      </c>
      <c r="P348" s="13" t="s">
        <v>457</v>
      </c>
      <c r="Q348" s="13" t="s">
        <v>471</v>
      </c>
      <c r="R348" s="35"/>
    </row>
    <row r="349" spans="1:18" s="13" customFormat="1">
      <c r="A349" s="203" t="s">
        <v>373</v>
      </c>
      <c r="B349" s="13">
        <v>0</v>
      </c>
      <c r="C349" s="13">
        <v>360</v>
      </c>
      <c r="D349" s="13">
        <v>0</v>
      </c>
      <c r="E349" s="13">
        <v>450</v>
      </c>
      <c r="G349" s="536"/>
      <c r="H349" s="198" t="s">
        <v>438</v>
      </c>
      <c r="I349" s="198" t="s">
        <v>454</v>
      </c>
      <c r="J349" s="198" t="s">
        <v>438</v>
      </c>
      <c r="K349" s="199" t="s">
        <v>454</v>
      </c>
      <c r="N349" s="13">
        <v>0</v>
      </c>
      <c r="O349" s="6">
        <v>360</v>
      </c>
      <c r="P349" s="13">
        <v>0</v>
      </c>
      <c r="Q349" s="6">
        <v>450</v>
      </c>
      <c r="R349" s="35"/>
    </row>
    <row r="350" spans="1:18" s="13" customFormat="1">
      <c r="A350" s="203" t="s">
        <v>564</v>
      </c>
      <c r="B350" s="13">
        <v>262</v>
      </c>
      <c r="C350" s="13">
        <v>366</v>
      </c>
      <c r="D350" s="34">
        <v>8.11</v>
      </c>
      <c r="E350" s="13">
        <v>444</v>
      </c>
      <c r="G350" s="200">
        <v>150</v>
      </c>
      <c r="H350" s="201" t="s">
        <v>246</v>
      </c>
      <c r="I350" s="201" t="s">
        <v>231</v>
      </c>
      <c r="J350" s="201" t="s">
        <v>261</v>
      </c>
      <c r="K350" s="202" t="s">
        <v>250</v>
      </c>
      <c r="N350" s="13">
        <v>207</v>
      </c>
      <c r="O350" s="6">
        <v>366</v>
      </c>
      <c r="P350" s="34">
        <v>9.2100000000000009</v>
      </c>
      <c r="Q350" s="6">
        <v>444</v>
      </c>
      <c r="R350" s="35"/>
    </row>
    <row r="351" spans="1:18" s="13" customFormat="1" ht="24">
      <c r="A351" s="203" t="s">
        <v>570</v>
      </c>
      <c r="B351" s="13">
        <v>264</v>
      </c>
      <c r="C351" s="13">
        <v>372</v>
      </c>
      <c r="D351" s="34">
        <v>8.2100000000000009</v>
      </c>
      <c r="E351" s="13">
        <v>438</v>
      </c>
      <c r="G351" s="200">
        <v>144</v>
      </c>
      <c r="H351" s="201" t="s">
        <v>61</v>
      </c>
      <c r="I351" s="201" t="s">
        <v>92</v>
      </c>
      <c r="J351" s="201" t="s">
        <v>91</v>
      </c>
      <c r="K351" s="202" t="s">
        <v>121</v>
      </c>
      <c r="N351" s="13">
        <v>209</v>
      </c>
      <c r="O351" s="6">
        <v>372</v>
      </c>
      <c r="P351" s="34">
        <v>9.31</v>
      </c>
      <c r="Q351" s="6">
        <v>438</v>
      </c>
      <c r="R351" s="35"/>
    </row>
    <row r="352" spans="1:18" s="13" customFormat="1" ht="24">
      <c r="A352" s="203" t="s">
        <v>73</v>
      </c>
      <c r="B352" s="13">
        <v>266</v>
      </c>
      <c r="C352" s="13">
        <v>378</v>
      </c>
      <c r="D352" s="34">
        <v>8.3100000000000023</v>
      </c>
      <c r="E352" s="13">
        <v>432</v>
      </c>
      <c r="G352" s="200">
        <v>138</v>
      </c>
      <c r="H352" s="201" t="s">
        <v>75</v>
      </c>
      <c r="I352" s="201" t="s">
        <v>35</v>
      </c>
      <c r="J352" s="201" t="s">
        <v>116</v>
      </c>
      <c r="K352" s="202" t="s">
        <v>72</v>
      </c>
      <c r="N352" s="13">
        <v>211</v>
      </c>
      <c r="O352" s="6">
        <v>378</v>
      </c>
      <c r="P352" s="34">
        <v>9.41</v>
      </c>
      <c r="Q352" s="6">
        <v>432</v>
      </c>
      <c r="R352" s="35"/>
    </row>
    <row r="353" spans="1:22" s="13" customFormat="1" ht="24">
      <c r="A353" s="203" t="s">
        <v>457</v>
      </c>
      <c r="B353" s="13">
        <v>268</v>
      </c>
      <c r="C353" s="13">
        <v>384</v>
      </c>
      <c r="D353" s="34">
        <v>8.4100000000000037</v>
      </c>
      <c r="E353" s="13">
        <v>426</v>
      </c>
      <c r="G353" s="200">
        <v>132</v>
      </c>
      <c r="H353" s="201" t="s">
        <v>115</v>
      </c>
      <c r="I353" s="201" t="s">
        <v>34</v>
      </c>
      <c r="J353" s="201" t="s">
        <v>361</v>
      </c>
      <c r="K353" s="202" t="s">
        <v>118</v>
      </c>
      <c r="N353" s="13">
        <v>213</v>
      </c>
      <c r="O353" s="6">
        <v>384</v>
      </c>
      <c r="P353" s="34">
        <v>9.51</v>
      </c>
      <c r="Q353" s="6">
        <v>426</v>
      </c>
      <c r="R353" s="35"/>
    </row>
    <row r="354" spans="1:22" s="13" customFormat="1" ht="24">
      <c r="A354" s="203" t="s">
        <v>107</v>
      </c>
      <c r="B354" s="13">
        <v>270</v>
      </c>
      <c r="C354" s="13">
        <v>390</v>
      </c>
      <c r="D354" s="34">
        <v>8.5100000000000051</v>
      </c>
      <c r="E354" s="13">
        <v>420</v>
      </c>
      <c r="G354" s="200">
        <v>126</v>
      </c>
      <c r="H354" s="201" t="s">
        <v>89</v>
      </c>
      <c r="I354" s="201" t="s">
        <v>101</v>
      </c>
      <c r="J354" s="201" t="s">
        <v>94</v>
      </c>
      <c r="K354" s="202" t="s">
        <v>100</v>
      </c>
      <c r="N354" s="13">
        <v>215</v>
      </c>
      <c r="O354" s="6">
        <v>390</v>
      </c>
      <c r="P354" s="34">
        <v>9.61</v>
      </c>
      <c r="Q354" s="6">
        <v>420</v>
      </c>
      <c r="R354" s="35"/>
    </row>
    <row r="355" spans="1:22" s="13" customFormat="1" ht="24">
      <c r="A355" s="203" t="s">
        <v>542</v>
      </c>
      <c r="B355" s="13">
        <v>272</v>
      </c>
      <c r="C355" s="13">
        <v>396</v>
      </c>
      <c r="D355" s="34">
        <v>8.6100000000000065</v>
      </c>
      <c r="E355" s="13">
        <v>414</v>
      </c>
      <c r="G355" s="200">
        <v>120</v>
      </c>
      <c r="H355" s="201" t="s">
        <v>346</v>
      </c>
      <c r="I355" s="201" t="s">
        <v>357</v>
      </c>
      <c r="J355" s="201" t="s">
        <v>368</v>
      </c>
      <c r="K355" s="202" t="s">
        <v>122</v>
      </c>
      <c r="N355" s="13">
        <v>217</v>
      </c>
      <c r="O355" s="6">
        <v>396</v>
      </c>
      <c r="P355" s="34">
        <v>9.7099999999999991</v>
      </c>
      <c r="Q355" s="6">
        <v>414</v>
      </c>
      <c r="R355" s="35"/>
    </row>
    <row r="356" spans="1:22" s="13" customFormat="1" ht="24">
      <c r="A356" s="203" t="s">
        <v>70</v>
      </c>
      <c r="B356" s="13">
        <v>274</v>
      </c>
      <c r="C356" s="13">
        <v>402</v>
      </c>
      <c r="D356" s="34">
        <v>8.710000000000008</v>
      </c>
      <c r="E356" s="13">
        <v>408</v>
      </c>
      <c r="G356" s="200">
        <v>114</v>
      </c>
      <c r="H356" s="201" t="s">
        <v>358</v>
      </c>
      <c r="I356" s="201" t="s">
        <v>352</v>
      </c>
      <c r="J356" s="201" t="s">
        <v>121</v>
      </c>
      <c r="K356" s="202" t="s">
        <v>106</v>
      </c>
      <c r="N356" s="13">
        <v>219</v>
      </c>
      <c r="O356" s="6">
        <v>402</v>
      </c>
      <c r="P356" s="34">
        <v>9.8099999999999987</v>
      </c>
      <c r="Q356" s="6">
        <v>408</v>
      </c>
      <c r="R356" s="35"/>
    </row>
    <row r="357" spans="1:22" s="13" customFormat="1" ht="24">
      <c r="A357" s="204" t="s">
        <v>114</v>
      </c>
      <c r="B357" s="13">
        <v>276</v>
      </c>
      <c r="C357" s="13">
        <v>408</v>
      </c>
      <c r="D357" s="34">
        <v>8.8100000000000094</v>
      </c>
      <c r="E357" s="13">
        <v>402</v>
      </c>
      <c r="G357" s="200">
        <v>108</v>
      </c>
      <c r="H357" s="201" t="s">
        <v>35</v>
      </c>
      <c r="I357" s="201" t="s">
        <v>99</v>
      </c>
      <c r="J357" s="201" t="s">
        <v>72</v>
      </c>
      <c r="K357" s="202" t="s">
        <v>58</v>
      </c>
      <c r="N357" s="13">
        <v>221</v>
      </c>
      <c r="O357" s="6">
        <v>408</v>
      </c>
      <c r="P357" s="34">
        <v>9.9099999999999984</v>
      </c>
      <c r="Q357" s="6">
        <v>402</v>
      </c>
      <c r="R357" s="35"/>
    </row>
    <row r="358" spans="1:22" s="13" customFormat="1" ht="24">
      <c r="B358" s="13">
        <v>278</v>
      </c>
      <c r="C358" s="13">
        <v>414</v>
      </c>
      <c r="D358" s="34">
        <v>8.9100000000000108</v>
      </c>
      <c r="E358" s="13">
        <v>396</v>
      </c>
      <c r="G358" s="200">
        <v>102</v>
      </c>
      <c r="H358" s="201" t="s">
        <v>366</v>
      </c>
      <c r="I358" s="201" t="s">
        <v>374</v>
      </c>
      <c r="J358" s="201" t="s">
        <v>118</v>
      </c>
      <c r="K358" s="202" t="s">
        <v>111</v>
      </c>
      <c r="N358" s="13">
        <v>223</v>
      </c>
      <c r="O358" s="6">
        <v>414</v>
      </c>
      <c r="P358" s="34">
        <v>10.009999999999998</v>
      </c>
      <c r="Q358" s="6">
        <v>396</v>
      </c>
      <c r="R358" s="35"/>
    </row>
    <row r="359" spans="1:22" s="13" customFormat="1" ht="24">
      <c r="B359" s="13">
        <v>280</v>
      </c>
      <c r="C359" s="13">
        <v>420</v>
      </c>
      <c r="D359" s="34">
        <v>9.0100000000000122</v>
      </c>
      <c r="E359" s="13">
        <v>390</v>
      </c>
      <c r="G359" s="200">
        <v>96</v>
      </c>
      <c r="H359" s="201" t="s">
        <v>101</v>
      </c>
      <c r="I359" s="201" t="s">
        <v>60</v>
      </c>
      <c r="J359" s="201" t="s">
        <v>100</v>
      </c>
      <c r="K359" s="202" t="s">
        <v>39</v>
      </c>
      <c r="N359" s="13">
        <v>225</v>
      </c>
      <c r="O359" s="6">
        <v>420</v>
      </c>
      <c r="P359" s="34">
        <v>10.109999999999998</v>
      </c>
      <c r="Q359" s="6">
        <v>390</v>
      </c>
      <c r="R359" s="35"/>
    </row>
    <row r="360" spans="1:22" s="13" customFormat="1" ht="24">
      <c r="B360" s="13">
        <v>282</v>
      </c>
      <c r="C360" s="13">
        <v>426</v>
      </c>
      <c r="D360" s="34">
        <v>9.1100000000000136</v>
      </c>
      <c r="E360" s="13">
        <v>384</v>
      </c>
      <c r="G360" s="200">
        <v>90</v>
      </c>
      <c r="H360" s="201" t="s">
        <v>236</v>
      </c>
      <c r="I360" s="201" t="s">
        <v>224</v>
      </c>
      <c r="J360" s="201" t="s">
        <v>238</v>
      </c>
      <c r="K360" s="202" t="s">
        <v>241</v>
      </c>
      <c r="N360" s="13">
        <v>227</v>
      </c>
      <c r="O360" s="6">
        <v>426</v>
      </c>
      <c r="P360" s="34">
        <v>10.209999999999997</v>
      </c>
      <c r="Q360" s="6">
        <v>384</v>
      </c>
      <c r="R360" s="35"/>
    </row>
    <row r="361" spans="1:22" s="13" customFormat="1">
      <c r="B361" s="13">
        <v>284</v>
      </c>
      <c r="C361" s="13">
        <v>432</v>
      </c>
      <c r="D361" s="34">
        <v>9.2100000000000151</v>
      </c>
      <c r="E361" s="13">
        <v>378</v>
      </c>
      <c r="N361" s="13">
        <v>229</v>
      </c>
      <c r="O361" s="6">
        <v>432</v>
      </c>
      <c r="P361" s="34">
        <v>10.309999999999997</v>
      </c>
      <c r="Q361" s="6">
        <v>378</v>
      </c>
      <c r="R361" s="35"/>
    </row>
    <row r="362" spans="1:22" s="13" customFormat="1">
      <c r="B362" s="13">
        <v>286</v>
      </c>
      <c r="C362" s="13">
        <v>438</v>
      </c>
      <c r="D362" s="34">
        <v>9.3100000000000165</v>
      </c>
      <c r="E362" s="13">
        <v>372</v>
      </c>
      <c r="N362" s="13">
        <v>231</v>
      </c>
      <c r="O362" s="6">
        <v>438</v>
      </c>
      <c r="P362" s="34">
        <v>10.409999999999997</v>
      </c>
      <c r="Q362" s="6">
        <v>372</v>
      </c>
      <c r="R362" s="35"/>
    </row>
    <row r="363" spans="1:22" s="13" customFormat="1">
      <c r="B363" s="13">
        <v>288</v>
      </c>
      <c r="C363" s="13">
        <v>444</v>
      </c>
      <c r="D363" s="34">
        <v>9.4100000000000179</v>
      </c>
      <c r="E363" s="13">
        <v>366</v>
      </c>
      <c r="N363" s="13">
        <v>233</v>
      </c>
      <c r="O363" s="6">
        <v>444</v>
      </c>
      <c r="P363" s="34">
        <v>10.509999999999996</v>
      </c>
      <c r="Q363" s="6">
        <v>366</v>
      </c>
      <c r="R363" s="35"/>
    </row>
    <row r="364" spans="1:22" s="13" customFormat="1">
      <c r="B364" s="13">
        <v>290</v>
      </c>
      <c r="C364" s="13">
        <v>450</v>
      </c>
      <c r="D364" s="34">
        <v>9.5100000000000193</v>
      </c>
      <c r="E364" s="13">
        <v>360</v>
      </c>
      <c r="N364" s="13">
        <v>235</v>
      </c>
      <c r="O364" s="6">
        <v>450</v>
      </c>
      <c r="P364" s="34">
        <v>10.609999999999996</v>
      </c>
      <c r="Q364" s="6">
        <v>360</v>
      </c>
      <c r="R364" s="35"/>
    </row>
    <row r="365" spans="1:22" s="13" customFormat="1">
      <c r="R365" s="35"/>
    </row>
    <row r="366" spans="1:22">
      <c r="B366" s="534" t="s">
        <v>486</v>
      </c>
      <c r="C366" s="534"/>
      <c r="D366" s="534"/>
      <c r="E366" s="534"/>
      <c r="F366" s="534"/>
      <c r="G366" s="534"/>
      <c r="H366" s="534"/>
      <c r="I366" s="534"/>
      <c r="J366" s="534"/>
      <c r="K366" s="534"/>
      <c r="L366" s="32"/>
      <c r="M366" s="32"/>
      <c r="N366" s="534" t="s">
        <v>435</v>
      </c>
      <c r="O366" s="534"/>
      <c r="P366" s="534"/>
      <c r="Q366" s="534"/>
      <c r="R366" s="534"/>
      <c r="S366" s="534"/>
      <c r="T366" s="534"/>
      <c r="U366" s="534"/>
      <c r="V366" s="534"/>
    </row>
    <row r="367" spans="1:22">
      <c r="A367" s="25" t="s">
        <v>472</v>
      </c>
      <c r="B367" s="25" t="s">
        <v>448</v>
      </c>
      <c r="C367" s="25" t="s">
        <v>471</v>
      </c>
      <c r="D367" s="70" t="s">
        <v>449</v>
      </c>
      <c r="E367" s="70" t="s">
        <v>471</v>
      </c>
      <c r="F367" s="25" t="s">
        <v>278</v>
      </c>
      <c r="G367" s="25" t="s">
        <v>471</v>
      </c>
      <c r="H367" s="25" t="s">
        <v>426</v>
      </c>
      <c r="I367" s="25" t="s">
        <v>471</v>
      </c>
      <c r="N367" s="25" t="s">
        <v>448</v>
      </c>
      <c r="O367" s="25" t="s">
        <v>471</v>
      </c>
      <c r="P367" s="70" t="s">
        <v>449</v>
      </c>
      <c r="Q367" s="70" t="s">
        <v>471</v>
      </c>
      <c r="R367" s="25" t="s">
        <v>278</v>
      </c>
      <c r="S367" s="25" t="s">
        <v>471</v>
      </c>
      <c r="T367" s="25" t="s">
        <v>426</v>
      </c>
      <c r="U367" s="25" t="s">
        <v>471</v>
      </c>
    </row>
    <row r="368" spans="1:22">
      <c r="A368" s="25" t="s">
        <v>324</v>
      </c>
      <c r="B368" s="25">
        <v>0</v>
      </c>
      <c r="C368" s="25">
        <v>11</v>
      </c>
      <c r="D368" s="70">
        <v>0</v>
      </c>
      <c r="E368" s="70">
        <v>11</v>
      </c>
      <c r="F368" s="34">
        <v>0</v>
      </c>
      <c r="G368" s="25">
        <v>25</v>
      </c>
      <c r="H368" s="25">
        <v>0</v>
      </c>
      <c r="I368" s="25">
        <v>11</v>
      </c>
      <c r="N368" s="25">
        <v>0</v>
      </c>
      <c r="O368" s="25">
        <v>11</v>
      </c>
      <c r="P368" s="70">
        <v>0</v>
      </c>
      <c r="Q368" s="70">
        <v>11</v>
      </c>
      <c r="R368" s="34">
        <v>0</v>
      </c>
      <c r="S368" s="25">
        <v>25</v>
      </c>
      <c r="T368" s="25">
        <v>0</v>
      </c>
      <c r="U368" s="25">
        <v>11</v>
      </c>
    </row>
    <row r="369" spans="1:21">
      <c r="A369" s="25" t="s">
        <v>277</v>
      </c>
      <c r="B369" s="25">
        <v>219</v>
      </c>
      <c r="C369" s="25">
        <v>12</v>
      </c>
      <c r="D369" s="307">
        <v>11</v>
      </c>
      <c r="E369" s="70">
        <v>12</v>
      </c>
      <c r="F369" s="34">
        <v>8.01</v>
      </c>
      <c r="G369" s="25">
        <v>24</v>
      </c>
      <c r="H369" s="25">
        <v>59</v>
      </c>
      <c r="I369" s="25">
        <v>12</v>
      </c>
      <c r="N369" s="25">
        <v>166</v>
      </c>
      <c r="O369" s="25">
        <v>12</v>
      </c>
      <c r="P369" s="307">
        <v>16</v>
      </c>
      <c r="Q369" s="70">
        <v>12</v>
      </c>
      <c r="R369" s="34">
        <v>9.2100000000000009</v>
      </c>
      <c r="S369" s="25">
        <v>24</v>
      </c>
      <c r="T369" s="25">
        <v>51</v>
      </c>
      <c r="U369" s="25">
        <v>12</v>
      </c>
    </row>
    <row r="370" spans="1:21">
      <c r="B370" s="25">
        <v>224</v>
      </c>
      <c r="C370" s="25">
        <v>13</v>
      </c>
      <c r="D370" s="307">
        <v>12</v>
      </c>
      <c r="E370" s="70">
        <v>13</v>
      </c>
      <c r="F370" s="34">
        <v>8.11</v>
      </c>
      <c r="G370" s="25">
        <v>23</v>
      </c>
      <c r="H370" s="25">
        <v>60</v>
      </c>
      <c r="I370" s="25">
        <v>13</v>
      </c>
      <c r="N370" s="25">
        <v>171</v>
      </c>
      <c r="O370" s="25">
        <v>13</v>
      </c>
      <c r="P370" s="307">
        <v>17</v>
      </c>
      <c r="Q370" s="70">
        <v>13</v>
      </c>
      <c r="R370" s="34">
        <v>9.31</v>
      </c>
      <c r="S370" s="25">
        <v>23</v>
      </c>
      <c r="T370" s="25">
        <v>52</v>
      </c>
      <c r="U370" s="25">
        <v>13</v>
      </c>
    </row>
    <row r="371" spans="1:21">
      <c r="B371" s="25">
        <v>229</v>
      </c>
      <c r="C371" s="25">
        <v>14</v>
      </c>
      <c r="D371" s="307">
        <v>13</v>
      </c>
      <c r="E371" s="70">
        <v>14</v>
      </c>
      <c r="F371" s="34">
        <v>8.2100000000000009</v>
      </c>
      <c r="G371" s="25">
        <v>22</v>
      </c>
      <c r="H371" s="25">
        <v>61</v>
      </c>
      <c r="I371" s="25">
        <v>14</v>
      </c>
      <c r="N371" s="25">
        <v>176</v>
      </c>
      <c r="O371" s="25">
        <v>14</v>
      </c>
      <c r="P371" s="307">
        <v>18</v>
      </c>
      <c r="Q371" s="70">
        <v>14</v>
      </c>
      <c r="R371" s="34">
        <v>9.41</v>
      </c>
      <c r="S371" s="25">
        <v>22</v>
      </c>
      <c r="T371" s="25">
        <v>53</v>
      </c>
      <c r="U371" s="25">
        <v>14</v>
      </c>
    </row>
    <row r="372" spans="1:21">
      <c r="B372" s="25">
        <v>234</v>
      </c>
      <c r="C372" s="25">
        <v>15</v>
      </c>
      <c r="D372" s="307">
        <v>14</v>
      </c>
      <c r="E372" s="70">
        <v>15</v>
      </c>
      <c r="F372" s="34">
        <v>8.31</v>
      </c>
      <c r="G372" s="25">
        <v>21</v>
      </c>
      <c r="H372" s="25">
        <v>62</v>
      </c>
      <c r="I372" s="25">
        <v>15</v>
      </c>
      <c r="N372" s="25">
        <v>181</v>
      </c>
      <c r="O372" s="25">
        <v>15</v>
      </c>
      <c r="P372" s="307">
        <v>19</v>
      </c>
      <c r="Q372" s="70">
        <v>15</v>
      </c>
      <c r="R372" s="34">
        <v>9.51</v>
      </c>
      <c r="S372" s="25">
        <v>21</v>
      </c>
      <c r="T372" s="25">
        <v>54</v>
      </c>
      <c r="U372" s="25">
        <v>15</v>
      </c>
    </row>
    <row r="373" spans="1:21">
      <c r="B373" s="25">
        <v>239</v>
      </c>
      <c r="C373" s="25">
        <v>16</v>
      </c>
      <c r="D373" s="307">
        <v>15</v>
      </c>
      <c r="E373" s="70">
        <v>16</v>
      </c>
      <c r="F373" s="34">
        <v>8.41</v>
      </c>
      <c r="G373" s="25">
        <v>20</v>
      </c>
      <c r="H373" s="25">
        <v>63</v>
      </c>
      <c r="I373" s="25">
        <v>16</v>
      </c>
      <c r="N373" s="25">
        <v>186</v>
      </c>
      <c r="O373" s="25">
        <v>16</v>
      </c>
      <c r="P373" s="307">
        <v>20</v>
      </c>
      <c r="Q373" s="70">
        <v>16</v>
      </c>
      <c r="R373" s="34">
        <v>9.61</v>
      </c>
      <c r="S373" s="25">
        <v>20</v>
      </c>
      <c r="T373" s="25">
        <v>55</v>
      </c>
      <c r="U373" s="25">
        <v>16</v>
      </c>
    </row>
    <row r="374" spans="1:21">
      <c r="B374" s="25">
        <v>244</v>
      </c>
      <c r="C374" s="25">
        <v>17</v>
      </c>
      <c r="D374" s="307">
        <v>16</v>
      </c>
      <c r="E374" s="70">
        <v>17</v>
      </c>
      <c r="F374" s="34">
        <v>8.51</v>
      </c>
      <c r="G374" s="25">
        <v>19</v>
      </c>
      <c r="H374" s="25">
        <v>64</v>
      </c>
      <c r="I374" s="25">
        <v>17</v>
      </c>
      <c r="N374" s="25">
        <v>191</v>
      </c>
      <c r="O374" s="25">
        <v>17</v>
      </c>
      <c r="P374" s="307">
        <v>21</v>
      </c>
      <c r="Q374" s="70">
        <v>17</v>
      </c>
      <c r="R374" s="34">
        <v>9.7100000000000009</v>
      </c>
      <c r="S374" s="25">
        <v>19</v>
      </c>
      <c r="T374" s="25">
        <v>56</v>
      </c>
      <c r="U374" s="25">
        <v>17</v>
      </c>
    </row>
    <row r="375" spans="1:21">
      <c r="B375" s="25">
        <v>249</v>
      </c>
      <c r="C375" s="25">
        <v>18</v>
      </c>
      <c r="D375" s="307">
        <v>17</v>
      </c>
      <c r="E375" s="70">
        <v>18</v>
      </c>
      <c r="F375" s="34">
        <v>8.61</v>
      </c>
      <c r="G375" s="25">
        <v>18</v>
      </c>
      <c r="H375" s="25">
        <v>65</v>
      </c>
      <c r="I375" s="25">
        <v>18</v>
      </c>
      <c r="N375" s="25">
        <v>196</v>
      </c>
      <c r="O375" s="25">
        <v>18</v>
      </c>
      <c r="P375" s="307">
        <v>22</v>
      </c>
      <c r="Q375" s="70">
        <v>18</v>
      </c>
      <c r="R375" s="34">
        <v>9.81</v>
      </c>
      <c r="S375" s="25">
        <v>18</v>
      </c>
      <c r="T375" s="25">
        <v>57</v>
      </c>
      <c r="U375" s="25">
        <v>18</v>
      </c>
    </row>
    <row r="376" spans="1:21">
      <c r="B376" s="25">
        <v>254</v>
      </c>
      <c r="C376" s="25">
        <v>19</v>
      </c>
      <c r="D376" s="307">
        <v>18</v>
      </c>
      <c r="E376" s="70">
        <v>19</v>
      </c>
      <c r="F376" s="34">
        <v>8.7100000000000009</v>
      </c>
      <c r="G376" s="25">
        <v>17</v>
      </c>
      <c r="H376" s="25">
        <v>66</v>
      </c>
      <c r="I376" s="25">
        <v>19</v>
      </c>
      <c r="N376" s="25">
        <v>201</v>
      </c>
      <c r="O376" s="25">
        <v>19</v>
      </c>
      <c r="P376" s="307">
        <v>23</v>
      </c>
      <c r="Q376" s="70">
        <v>19</v>
      </c>
      <c r="R376" s="34">
        <v>9.91</v>
      </c>
      <c r="S376" s="25">
        <v>17</v>
      </c>
      <c r="T376" s="25">
        <v>58</v>
      </c>
      <c r="U376" s="25">
        <v>19</v>
      </c>
    </row>
    <row r="377" spans="1:21">
      <c r="B377" s="25">
        <v>259</v>
      </c>
      <c r="C377" s="25">
        <v>20</v>
      </c>
      <c r="D377" s="307">
        <v>19</v>
      </c>
      <c r="E377" s="70">
        <v>20</v>
      </c>
      <c r="F377" s="34">
        <v>8.81</v>
      </c>
      <c r="G377" s="25">
        <v>16</v>
      </c>
      <c r="H377" s="25">
        <v>67</v>
      </c>
      <c r="I377" s="25">
        <v>20</v>
      </c>
      <c r="N377" s="25">
        <v>206</v>
      </c>
      <c r="O377" s="25">
        <v>20</v>
      </c>
      <c r="P377" s="307">
        <v>24</v>
      </c>
      <c r="Q377" s="70">
        <v>20</v>
      </c>
      <c r="R377" s="34">
        <v>10.01</v>
      </c>
      <c r="S377" s="25">
        <v>16</v>
      </c>
      <c r="T377" s="25">
        <v>59</v>
      </c>
      <c r="U377" s="25">
        <v>20</v>
      </c>
    </row>
    <row r="378" spans="1:21">
      <c r="B378" s="25">
        <v>264</v>
      </c>
      <c r="C378" s="25">
        <v>21</v>
      </c>
      <c r="D378" s="307">
        <v>20</v>
      </c>
      <c r="E378" s="70">
        <v>21</v>
      </c>
      <c r="F378" s="34">
        <v>8.91</v>
      </c>
      <c r="G378" s="25">
        <v>15</v>
      </c>
      <c r="H378" s="25">
        <v>68</v>
      </c>
      <c r="I378" s="25">
        <v>21</v>
      </c>
      <c r="N378" s="25">
        <v>211</v>
      </c>
      <c r="O378" s="25">
        <v>21</v>
      </c>
      <c r="P378" s="307">
        <v>25</v>
      </c>
      <c r="Q378" s="70">
        <v>21</v>
      </c>
      <c r="R378" s="34">
        <v>10.11</v>
      </c>
      <c r="S378" s="25">
        <v>15</v>
      </c>
      <c r="T378" s="25">
        <v>60</v>
      </c>
      <c r="U378" s="25">
        <v>21</v>
      </c>
    </row>
    <row r="379" spans="1:21">
      <c r="B379" s="25">
        <v>269</v>
      </c>
      <c r="C379" s="25">
        <v>22</v>
      </c>
      <c r="D379" s="307">
        <v>21</v>
      </c>
      <c r="E379" s="70">
        <v>22</v>
      </c>
      <c r="F379" s="34">
        <v>9.01</v>
      </c>
      <c r="G379" s="25">
        <v>14</v>
      </c>
      <c r="H379" s="25">
        <v>69</v>
      </c>
      <c r="I379" s="25">
        <v>22</v>
      </c>
      <c r="N379" s="25">
        <v>216</v>
      </c>
      <c r="O379" s="25">
        <v>22</v>
      </c>
      <c r="P379" s="307">
        <v>26</v>
      </c>
      <c r="Q379" s="70">
        <v>22</v>
      </c>
      <c r="R379" s="34">
        <v>10.210000000000001</v>
      </c>
      <c r="S379" s="25">
        <v>14</v>
      </c>
      <c r="T379" s="25">
        <v>61</v>
      </c>
      <c r="U379" s="25">
        <v>22</v>
      </c>
    </row>
    <row r="380" spans="1:21">
      <c r="B380" s="25">
        <v>274</v>
      </c>
      <c r="C380" s="25">
        <v>23</v>
      </c>
      <c r="D380" s="307">
        <v>22</v>
      </c>
      <c r="E380" s="70">
        <v>23</v>
      </c>
      <c r="F380" s="34">
        <v>9.11</v>
      </c>
      <c r="G380" s="25">
        <v>13</v>
      </c>
      <c r="H380" s="25">
        <v>70</v>
      </c>
      <c r="I380" s="25">
        <v>23</v>
      </c>
      <c r="N380" s="25">
        <v>221</v>
      </c>
      <c r="O380" s="25">
        <v>23</v>
      </c>
      <c r="P380" s="307">
        <v>27</v>
      </c>
      <c r="Q380" s="70">
        <v>23</v>
      </c>
      <c r="R380" s="34">
        <v>10.31</v>
      </c>
      <c r="S380" s="25">
        <v>13</v>
      </c>
      <c r="T380" s="25">
        <v>62</v>
      </c>
      <c r="U380" s="25">
        <v>23</v>
      </c>
    </row>
    <row r="381" spans="1:21">
      <c r="B381" s="25">
        <v>276</v>
      </c>
      <c r="C381" s="25">
        <v>24</v>
      </c>
      <c r="D381" s="307">
        <v>23</v>
      </c>
      <c r="E381" s="70">
        <v>24</v>
      </c>
      <c r="F381" s="34">
        <v>9.2100000000000009</v>
      </c>
      <c r="G381" s="25">
        <v>12</v>
      </c>
      <c r="H381" s="25">
        <v>71</v>
      </c>
      <c r="I381" s="25">
        <v>24</v>
      </c>
      <c r="N381" s="25">
        <v>226</v>
      </c>
      <c r="O381" s="25">
        <v>24</v>
      </c>
      <c r="P381" s="307">
        <v>28</v>
      </c>
      <c r="Q381" s="70">
        <v>24</v>
      </c>
      <c r="R381" s="34">
        <v>10.41</v>
      </c>
      <c r="S381" s="25">
        <v>12</v>
      </c>
      <c r="T381" s="25">
        <v>63</v>
      </c>
      <c r="U381" s="25">
        <v>24</v>
      </c>
    </row>
    <row r="382" spans="1:21">
      <c r="B382" s="25">
        <v>284</v>
      </c>
      <c r="C382" s="25">
        <v>25</v>
      </c>
      <c r="D382" s="307">
        <v>24</v>
      </c>
      <c r="E382" s="70">
        <v>25</v>
      </c>
      <c r="F382" s="34">
        <v>9.31</v>
      </c>
      <c r="G382" s="25">
        <v>11</v>
      </c>
      <c r="H382" s="25">
        <v>72</v>
      </c>
      <c r="I382" s="25">
        <v>25</v>
      </c>
      <c r="N382" s="25">
        <v>231</v>
      </c>
      <c r="O382" s="25">
        <v>25</v>
      </c>
      <c r="P382" s="307">
        <v>29</v>
      </c>
      <c r="Q382" s="70">
        <v>25</v>
      </c>
      <c r="R382" s="34">
        <v>10.51</v>
      </c>
      <c r="S382" s="25">
        <v>11</v>
      </c>
      <c r="T382" s="25">
        <v>64</v>
      </c>
      <c r="U382" s="25">
        <v>25</v>
      </c>
    </row>
    <row r="384" spans="1:21" s="14" customFormat="1">
      <c r="A384" s="14" t="s">
        <v>487</v>
      </c>
      <c r="B384" s="14" t="s">
        <v>448</v>
      </c>
      <c r="C384" s="14" t="s">
        <v>471</v>
      </c>
      <c r="D384" s="14" t="s">
        <v>515</v>
      </c>
      <c r="E384" s="14" t="s">
        <v>471</v>
      </c>
      <c r="F384" s="14" t="s">
        <v>489</v>
      </c>
      <c r="G384" s="14" t="s">
        <v>471</v>
      </c>
      <c r="H384" s="14" t="s">
        <v>446</v>
      </c>
      <c r="I384" s="14" t="s">
        <v>471</v>
      </c>
      <c r="N384" s="14" t="s">
        <v>448</v>
      </c>
      <c r="O384" s="14" t="s">
        <v>471</v>
      </c>
      <c r="P384" s="14" t="s">
        <v>515</v>
      </c>
      <c r="Q384" s="14" t="s">
        <v>471</v>
      </c>
      <c r="R384" s="14" t="s">
        <v>489</v>
      </c>
      <c r="S384" s="14" t="s">
        <v>471</v>
      </c>
      <c r="T384" s="14" t="s">
        <v>446</v>
      </c>
      <c r="U384" s="14" t="s">
        <v>471</v>
      </c>
    </row>
    <row r="385" spans="1:22" s="14" customFormat="1">
      <c r="A385" s="14" t="s">
        <v>448</v>
      </c>
      <c r="B385" s="305">
        <v>0</v>
      </c>
      <c r="C385" s="56">
        <v>64</v>
      </c>
      <c r="D385" s="35">
        <v>0</v>
      </c>
      <c r="E385" s="56">
        <v>64</v>
      </c>
      <c r="F385" s="14">
        <v>0</v>
      </c>
      <c r="G385" s="56">
        <v>64</v>
      </c>
      <c r="H385" s="124">
        <v>0</v>
      </c>
      <c r="I385" s="56">
        <v>64</v>
      </c>
      <c r="N385" s="306">
        <v>0</v>
      </c>
      <c r="O385" s="56">
        <v>64</v>
      </c>
      <c r="P385" s="35">
        <v>0</v>
      </c>
      <c r="Q385" s="56">
        <v>64</v>
      </c>
      <c r="R385" s="56">
        <v>0</v>
      </c>
      <c r="S385" s="56">
        <v>64</v>
      </c>
      <c r="T385" s="124">
        <v>0</v>
      </c>
      <c r="U385" s="56">
        <v>64</v>
      </c>
    </row>
    <row r="386" spans="1:22" s="14" customFormat="1">
      <c r="A386" s="14" t="s">
        <v>345</v>
      </c>
      <c r="B386" s="305">
        <v>230</v>
      </c>
      <c r="C386" s="56">
        <v>68</v>
      </c>
      <c r="D386" s="35">
        <v>7</v>
      </c>
      <c r="E386" s="56">
        <v>68</v>
      </c>
      <c r="F386" s="14">
        <v>31</v>
      </c>
      <c r="G386" s="56">
        <v>68</v>
      </c>
      <c r="H386" s="124">
        <v>35</v>
      </c>
      <c r="I386" s="56">
        <v>68</v>
      </c>
      <c r="N386" s="306">
        <v>180</v>
      </c>
      <c r="O386" s="56">
        <v>68</v>
      </c>
      <c r="P386" s="35">
        <v>10</v>
      </c>
      <c r="Q386" s="56">
        <v>68</v>
      </c>
      <c r="R386" s="56">
        <v>29</v>
      </c>
      <c r="S386" s="56">
        <v>68</v>
      </c>
      <c r="T386" s="124">
        <v>19</v>
      </c>
      <c r="U386" s="56">
        <v>68</v>
      </c>
    </row>
    <row r="387" spans="1:22" s="14" customFormat="1">
      <c r="A387" s="14" t="s">
        <v>344</v>
      </c>
      <c r="B387" s="305">
        <v>234</v>
      </c>
      <c r="C387" s="56">
        <v>72</v>
      </c>
      <c r="D387" s="35">
        <v>11</v>
      </c>
      <c r="E387" s="56">
        <v>72</v>
      </c>
      <c r="F387" s="14">
        <v>36</v>
      </c>
      <c r="G387" s="56">
        <v>72</v>
      </c>
      <c r="H387" s="124">
        <v>39</v>
      </c>
      <c r="I387" s="56">
        <v>72</v>
      </c>
      <c r="N387" s="306">
        <v>186</v>
      </c>
      <c r="O387" s="56">
        <v>72</v>
      </c>
      <c r="P387" s="35">
        <v>14</v>
      </c>
      <c r="Q387" s="56">
        <v>72</v>
      </c>
      <c r="R387" s="56">
        <v>32</v>
      </c>
      <c r="S387" s="56">
        <v>72</v>
      </c>
      <c r="T387" s="124">
        <v>23</v>
      </c>
      <c r="U387" s="56">
        <v>72</v>
      </c>
    </row>
    <row r="388" spans="1:22" s="14" customFormat="1">
      <c r="A388" s="14" t="s">
        <v>57</v>
      </c>
      <c r="B388" s="305">
        <v>244</v>
      </c>
      <c r="C388" s="56">
        <v>76</v>
      </c>
      <c r="D388" s="35">
        <v>14</v>
      </c>
      <c r="E388" s="56">
        <v>76</v>
      </c>
      <c r="F388" s="14">
        <v>40</v>
      </c>
      <c r="G388" s="56">
        <v>76</v>
      </c>
      <c r="H388" s="124">
        <v>43</v>
      </c>
      <c r="I388" s="56">
        <v>76</v>
      </c>
      <c r="N388" s="306">
        <v>192</v>
      </c>
      <c r="O388" s="56">
        <v>76</v>
      </c>
      <c r="P388" s="35">
        <v>17</v>
      </c>
      <c r="Q388" s="56">
        <v>76</v>
      </c>
      <c r="R388" s="56">
        <v>35</v>
      </c>
      <c r="S388" s="56">
        <v>76</v>
      </c>
      <c r="T388" s="124">
        <v>27</v>
      </c>
      <c r="U388" s="56">
        <v>76</v>
      </c>
    </row>
    <row r="389" spans="1:22" s="14" customFormat="1">
      <c r="A389" s="14" t="s">
        <v>540</v>
      </c>
      <c r="B389" s="305">
        <v>251</v>
      </c>
      <c r="C389" s="56">
        <v>80</v>
      </c>
      <c r="D389" s="35">
        <v>17</v>
      </c>
      <c r="E389" s="56">
        <v>80</v>
      </c>
      <c r="F389" s="14">
        <v>44</v>
      </c>
      <c r="G389" s="56">
        <v>80</v>
      </c>
      <c r="H389" s="124">
        <v>47</v>
      </c>
      <c r="I389" s="56">
        <v>80</v>
      </c>
      <c r="N389" s="306">
        <v>197</v>
      </c>
      <c r="O389" s="56">
        <v>80</v>
      </c>
      <c r="P389" s="35">
        <v>20</v>
      </c>
      <c r="Q389" s="56">
        <v>80</v>
      </c>
      <c r="R389" s="56">
        <v>38</v>
      </c>
      <c r="S389" s="56">
        <v>80</v>
      </c>
      <c r="T389" s="124">
        <v>31</v>
      </c>
      <c r="U389" s="56">
        <v>80</v>
      </c>
    </row>
    <row r="390" spans="1:22" s="14" customFormat="1">
      <c r="B390" s="305">
        <v>256</v>
      </c>
      <c r="C390" s="56">
        <v>84</v>
      </c>
      <c r="D390" s="35">
        <v>19</v>
      </c>
      <c r="E390" s="56">
        <v>84</v>
      </c>
      <c r="F390" s="14">
        <v>46</v>
      </c>
      <c r="G390" s="56">
        <v>84</v>
      </c>
      <c r="H390" s="124">
        <v>51</v>
      </c>
      <c r="I390" s="56">
        <v>84</v>
      </c>
      <c r="N390" s="306">
        <v>202</v>
      </c>
      <c r="O390" s="56">
        <v>84</v>
      </c>
      <c r="P390" s="35">
        <v>22</v>
      </c>
      <c r="Q390" s="56">
        <v>84</v>
      </c>
      <c r="R390" s="56">
        <v>40</v>
      </c>
      <c r="S390" s="56">
        <v>84</v>
      </c>
      <c r="T390" s="124">
        <v>35</v>
      </c>
      <c r="U390" s="56">
        <v>84</v>
      </c>
    </row>
    <row r="391" spans="1:22" s="14" customFormat="1">
      <c r="B391" s="305">
        <v>261</v>
      </c>
      <c r="C391" s="56">
        <v>88</v>
      </c>
      <c r="D391" s="35">
        <v>21</v>
      </c>
      <c r="E391" s="56">
        <v>88</v>
      </c>
      <c r="F391" s="14">
        <v>49</v>
      </c>
      <c r="G391" s="56">
        <v>88</v>
      </c>
      <c r="H391" s="124">
        <v>55</v>
      </c>
      <c r="I391" s="56">
        <v>88</v>
      </c>
      <c r="N391" s="306">
        <v>207</v>
      </c>
      <c r="O391" s="56">
        <v>88</v>
      </c>
      <c r="P391" s="35">
        <v>24</v>
      </c>
      <c r="Q391" s="56">
        <v>88</v>
      </c>
      <c r="R391" s="56">
        <v>42</v>
      </c>
      <c r="S391" s="56">
        <v>88</v>
      </c>
      <c r="T391" s="124">
        <v>39</v>
      </c>
      <c r="U391" s="56">
        <v>88</v>
      </c>
    </row>
    <row r="392" spans="1:22" s="14" customFormat="1">
      <c r="A392" s="104" t="s">
        <v>604</v>
      </c>
      <c r="B392" s="305">
        <v>265</v>
      </c>
      <c r="C392" s="56">
        <v>92</v>
      </c>
      <c r="D392" s="35">
        <v>23</v>
      </c>
      <c r="E392" s="56">
        <v>92</v>
      </c>
      <c r="F392" s="14">
        <v>51</v>
      </c>
      <c r="G392" s="56">
        <v>92</v>
      </c>
      <c r="H392" s="124">
        <v>59</v>
      </c>
      <c r="I392" s="56">
        <v>92</v>
      </c>
      <c r="N392" s="306">
        <v>212</v>
      </c>
      <c r="O392" s="56">
        <v>92</v>
      </c>
      <c r="P392" s="35">
        <v>26</v>
      </c>
      <c r="Q392" s="56">
        <v>92</v>
      </c>
      <c r="R392" s="56">
        <v>44</v>
      </c>
      <c r="S392" s="56">
        <v>92</v>
      </c>
      <c r="T392" s="124">
        <v>43</v>
      </c>
      <c r="U392" s="56">
        <v>92</v>
      </c>
    </row>
    <row r="393" spans="1:22" s="14" customFormat="1">
      <c r="B393" s="305">
        <v>269</v>
      </c>
      <c r="C393" s="56">
        <v>96</v>
      </c>
      <c r="D393" s="35">
        <v>25</v>
      </c>
      <c r="E393" s="56">
        <v>96</v>
      </c>
      <c r="F393" s="14">
        <v>53</v>
      </c>
      <c r="G393" s="56">
        <v>96</v>
      </c>
      <c r="H393" s="124">
        <v>63</v>
      </c>
      <c r="I393" s="56">
        <v>96</v>
      </c>
      <c r="N393" s="306">
        <v>217</v>
      </c>
      <c r="O393" s="56">
        <v>96</v>
      </c>
      <c r="P393" s="35">
        <v>28</v>
      </c>
      <c r="Q393" s="56">
        <v>96</v>
      </c>
      <c r="R393" s="56">
        <v>46</v>
      </c>
      <c r="S393" s="56">
        <v>96</v>
      </c>
      <c r="T393" s="124">
        <v>47</v>
      </c>
      <c r="U393" s="56">
        <v>96</v>
      </c>
    </row>
    <row r="394" spans="1:22" s="14" customFormat="1">
      <c r="B394" s="305">
        <v>272</v>
      </c>
      <c r="C394" s="56">
        <v>98</v>
      </c>
      <c r="D394" s="35">
        <v>26</v>
      </c>
      <c r="E394" s="56">
        <v>98</v>
      </c>
      <c r="F394" s="14">
        <v>54</v>
      </c>
      <c r="G394" s="56">
        <v>98</v>
      </c>
      <c r="H394" s="124">
        <v>67</v>
      </c>
      <c r="I394" s="56">
        <v>98</v>
      </c>
      <c r="N394" s="306">
        <v>221</v>
      </c>
      <c r="O394" s="56">
        <v>98</v>
      </c>
      <c r="P394" s="35">
        <v>29</v>
      </c>
      <c r="Q394" s="56">
        <v>98</v>
      </c>
      <c r="R394" s="56">
        <v>47</v>
      </c>
      <c r="S394" s="56">
        <v>98</v>
      </c>
      <c r="T394" s="124">
        <v>51</v>
      </c>
      <c r="U394" s="56">
        <v>98</v>
      </c>
    </row>
    <row r="395" spans="1:22" s="14" customFormat="1">
      <c r="B395" s="305">
        <v>275</v>
      </c>
      <c r="C395" s="56">
        <v>100</v>
      </c>
      <c r="D395" s="35">
        <v>27</v>
      </c>
      <c r="E395" s="56">
        <v>100</v>
      </c>
      <c r="F395" s="14">
        <v>55</v>
      </c>
      <c r="G395" s="56">
        <v>100</v>
      </c>
      <c r="H395" s="124">
        <v>71</v>
      </c>
      <c r="I395" s="56">
        <v>100</v>
      </c>
      <c r="N395" s="306">
        <v>225</v>
      </c>
      <c r="O395" s="56">
        <v>100</v>
      </c>
      <c r="P395" s="35">
        <v>30</v>
      </c>
      <c r="Q395" s="56">
        <v>100</v>
      </c>
      <c r="R395" s="56">
        <v>48</v>
      </c>
      <c r="S395" s="56">
        <v>100</v>
      </c>
      <c r="T395" s="124">
        <v>55</v>
      </c>
      <c r="U395" s="56">
        <v>100</v>
      </c>
    </row>
    <row r="396" spans="1:22" s="292" customFormat="1">
      <c r="B396" s="305"/>
      <c r="C396" s="56"/>
      <c r="D396" s="35"/>
      <c r="E396" s="56"/>
      <c r="G396" s="56"/>
      <c r="H396" s="187"/>
      <c r="I396" s="56"/>
      <c r="N396" s="306"/>
      <c r="O396" s="56"/>
      <c r="P396" s="35"/>
      <c r="Q396" s="56"/>
      <c r="R396" s="56"/>
      <c r="S396" s="56"/>
      <c r="T396" s="187"/>
      <c r="U396" s="56"/>
    </row>
    <row r="397" spans="1:22" s="292" customFormat="1">
      <c r="A397" s="375" t="s">
        <v>42</v>
      </c>
      <c r="B397" s="308" t="s">
        <v>448</v>
      </c>
      <c r="C397" s="187" t="s">
        <v>471</v>
      </c>
      <c r="D397" s="188" t="s">
        <v>508</v>
      </c>
      <c r="E397" s="187" t="s">
        <v>471</v>
      </c>
      <c r="F397" s="308" t="s">
        <v>473</v>
      </c>
      <c r="G397" s="187" t="s">
        <v>514</v>
      </c>
      <c r="H397" s="460"/>
      <c r="I397" s="305" t="s">
        <v>448</v>
      </c>
      <c r="J397" s="381" t="s">
        <v>508</v>
      </c>
      <c r="K397" s="397" t="s">
        <v>220</v>
      </c>
      <c r="M397" s="308" t="s">
        <v>448</v>
      </c>
      <c r="N397" s="187" t="s">
        <v>471</v>
      </c>
      <c r="O397" s="188" t="s">
        <v>508</v>
      </c>
      <c r="P397" s="187" t="s">
        <v>471</v>
      </c>
      <c r="Q397" s="308" t="s">
        <v>473</v>
      </c>
      <c r="R397" s="187" t="s">
        <v>514</v>
      </c>
      <c r="S397" s="56"/>
      <c r="T397" s="305" t="s">
        <v>448</v>
      </c>
      <c r="U397" s="381" t="s">
        <v>508</v>
      </c>
      <c r="V397" s="397" t="s">
        <v>220</v>
      </c>
    </row>
    <row r="398" spans="1:22" s="292" customFormat="1">
      <c r="B398" s="308">
        <v>0</v>
      </c>
      <c r="C398" s="187">
        <v>0</v>
      </c>
      <c r="D398" s="188">
        <v>0</v>
      </c>
      <c r="E398" s="187">
        <v>0</v>
      </c>
      <c r="F398" s="308">
        <v>0</v>
      </c>
      <c r="G398" s="187">
        <v>100</v>
      </c>
      <c r="H398" s="460"/>
      <c r="I398" s="305">
        <v>0</v>
      </c>
      <c r="J398" s="35">
        <v>0</v>
      </c>
      <c r="K398" s="397">
        <v>0</v>
      </c>
      <c r="M398" s="308">
        <v>0</v>
      </c>
      <c r="N398" s="187">
        <v>0</v>
      </c>
      <c r="O398" s="188">
        <v>0</v>
      </c>
      <c r="P398" s="187">
        <v>0</v>
      </c>
      <c r="Q398" s="308">
        <v>0</v>
      </c>
      <c r="R398" s="187">
        <v>100</v>
      </c>
      <c r="S398" s="56"/>
      <c r="T398" s="305">
        <v>0</v>
      </c>
      <c r="U398" s="35">
        <v>0</v>
      </c>
      <c r="V398" s="397">
        <v>0</v>
      </c>
    </row>
    <row r="399" spans="1:22" s="292" customFormat="1">
      <c r="A399" s="236" t="s">
        <v>656</v>
      </c>
      <c r="B399" s="308">
        <v>243</v>
      </c>
      <c r="C399" s="187">
        <v>35</v>
      </c>
      <c r="D399" s="188">
        <v>7.3</v>
      </c>
      <c r="E399" s="187">
        <v>35</v>
      </c>
      <c r="F399" s="308">
        <v>15.01</v>
      </c>
      <c r="G399" s="187">
        <v>95</v>
      </c>
      <c r="H399" s="460"/>
      <c r="I399" s="305">
        <v>245</v>
      </c>
      <c r="J399" s="35">
        <v>6</v>
      </c>
      <c r="K399" s="397">
        <v>15.41</v>
      </c>
      <c r="M399" s="308">
        <v>204</v>
      </c>
      <c r="N399" s="187">
        <v>35</v>
      </c>
      <c r="O399" s="188">
        <v>5</v>
      </c>
      <c r="P399" s="187">
        <v>35</v>
      </c>
      <c r="Q399" s="308">
        <v>16.41</v>
      </c>
      <c r="R399" s="187">
        <v>95</v>
      </c>
      <c r="S399" s="56"/>
      <c r="T399" s="305">
        <v>195</v>
      </c>
      <c r="U399" s="35">
        <v>3.5</v>
      </c>
      <c r="V399" s="397">
        <v>16.91</v>
      </c>
    </row>
    <row r="400" spans="1:22" s="292" customFormat="1">
      <c r="A400" s="446" t="s">
        <v>664</v>
      </c>
      <c r="B400" s="308">
        <v>250</v>
      </c>
      <c r="C400" s="187">
        <v>40</v>
      </c>
      <c r="D400" s="188">
        <v>8</v>
      </c>
      <c r="E400" s="187">
        <v>40</v>
      </c>
      <c r="F400" s="308">
        <v>15.21</v>
      </c>
      <c r="G400" s="187">
        <v>90</v>
      </c>
      <c r="H400" s="460"/>
      <c r="I400" s="305">
        <v>249</v>
      </c>
      <c r="J400" s="35">
        <v>6.5</v>
      </c>
      <c r="K400" s="397">
        <v>15.61</v>
      </c>
      <c r="M400" s="308">
        <v>208</v>
      </c>
      <c r="N400" s="187">
        <v>40</v>
      </c>
      <c r="O400" s="188">
        <v>5.7</v>
      </c>
      <c r="P400" s="187">
        <v>40</v>
      </c>
      <c r="Q400" s="308">
        <v>16.61</v>
      </c>
      <c r="R400" s="187">
        <v>90</v>
      </c>
      <c r="S400" s="56"/>
      <c r="T400" s="305">
        <v>199</v>
      </c>
      <c r="U400" s="35">
        <v>4</v>
      </c>
      <c r="V400" s="397">
        <v>17.11</v>
      </c>
    </row>
    <row r="401" spans="1:22" s="292" customFormat="1">
      <c r="A401" s="236" t="s">
        <v>657</v>
      </c>
      <c r="B401" s="308">
        <v>258</v>
      </c>
      <c r="C401" s="187">
        <v>45</v>
      </c>
      <c r="D401" s="188">
        <v>8.4</v>
      </c>
      <c r="E401" s="187">
        <v>45</v>
      </c>
      <c r="F401" s="308">
        <v>15.41</v>
      </c>
      <c r="G401" s="187">
        <v>85</v>
      </c>
      <c r="H401" s="460"/>
      <c r="I401" s="305">
        <v>253</v>
      </c>
      <c r="J401" s="35">
        <v>7</v>
      </c>
      <c r="K401" s="397">
        <v>15.81</v>
      </c>
      <c r="M401" s="308">
        <v>212</v>
      </c>
      <c r="N401" s="187">
        <v>45</v>
      </c>
      <c r="O401" s="188">
        <v>6.1</v>
      </c>
      <c r="P401" s="187">
        <v>45</v>
      </c>
      <c r="Q401" s="308">
        <v>16.809999999999999</v>
      </c>
      <c r="R401" s="187">
        <v>85</v>
      </c>
      <c r="S401" s="56"/>
      <c r="T401" s="305">
        <v>203</v>
      </c>
      <c r="U401" s="35">
        <v>4.5</v>
      </c>
      <c r="V401" s="397">
        <v>17.309999999999999</v>
      </c>
    </row>
    <row r="402" spans="1:22" s="292" customFormat="1">
      <c r="A402" s="236" t="s">
        <v>658</v>
      </c>
      <c r="B402" s="308">
        <v>262</v>
      </c>
      <c r="C402" s="187">
        <v>50</v>
      </c>
      <c r="D402" s="188">
        <v>8.9</v>
      </c>
      <c r="E402" s="187">
        <v>50</v>
      </c>
      <c r="F402" s="308">
        <v>15.61</v>
      </c>
      <c r="G402" s="187">
        <v>80</v>
      </c>
      <c r="H402" s="460"/>
      <c r="I402" s="305">
        <v>257</v>
      </c>
      <c r="J402" s="35">
        <v>7.5</v>
      </c>
      <c r="K402" s="397">
        <v>16.010000000000002</v>
      </c>
      <c r="M402" s="308">
        <v>215</v>
      </c>
      <c r="N402" s="187">
        <v>50</v>
      </c>
      <c r="O402" s="188">
        <v>6.6</v>
      </c>
      <c r="P402" s="187">
        <v>50</v>
      </c>
      <c r="Q402" s="308">
        <v>17.010000000000002</v>
      </c>
      <c r="R402" s="187">
        <v>80</v>
      </c>
      <c r="S402" s="56"/>
      <c r="T402" s="305">
        <v>207</v>
      </c>
      <c r="U402" s="35">
        <v>5</v>
      </c>
      <c r="V402" s="397">
        <v>17.510000000000002</v>
      </c>
    </row>
    <row r="403" spans="1:22" s="292" customFormat="1">
      <c r="A403" s="236" t="s">
        <v>659</v>
      </c>
      <c r="B403" s="308">
        <v>268</v>
      </c>
      <c r="C403" s="187">
        <v>55</v>
      </c>
      <c r="D403" s="188">
        <v>9.1999999999999993</v>
      </c>
      <c r="E403" s="187">
        <v>55</v>
      </c>
      <c r="F403" s="308">
        <v>15.81</v>
      </c>
      <c r="G403" s="187">
        <v>75</v>
      </c>
      <c r="H403" s="460"/>
      <c r="I403" s="305">
        <v>261</v>
      </c>
      <c r="J403" s="35">
        <v>8</v>
      </c>
      <c r="K403" s="397">
        <v>16.21</v>
      </c>
      <c r="M403" s="308">
        <v>219</v>
      </c>
      <c r="N403" s="187">
        <v>55</v>
      </c>
      <c r="O403" s="188">
        <v>6.9</v>
      </c>
      <c r="P403" s="187">
        <v>55</v>
      </c>
      <c r="Q403" s="308">
        <v>17.21</v>
      </c>
      <c r="R403" s="187">
        <v>75</v>
      </c>
      <c r="S403" s="56"/>
      <c r="T403" s="305">
        <v>211</v>
      </c>
      <c r="U403" s="35">
        <v>5.5</v>
      </c>
      <c r="V403" s="397">
        <v>17.71</v>
      </c>
    </row>
    <row r="404" spans="1:22" s="292" customFormat="1">
      <c r="A404" s="236" t="s">
        <v>660</v>
      </c>
      <c r="B404" s="308">
        <v>272</v>
      </c>
      <c r="C404" s="187">
        <v>60</v>
      </c>
      <c r="D404" s="188">
        <v>9.6</v>
      </c>
      <c r="E404" s="187">
        <v>60</v>
      </c>
      <c r="F404" s="308">
        <v>16.010000000000002</v>
      </c>
      <c r="G404" s="187">
        <v>70</v>
      </c>
      <c r="H404" s="460"/>
      <c r="I404" s="305">
        <v>265</v>
      </c>
      <c r="J404" s="35">
        <v>8.5</v>
      </c>
      <c r="K404" s="397">
        <v>16.41</v>
      </c>
      <c r="M404" s="308">
        <v>221</v>
      </c>
      <c r="N404" s="187">
        <v>60</v>
      </c>
      <c r="O404" s="188">
        <v>7.3</v>
      </c>
      <c r="P404" s="187">
        <v>60</v>
      </c>
      <c r="Q404" s="308">
        <v>17.41</v>
      </c>
      <c r="R404" s="187">
        <v>70</v>
      </c>
      <c r="S404" s="56"/>
      <c r="T404" s="305">
        <v>215</v>
      </c>
      <c r="U404" s="35">
        <v>6</v>
      </c>
      <c r="V404" s="397">
        <v>17.91</v>
      </c>
    </row>
    <row r="405" spans="1:22" s="292" customFormat="1">
      <c r="A405" s="236" t="s">
        <v>661</v>
      </c>
      <c r="B405" s="308">
        <v>276</v>
      </c>
      <c r="C405" s="187">
        <v>65</v>
      </c>
      <c r="D405" s="188">
        <v>10</v>
      </c>
      <c r="E405" s="187">
        <v>65</v>
      </c>
      <c r="F405" s="308">
        <v>16.21</v>
      </c>
      <c r="G405" s="187">
        <v>65</v>
      </c>
      <c r="H405" s="460"/>
      <c r="I405" s="305">
        <v>269</v>
      </c>
      <c r="J405" s="35">
        <v>9</v>
      </c>
      <c r="K405" s="397">
        <v>16.61</v>
      </c>
      <c r="M405" s="308">
        <v>225</v>
      </c>
      <c r="N405" s="187">
        <v>65</v>
      </c>
      <c r="O405" s="188">
        <v>7.7</v>
      </c>
      <c r="P405" s="187">
        <v>65</v>
      </c>
      <c r="Q405" s="308">
        <v>17.61</v>
      </c>
      <c r="R405" s="187">
        <v>65</v>
      </c>
      <c r="S405" s="56"/>
      <c r="T405" s="305">
        <v>219</v>
      </c>
      <c r="U405" s="35">
        <v>6.5</v>
      </c>
      <c r="V405" s="397">
        <v>18.11</v>
      </c>
    </row>
    <row r="406" spans="1:22" s="292" customFormat="1">
      <c r="A406" s="236" t="s">
        <v>662</v>
      </c>
      <c r="B406" s="308">
        <v>282</v>
      </c>
      <c r="C406" s="187">
        <v>70</v>
      </c>
      <c r="D406" s="188">
        <v>10.7</v>
      </c>
      <c r="E406" s="187">
        <v>70</v>
      </c>
      <c r="F406" s="308">
        <v>16.41</v>
      </c>
      <c r="G406" s="187">
        <v>60</v>
      </c>
      <c r="H406" s="460"/>
      <c r="I406" s="305">
        <v>273</v>
      </c>
      <c r="J406" s="35">
        <v>9.5</v>
      </c>
      <c r="K406" s="397">
        <v>16.809999999999999</v>
      </c>
      <c r="M406" s="308">
        <v>229</v>
      </c>
      <c r="N406" s="187">
        <v>70</v>
      </c>
      <c r="O406" s="188">
        <v>8.4</v>
      </c>
      <c r="P406" s="187">
        <v>70</v>
      </c>
      <c r="Q406" s="308">
        <v>17.809999999999999</v>
      </c>
      <c r="R406" s="187">
        <v>60</v>
      </c>
      <c r="S406" s="56"/>
      <c r="T406" s="305">
        <v>223</v>
      </c>
      <c r="U406" s="35">
        <v>7</v>
      </c>
      <c r="V406" s="397">
        <v>18.309999999999999</v>
      </c>
    </row>
    <row r="407" spans="1:22" s="292" customFormat="1">
      <c r="A407" s="236" t="s">
        <v>663</v>
      </c>
      <c r="B407" s="308">
        <v>289</v>
      </c>
      <c r="C407" s="187">
        <v>75</v>
      </c>
      <c r="D407" s="188">
        <v>11.1</v>
      </c>
      <c r="E407" s="187">
        <v>75</v>
      </c>
      <c r="F407" s="308">
        <v>16.61</v>
      </c>
      <c r="G407" s="187">
        <v>55</v>
      </c>
      <c r="H407" s="460"/>
      <c r="I407" s="305">
        <v>277</v>
      </c>
      <c r="J407" s="35">
        <v>10</v>
      </c>
      <c r="K407" s="397">
        <v>17.010000000000002</v>
      </c>
      <c r="M407" s="308">
        <v>235</v>
      </c>
      <c r="N407" s="187">
        <v>75</v>
      </c>
      <c r="O407" s="188">
        <v>8.8000000000000007</v>
      </c>
      <c r="P407" s="187">
        <v>75</v>
      </c>
      <c r="Q407" s="308">
        <v>18.010000000000002</v>
      </c>
      <c r="R407" s="187">
        <v>55</v>
      </c>
      <c r="S407" s="56"/>
      <c r="T407" s="305">
        <v>227</v>
      </c>
      <c r="U407" s="35">
        <v>7.5</v>
      </c>
      <c r="V407" s="397">
        <v>18.510000000000002</v>
      </c>
    </row>
    <row r="408" spans="1:22" s="292" customFormat="1">
      <c r="B408" s="308">
        <v>293</v>
      </c>
      <c r="C408" s="187">
        <v>80</v>
      </c>
      <c r="D408" s="188">
        <v>11.5</v>
      </c>
      <c r="E408" s="187">
        <v>80</v>
      </c>
      <c r="F408" s="308">
        <v>16.809999999999999</v>
      </c>
      <c r="G408" s="187">
        <v>50</v>
      </c>
      <c r="H408" s="460"/>
      <c r="I408" s="305">
        <v>281</v>
      </c>
      <c r="J408" s="35">
        <v>10.5</v>
      </c>
      <c r="K408" s="397">
        <v>17.21</v>
      </c>
      <c r="M408" s="308">
        <v>239</v>
      </c>
      <c r="N408" s="187">
        <v>80</v>
      </c>
      <c r="O408" s="188">
        <v>9.1999999999999993</v>
      </c>
      <c r="P408" s="187">
        <v>80</v>
      </c>
      <c r="Q408" s="308">
        <v>18.21</v>
      </c>
      <c r="R408" s="187">
        <v>50</v>
      </c>
      <c r="S408" s="56"/>
      <c r="T408" s="305">
        <v>231</v>
      </c>
      <c r="U408" s="35">
        <v>8</v>
      </c>
      <c r="V408" s="397">
        <v>18.71</v>
      </c>
    </row>
    <row r="409" spans="1:22" s="292" customFormat="1">
      <c r="B409" s="308">
        <v>295</v>
      </c>
      <c r="C409" s="187">
        <v>85</v>
      </c>
      <c r="D409" s="188">
        <v>11.8</v>
      </c>
      <c r="E409" s="187">
        <v>85</v>
      </c>
      <c r="F409" s="308">
        <v>17.010000000000002</v>
      </c>
      <c r="G409" s="187">
        <v>45</v>
      </c>
      <c r="H409" s="460"/>
      <c r="I409" s="305">
        <v>285</v>
      </c>
      <c r="J409" s="35">
        <v>11</v>
      </c>
      <c r="K409" s="397">
        <v>17.41</v>
      </c>
      <c r="M409" s="308">
        <v>242</v>
      </c>
      <c r="N409" s="187">
        <v>85</v>
      </c>
      <c r="O409" s="188">
        <v>9.5</v>
      </c>
      <c r="P409" s="187">
        <v>85</v>
      </c>
      <c r="Q409" s="308">
        <v>18.41</v>
      </c>
      <c r="R409" s="187">
        <v>45</v>
      </c>
      <c r="S409" s="56"/>
      <c r="T409" s="305">
        <v>235</v>
      </c>
      <c r="U409" s="35">
        <v>8.5</v>
      </c>
      <c r="V409" s="397">
        <v>18.91</v>
      </c>
    </row>
    <row r="410" spans="1:22" s="292" customFormat="1">
      <c r="B410" s="308">
        <v>299</v>
      </c>
      <c r="C410" s="187">
        <v>90</v>
      </c>
      <c r="D410" s="188">
        <v>12.3</v>
      </c>
      <c r="E410" s="187">
        <v>90</v>
      </c>
      <c r="F410" s="308">
        <v>17.21</v>
      </c>
      <c r="G410" s="187">
        <v>40</v>
      </c>
      <c r="H410" s="460"/>
      <c r="I410" s="305">
        <v>289</v>
      </c>
      <c r="J410" s="35">
        <v>11.5</v>
      </c>
      <c r="K410" s="397">
        <v>17.61</v>
      </c>
      <c r="M410" s="308">
        <v>246</v>
      </c>
      <c r="N410" s="187">
        <v>90</v>
      </c>
      <c r="O410" s="188">
        <v>10</v>
      </c>
      <c r="P410" s="187">
        <v>90</v>
      </c>
      <c r="Q410" s="308">
        <v>18.61</v>
      </c>
      <c r="R410" s="187">
        <v>40</v>
      </c>
      <c r="S410" s="56"/>
      <c r="T410" s="305">
        <v>239</v>
      </c>
      <c r="U410" s="35">
        <v>9</v>
      </c>
      <c r="V410" s="397">
        <v>19.11</v>
      </c>
    </row>
    <row r="411" spans="1:22" s="292" customFormat="1">
      <c r="B411" s="308">
        <v>302</v>
      </c>
      <c r="C411" s="187">
        <v>95</v>
      </c>
      <c r="D411" s="188">
        <v>12.5</v>
      </c>
      <c r="E411" s="187">
        <v>95</v>
      </c>
      <c r="F411" s="308">
        <v>17.41</v>
      </c>
      <c r="G411" s="187">
        <v>35</v>
      </c>
      <c r="H411" s="460"/>
      <c r="I411" s="305">
        <v>293</v>
      </c>
      <c r="J411" s="35">
        <v>12</v>
      </c>
      <c r="K411" s="397">
        <v>17.809999999999999</v>
      </c>
      <c r="M411" s="308">
        <v>248</v>
      </c>
      <c r="N411" s="187">
        <v>95</v>
      </c>
      <c r="O411" s="188">
        <v>10.199999999999999</v>
      </c>
      <c r="P411" s="187">
        <v>95</v>
      </c>
      <c r="Q411" s="308">
        <v>18.809999999999999</v>
      </c>
      <c r="R411" s="187">
        <v>35</v>
      </c>
      <c r="S411" s="56"/>
      <c r="T411" s="305">
        <v>243</v>
      </c>
      <c r="U411" s="35">
        <v>9.5</v>
      </c>
      <c r="V411" s="397">
        <v>19.309999999999999</v>
      </c>
    </row>
    <row r="412" spans="1:22" s="292" customFormat="1">
      <c r="B412" s="308">
        <v>305</v>
      </c>
      <c r="C412" s="187">
        <v>100</v>
      </c>
      <c r="D412" s="188">
        <v>12.7</v>
      </c>
      <c r="E412" s="187">
        <v>100</v>
      </c>
      <c r="F412" s="308">
        <v>17.61</v>
      </c>
      <c r="G412" s="187">
        <v>0</v>
      </c>
      <c r="H412" s="460"/>
      <c r="I412" s="305">
        <v>297</v>
      </c>
      <c r="J412" s="35">
        <v>12.5</v>
      </c>
      <c r="K412" s="397">
        <v>18.010000000000002</v>
      </c>
      <c r="M412" s="308">
        <v>250</v>
      </c>
      <c r="N412" s="187">
        <v>100</v>
      </c>
      <c r="O412" s="188">
        <v>10.4</v>
      </c>
      <c r="P412" s="187">
        <v>100</v>
      </c>
      <c r="Q412" s="308">
        <v>19.010000000000002</v>
      </c>
      <c r="R412" s="187">
        <v>0</v>
      </c>
      <c r="S412" s="56"/>
      <c r="T412" s="305">
        <v>247</v>
      </c>
      <c r="U412" s="35">
        <v>10</v>
      </c>
      <c r="V412" s="397">
        <v>19.510000000000002</v>
      </c>
    </row>
    <row r="413" spans="1:22" s="292" customFormat="1">
      <c r="B413" s="305"/>
      <c r="C413" s="56"/>
      <c r="D413" s="35"/>
      <c r="E413" s="56"/>
      <c r="G413" s="56"/>
      <c r="H413" s="460"/>
      <c r="I413" s="56"/>
      <c r="N413" s="306"/>
      <c r="O413" s="56"/>
      <c r="P413" s="35"/>
      <c r="Q413" s="56"/>
      <c r="R413" s="56"/>
      <c r="S413" s="56"/>
      <c r="T413" s="187"/>
      <c r="U413" s="56"/>
    </row>
    <row r="414" spans="1:22" s="292" customFormat="1">
      <c r="B414" s="305"/>
      <c r="C414" s="56"/>
      <c r="D414" s="35"/>
      <c r="E414" s="56"/>
      <c r="G414" s="56"/>
      <c r="H414" s="460"/>
      <c r="I414" s="56"/>
      <c r="N414" s="306"/>
      <c r="O414" s="56"/>
      <c r="P414" s="35"/>
      <c r="Q414" s="56"/>
      <c r="R414" s="56"/>
      <c r="S414" s="56"/>
      <c r="T414" s="187"/>
      <c r="U414" s="56"/>
    </row>
    <row r="415" spans="1:22" s="14" customFormat="1">
      <c r="C415" s="56"/>
      <c r="D415" s="35"/>
      <c r="E415" s="56"/>
      <c r="G415" s="56"/>
      <c r="H415" s="461"/>
      <c r="I415" s="56"/>
      <c r="N415" s="56"/>
      <c r="O415" s="56"/>
      <c r="P415" s="35"/>
      <c r="Q415" s="56"/>
      <c r="R415" s="56"/>
      <c r="S415" s="56"/>
      <c r="T415" s="99"/>
      <c r="U415" s="56"/>
    </row>
    <row r="416" spans="1:22" s="14" customFormat="1">
      <c r="A416" s="14" t="s">
        <v>119</v>
      </c>
      <c r="B416" s="14" t="s">
        <v>448</v>
      </c>
      <c r="C416" s="14" t="s">
        <v>471</v>
      </c>
      <c r="D416" s="14" t="s">
        <v>515</v>
      </c>
      <c r="E416" s="14" t="s">
        <v>471</v>
      </c>
      <c r="F416" s="14" t="s">
        <v>219</v>
      </c>
      <c r="G416" s="14" t="s">
        <v>471</v>
      </c>
      <c r="N416" s="14" t="s">
        <v>448</v>
      </c>
      <c r="O416" s="14" t="s">
        <v>471</v>
      </c>
      <c r="P416" s="14" t="s">
        <v>515</v>
      </c>
      <c r="Q416" s="14" t="s">
        <v>471</v>
      </c>
      <c r="R416" s="14" t="s">
        <v>219</v>
      </c>
      <c r="S416" s="14" t="s">
        <v>471</v>
      </c>
    </row>
    <row r="417" spans="1:20" s="14" customFormat="1">
      <c r="A417" s="14" t="s">
        <v>201</v>
      </c>
      <c r="B417" s="73">
        <v>0</v>
      </c>
      <c r="C417" s="31">
        <v>0</v>
      </c>
      <c r="D417" s="31">
        <v>0</v>
      </c>
      <c r="E417" s="31">
        <v>0</v>
      </c>
      <c r="F417" s="31">
        <v>0</v>
      </c>
      <c r="G417" s="31">
        <v>100</v>
      </c>
      <c r="I417" s="31">
        <v>0</v>
      </c>
      <c r="J417" s="73">
        <v>0</v>
      </c>
      <c r="N417" s="73">
        <v>0</v>
      </c>
      <c r="O417" s="31">
        <v>0</v>
      </c>
      <c r="P417" s="31">
        <v>0</v>
      </c>
      <c r="Q417" s="31">
        <v>0</v>
      </c>
      <c r="R417" s="31">
        <v>0</v>
      </c>
      <c r="S417" s="31">
        <v>100</v>
      </c>
      <c r="T417" s="31">
        <v>0</v>
      </c>
    </row>
    <row r="418" spans="1:20" s="14" customFormat="1">
      <c r="A418" s="14" t="s">
        <v>548</v>
      </c>
      <c r="B418" s="187">
        <v>246</v>
      </c>
      <c r="C418" s="31">
        <v>35</v>
      </c>
      <c r="D418" s="308">
        <v>9</v>
      </c>
      <c r="E418" s="31">
        <v>35</v>
      </c>
      <c r="F418" s="63">
        <v>6.6</v>
      </c>
      <c r="G418" s="31">
        <v>95</v>
      </c>
      <c r="I418" s="308">
        <v>8</v>
      </c>
      <c r="J418" s="73">
        <v>236</v>
      </c>
      <c r="N418" s="73">
        <v>186</v>
      </c>
      <c r="O418" s="31">
        <v>35</v>
      </c>
      <c r="P418" s="308">
        <v>10</v>
      </c>
      <c r="Q418" s="31">
        <v>35</v>
      </c>
      <c r="R418" s="117">
        <v>7.5</v>
      </c>
      <c r="S418" s="31">
        <v>95</v>
      </c>
      <c r="T418" s="63">
        <v>7.7</v>
      </c>
    </row>
    <row r="419" spans="1:20" s="14" customFormat="1">
      <c r="A419" s="14" t="s">
        <v>67</v>
      </c>
      <c r="B419" s="187">
        <v>250</v>
      </c>
      <c r="C419" s="31">
        <v>40</v>
      </c>
      <c r="D419" s="308">
        <v>11</v>
      </c>
      <c r="E419" s="31">
        <v>40</v>
      </c>
      <c r="F419" s="63">
        <v>6.8</v>
      </c>
      <c r="G419" s="31">
        <v>90</v>
      </c>
      <c r="I419" s="308">
        <v>10</v>
      </c>
      <c r="J419" s="73">
        <v>240</v>
      </c>
      <c r="N419" s="73">
        <v>190</v>
      </c>
      <c r="O419" s="31">
        <v>40</v>
      </c>
      <c r="P419" s="308">
        <v>12</v>
      </c>
      <c r="Q419" s="31">
        <v>40</v>
      </c>
      <c r="R419" s="117">
        <v>7.7</v>
      </c>
      <c r="S419" s="31">
        <v>90</v>
      </c>
      <c r="T419" s="63">
        <v>7.9</v>
      </c>
    </row>
    <row r="420" spans="1:20" s="14" customFormat="1">
      <c r="B420" s="187">
        <v>254</v>
      </c>
      <c r="C420" s="31">
        <v>45</v>
      </c>
      <c r="D420" s="308">
        <v>13</v>
      </c>
      <c r="E420" s="31">
        <v>45</v>
      </c>
      <c r="F420" s="63">
        <v>7</v>
      </c>
      <c r="G420" s="31">
        <v>85</v>
      </c>
      <c r="I420" s="308">
        <v>12</v>
      </c>
      <c r="J420" s="73">
        <v>244</v>
      </c>
      <c r="N420" s="73">
        <v>194</v>
      </c>
      <c r="O420" s="31">
        <v>45</v>
      </c>
      <c r="P420" s="308">
        <v>14</v>
      </c>
      <c r="Q420" s="31">
        <v>45</v>
      </c>
      <c r="R420" s="117">
        <v>7.9</v>
      </c>
      <c r="S420" s="31">
        <v>85</v>
      </c>
      <c r="T420" s="63">
        <v>8.1</v>
      </c>
    </row>
    <row r="421" spans="1:20" s="14" customFormat="1">
      <c r="A421" s="184" t="s">
        <v>596</v>
      </c>
      <c r="B421" s="187">
        <v>258</v>
      </c>
      <c r="C421" s="31">
        <v>50</v>
      </c>
      <c r="D421" s="308">
        <v>15</v>
      </c>
      <c r="E421" s="31">
        <v>50</v>
      </c>
      <c r="F421" s="63">
        <v>7.2</v>
      </c>
      <c r="G421" s="31">
        <v>80</v>
      </c>
      <c r="I421" s="308">
        <v>14</v>
      </c>
      <c r="J421" s="73">
        <v>248</v>
      </c>
      <c r="N421" s="73">
        <v>198</v>
      </c>
      <c r="O421" s="31">
        <v>50</v>
      </c>
      <c r="P421" s="308">
        <v>16</v>
      </c>
      <c r="Q421" s="31">
        <v>50</v>
      </c>
      <c r="R421" s="117">
        <v>8.1</v>
      </c>
      <c r="S421" s="31">
        <v>80</v>
      </c>
      <c r="T421" s="63">
        <v>8.3000000000000007</v>
      </c>
    </row>
    <row r="422" spans="1:20" s="14" customFormat="1">
      <c r="A422" s="104" t="s">
        <v>26</v>
      </c>
      <c r="B422" s="187">
        <v>262</v>
      </c>
      <c r="C422" s="31">
        <v>55</v>
      </c>
      <c r="D422" s="308">
        <v>17</v>
      </c>
      <c r="E422" s="31">
        <v>55</v>
      </c>
      <c r="F422" s="63">
        <v>7.4</v>
      </c>
      <c r="G422" s="31">
        <v>75</v>
      </c>
      <c r="I422" s="308">
        <v>16</v>
      </c>
      <c r="J422" s="73">
        <v>252</v>
      </c>
      <c r="N422" s="73">
        <v>202</v>
      </c>
      <c r="O422" s="31">
        <v>55</v>
      </c>
      <c r="P422" s="308">
        <v>18</v>
      </c>
      <c r="Q422" s="31">
        <v>55</v>
      </c>
      <c r="R422" s="117">
        <v>8.3000000000000007</v>
      </c>
      <c r="S422" s="31">
        <v>75</v>
      </c>
      <c r="T422" s="63">
        <v>8.5</v>
      </c>
    </row>
    <row r="423" spans="1:20" s="14" customFormat="1">
      <c r="A423" s="104" t="s">
        <v>215</v>
      </c>
      <c r="B423" s="187">
        <v>266</v>
      </c>
      <c r="C423" s="31">
        <v>60</v>
      </c>
      <c r="D423" s="308">
        <v>19</v>
      </c>
      <c r="E423" s="31">
        <v>60</v>
      </c>
      <c r="F423" s="63">
        <v>7.6</v>
      </c>
      <c r="G423" s="31">
        <v>70</v>
      </c>
      <c r="I423" s="308">
        <v>18</v>
      </c>
      <c r="J423" s="73">
        <v>256</v>
      </c>
      <c r="N423" s="73">
        <v>206</v>
      </c>
      <c r="O423" s="31">
        <v>60</v>
      </c>
      <c r="P423" s="308">
        <v>20</v>
      </c>
      <c r="Q423" s="31">
        <v>60</v>
      </c>
      <c r="R423" s="117">
        <v>8.5</v>
      </c>
      <c r="S423" s="31">
        <v>70</v>
      </c>
      <c r="T423" s="63">
        <v>8.6999999999999993</v>
      </c>
    </row>
    <row r="424" spans="1:20" s="14" customFormat="1">
      <c r="A424" s="104" t="s">
        <v>605</v>
      </c>
      <c r="B424" s="187">
        <v>270</v>
      </c>
      <c r="C424" s="31">
        <v>65</v>
      </c>
      <c r="D424" s="308">
        <v>21</v>
      </c>
      <c r="E424" s="31">
        <v>65</v>
      </c>
      <c r="F424" s="63">
        <v>7.8</v>
      </c>
      <c r="G424" s="31">
        <v>65</v>
      </c>
      <c r="I424" s="308">
        <v>20</v>
      </c>
      <c r="J424" s="73">
        <v>260</v>
      </c>
      <c r="N424" s="73">
        <v>210</v>
      </c>
      <c r="O424" s="31">
        <v>65</v>
      </c>
      <c r="P424" s="308">
        <v>22</v>
      </c>
      <c r="Q424" s="31">
        <v>65</v>
      </c>
      <c r="R424" s="117">
        <v>8.6999999999999993</v>
      </c>
      <c r="S424" s="31">
        <v>65</v>
      </c>
      <c r="T424" s="63">
        <v>8.9</v>
      </c>
    </row>
    <row r="425" spans="1:20" s="14" customFormat="1">
      <c r="A425" s="104" t="s">
        <v>606</v>
      </c>
      <c r="B425" s="187">
        <v>274</v>
      </c>
      <c r="C425" s="31">
        <v>70</v>
      </c>
      <c r="D425" s="308">
        <v>23</v>
      </c>
      <c r="E425" s="31">
        <v>70</v>
      </c>
      <c r="F425" s="63">
        <v>8</v>
      </c>
      <c r="G425" s="31">
        <v>60</v>
      </c>
      <c r="I425" s="308">
        <v>22</v>
      </c>
      <c r="J425" s="73">
        <v>264</v>
      </c>
      <c r="N425" s="73">
        <v>214</v>
      </c>
      <c r="O425" s="31">
        <v>70</v>
      </c>
      <c r="P425" s="308">
        <v>24</v>
      </c>
      <c r="Q425" s="31">
        <v>70</v>
      </c>
      <c r="R425" s="117">
        <v>8.9</v>
      </c>
      <c r="S425" s="31">
        <v>60</v>
      </c>
      <c r="T425" s="63">
        <v>9.1</v>
      </c>
    </row>
    <row r="426" spans="1:20" s="14" customFormat="1">
      <c r="B426" s="187">
        <v>278</v>
      </c>
      <c r="C426" s="31">
        <v>75</v>
      </c>
      <c r="D426" s="308">
        <v>25</v>
      </c>
      <c r="E426" s="31">
        <v>75</v>
      </c>
      <c r="F426" s="63">
        <v>8.1999999999999993</v>
      </c>
      <c r="G426" s="31">
        <v>55</v>
      </c>
      <c r="I426" s="308">
        <v>24</v>
      </c>
      <c r="J426" s="73">
        <v>268</v>
      </c>
      <c r="N426" s="73">
        <v>218</v>
      </c>
      <c r="O426" s="31">
        <v>75</v>
      </c>
      <c r="P426" s="308">
        <v>26</v>
      </c>
      <c r="Q426" s="31">
        <v>75</v>
      </c>
      <c r="R426" s="117">
        <v>9.1</v>
      </c>
      <c r="S426" s="31">
        <v>55</v>
      </c>
      <c r="T426" s="63">
        <v>9.3000000000000007</v>
      </c>
    </row>
    <row r="427" spans="1:20" s="14" customFormat="1">
      <c r="B427" s="187">
        <v>282</v>
      </c>
      <c r="C427" s="31">
        <v>80</v>
      </c>
      <c r="D427" s="308">
        <v>27</v>
      </c>
      <c r="E427" s="31">
        <v>80</v>
      </c>
      <c r="F427" s="63">
        <v>8.4</v>
      </c>
      <c r="G427" s="31">
        <v>50</v>
      </c>
      <c r="I427" s="308">
        <v>26</v>
      </c>
      <c r="J427" s="73">
        <v>272</v>
      </c>
      <c r="N427" s="73">
        <v>222</v>
      </c>
      <c r="O427" s="31">
        <v>80</v>
      </c>
      <c r="P427" s="308">
        <v>28</v>
      </c>
      <c r="Q427" s="31">
        <v>80</v>
      </c>
      <c r="R427" s="117">
        <v>9.3000000000000007</v>
      </c>
      <c r="S427" s="31">
        <v>50</v>
      </c>
      <c r="T427" s="63">
        <v>9.5</v>
      </c>
    </row>
    <row r="428" spans="1:20" s="14" customFormat="1">
      <c r="B428" s="187">
        <v>286</v>
      </c>
      <c r="C428" s="31">
        <v>85</v>
      </c>
      <c r="D428" s="308">
        <v>29</v>
      </c>
      <c r="E428" s="31">
        <v>85</v>
      </c>
      <c r="F428" s="63">
        <v>8.6</v>
      </c>
      <c r="G428" s="31">
        <v>45</v>
      </c>
      <c r="I428" s="308">
        <v>28</v>
      </c>
      <c r="J428" s="73">
        <v>276</v>
      </c>
      <c r="N428" s="73">
        <v>226</v>
      </c>
      <c r="O428" s="31">
        <v>85</v>
      </c>
      <c r="P428" s="308">
        <v>30</v>
      </c>
      <c r="Q428" s="31">
        <v>85</v>
      </c>
      <c r="R428" s="117">
        <v>9.5</v>
      </c>
      <c r="S428" s="31">
        <v>45</v>
      </c>
      <c r="T428" s="63">
        <v>9.6999999999999993</v>
      </c>
    </row>
    <row r="429" spans="1:20" s="14" customFormat="1">
      <c r="B429" s="187">
        <v>290</v>
      </c>
      <c r="C429" s="31">
        <v>90</v>
      </c>
      <c r="D429" s="308">
        <v>31</v>
      </c>
      <c r="E429" s="31">
        <v>90</v>
      </c>
      <c r="F429" s="63">
        <v>8.8000000000000007</v>
      </c>
      <c r="G429" s="31">
        <v>40</v>
      </c>
      <c r="I429" s="308">
        <v>30</v>
      </c>
      <c r="J429" s="73">
        <v>280</v>
      </c>
      <c r="N429" s="73">
        <v>230</v>
      </c>
      <c r="O429" s="31">
        <v>90</v>
      </c>
      <c r="P429" s="308">
        <v>32</v>
      </c>
      <c r="Q429" s="31">
        <v>90</v>
      </c>
      <c r="R429" s="117">
        <v>9.6999999999999993</v>
      </c>
      <c r="S429" s="31">
        <v>40</v>
      </c>
      <c r="T429" s="63">
        <v>9.9</v>
      </c>
    </row>
    <row r="430" spans="1:20" s="14" customFormat="1">
      <c r="B430" s="187">
        <v>294</v>
      </c>
      <c r="C430" s="31">
        <v>95</v>
      </c>
      <c r="D430" s="308">
        <v>33</v>
      </c>
      <c r="E430" s="31">
        <v>95</v>
      </c>
      <c r="F430" s="63">
        <v>9</v>
      </c>
      <c r="G430" s="31">
        <v>35</v>
      </c>
      <c r="I430" s="308">
        <v>32</v>
      </c>
      <c r="J430" s="73">
        <v>284</v>
      </c>
      <c r="N430" s="73">
        <v>234</v>
      </c>
      <c r="O430" s="31">
        <v>95</v>
      </c>
      <c r="P430" s="308">
        <v>34</v>
      </c>
      <c r="Q430" s="31">
        <v>95</v>
      </c>
      <c r="R430" s="117">
        <v>9.9</v>
      </c>
      <c r="S430" s="31">
        <v>35</v>
      </c>
      <c r="T430" s="63">
        <v>10.1</v>
      </c>
    </row>
    <row r="431" spans="1:20" s="14" customFormat="1">
      <c r="B431" s="187">
        <v>298</v>
      </c>
      <c r="C431" s="31">
        <v>100</v>
      </c>
      <c r="D431" s="308">
        <v>35</v>
      </c>
      <c r="E431" s="31">
        <v>100</v>
      </c>
      <c r="F431" s="63">
        <v>9.1999999999999993</v>
      </c>
      <c r="G431" s="31">
        <v>0</v>
      </c>
      <c r="I431" s="308">
        <v>34</v>
      </c>
      <c r="J431" s="73">
        <v>288</v>
      </c>
      <c r="N431" s="73">
        <v>238</v>
      </c>
      <c r="O431" s="31">
        <v>100</v>
      </c>
      <c r="P431" s="308">
        <v>36</v>
      </c>
      <c r="Q431" s="31">
        <v>100</v>
      </c>
      <c r="R431" s="117">
        <v>10.1</v>
      </c>
      <c r="S431" s="31">
        <v>0</v>
      </c>
      <c r="T431" s="63">
        <v>10.3</v>
      </c>
    </row>
    <row r="432" spans="1:20" s="14" customFormat="1"/>
    <row r="433" spans="1:21" s="14" customFormat="1">
      <c r="A433" s="14" t="s">
        <v>469</v>
      </c>
      <c r="B433" s="14" t="s">
        <v>426</v>
      </c>
      <c r="C433" s="14" t="s">
        <v>471</v>
      </c>
      <c r="D433" s="14" t="s">
        <v>448</v>
      </c>
      <c r="E433" s="14" t="s">
        <v>471</v>
      </c>
      <c r="F433" s="14" t="s">
        <v>449</v>
      </c>
      <c r="G433" s="14" t="s">
        <v>471</v>
      </c>
      <c r="H433" s="14" t="s">
        <v>442</v>
      </c>
      <c r="I433" s="14" t="s">
        <v>471</v>
      </c>
      <c r="N433" s="14" t="s">
        <v>426</v>
      </c>
      <c r="O433" s="14" t="s">
        <v>471</v>
      </c>
      <c r="P433" s="14" t="s">
        <v>448</v>
      </c>
      <c r="Q433" s="14" t="s">
        <v>471</v>
      </c>
      <c r="R433" s="14" t="s">
        <v>449</v>
      </c>
      <c r="S433" s="14" t="s">
        <v>471</v>
      </c>
      <c r="T433" s="14" t="s">
        <v>442</v>
      </c>
      <c r="U433" s="14" t="s">
        <v>471</v>
      </c>
    </row>
    <row r="434" spans="1:21" s="14" customFormat="1">
      <c r="A434" s="14" t="s">
        <v>538</v>
      </c>
      <c r="B434" s="14">
        <v>0</v>
      </c>
      <c r="C434" s="56">
        <v>60</v>
      </c>
      <c r="D434" s="56">
        <v>0</v>
      </c>
      <c r="E434" s="56">
        <v>60</v>
      </c>
      <c r="F434" s="35">
        <v>0</v>
      </c>
      <c r="G434" s="56">
        <v>60</v>
      </c>
      <c r="H434" s="35">
        <v>0</v>
      </c>
      <c r="I434" s="56">
        <v>100</v>
      </c>
      <c r="N434" s="56">
        <v>0</v>
      </c>
      <c r="O434" s="56">
        <v>60</v>
      </c>
      <c r="P434" s="56">
        <v>0</v>
      </c>
      <c r="Q434" s="56">
        <v>60</v>
      </c>
      <c r="R434" s="35">
        <v>0</v>
      </c>
      <c r="S434" s="56">
        <v>60</v>
      </c>
      <c r="T434" s="35">
        <v>0</v>
      </c>
      <c r="U434" s="56">
        <v>100</v>
      </c>
    </row>
    <row r="435" spans="1:21" s="14" customFormat="1">
      <c r="A435" s="14" t="s">
        <v>550</v>
      </c>
      <c r="B435" s="14">
        <v>43</v>
      </c>
      <c r="C435" s="56">
        <v>64</v>
      </c>
      <c r="D435" s="56">
        <v>253</v>
      </c>
      <c r="E435" s="56">
        <v>64</v>
      </c>
      <c r="F435" s="35">
        <v>10</v>
      </c>
      <c r="G435" s="56">
        <v>64</v>
      </c>
      <c r="H435" s="34">
        <v>8.51</v>
      </c>
      <c r="I435" s="56">
        <v>96</v>
      </c>
      <c r="N435" s="56">
        <v>33</v>
      </c>
      <c r="O435" s="56">
        <v>64</v>
      </c>
      <c r="P435" s="56">
        <v>203</v>
      </c>
      <c r="Q435" s="56">
        <v>64</v>
      </c>
      <c r="R435" s="35">
        <v>12</v>
      </c>
      <c r="S435" s="56">
        <v>64</v>
      </c>
      <c r="T435" s="34">
        <v>9.51</v>
      </c>
      <c r="U435" s="56">
        <v>96</v>
      </c>
    </row>
    <row r="436" spans="1:21" s="14" customFormat="1">
      <c r="A436" s="14" t="s">
        <v>36</v>
      </c>
      <c r="B436" s="14">
        <v>46</v>
      </c>
      <c r="C436" s="56">
        <v>68</v>
      </c>
      <c r="D436" s="56">
        <v>256</v>
      </c>
      <c r="E436" s="56">
        <v>68</v>
      </c>
      <c r="F436" s="35">
        <v>12</v>
      </c>
      <c r="G436" s="56">
        <v>68</v>
      </c>
      <c r="H436" s="34">
        <v>8.7100000000000009</v>
      </c>
      <c r="I436" s="56">
        <v>92</v>
      </c>
      <c r="N436" s="56">
        <v>36</v>
      </c>
      <c r="O436" s="56">
        <v>68</v>
      </c>
      <c r="P436" s="56">
        <v>206</v>
      </c>
      <c r="Q436" s="56">
        <v>68</v>
      </c>
      <c r="R436" s="35">
        <v>14</v>
      </c>
      <c r="S436" s="56">
        <v>68</v>
      </c>
      <c r="T436" s="34">
        <v>9.7100000000000009</v>
      </c>
      <c r="U436" s="56">
        <v>92</v>
      </c>
    </row>
    <row r="437" spans="1:21" s="14" customFormat="1">
      <c r="A437" s="14" t="s">
        <v>229</v>
      </c>
      <c r="B437" s="14">
        <v>49</v>
      </c>
      <c r="C437" s="56">
        <v>72</v>
      </c>
      <c r="D437" s="56">
        <v>259</v>
      </c>
      <c r="E437" s="56">
        <v>72</v>
      </c>
      <c r="F437" s="35">
        <v>14</v>
      </c>
      <c r="G437" s="56">
        <v>72</v>
      </c>
      <c r="H437" s="34">
        <v>8.9099999999999984</v>
      </c>
      <c r="I437" s="56">
        <v>88</v>
      </c>
      <c r="N437" s="56">
        <v>39</v>
      </c>
      <c r="O437" s="56">
        <v>72</v>
      </c>
      <c r="P437" s="56">
        <v>209</v>
      </c>
      <c r="Q437" s="56">
        <v>72</v>
      </c>
      <c r="R437" s="35">
        <v>16</v>
      </c>
      <c r="S437" s="56">
        <v>72</v>
      </c>
      <c r="T437" s="34">
        <v>9.9099999999999984</v>
      </c>
      <c r="U437" s="56">
        <v>88</v>
      </c>
    </row>
    <row r="438" spans="1:21" s="14" customFormat="1">
      <c r="A438" s="14" t="s">
        <v>208</v>
      </c>
      <c r="B438" s="14">
        <v>52</v>
      </c>
      <c r="C438" s="56">
        <v>76</v>
      </c>
      <c r="D438" s="56">
        <v>262</v>
      </c>
      <c r="E438" s="56">
        <v>76</v>
      </c>
      <c r="F438" s="35">
        <v>16</v>
      </c>
      <c r="G438" s="56">
        <v>76</v>
      </c>
      <c r="H438" s="34">
        <v>9.1099999999999977</v>
      </c>
      <c r="I438" s="56">
        <v>84</v>
      </c>
      <c r="N438" s="56">
        <v>42</v>
      </c>
      <c r="O438" s="56">
        <v>76</v>
      </c>
      <c r="P438" s="56">
        <v>212</v>
      </c>
      <c r="Q438" s="56">
        <v>76</v>
      </c>
      <c r="R438" s="35">
        <v>18</v>
      </c>
      <c r="S438" s="56">
        <v>76</v>
      </c>
      <c r="T438" s="34">
        <v>10.109999999999998</v>
      </c>
      <c r="U438" s="56">
        <v>84</v>
      </c>
    </row>
    <row r="439" spans="1:21" s="14" customFormat="1">
      <c r="A439" s="14" t="s">
        <v>601</v>
      </c>
      <c r="B439" s="14">
        <v>55</v>
      </c>
      <c r="C439" s="56">
        <v>80</v>
      </c>
      <c r="D439" s="56">
        <v>265</v>
      </c>
      <c r="E439" s="56">
        <v>80</v>
      </c>
      <c r="F439" s="35">
        <v>18</v>
      </c>
      <c r="G439" s="56">
        <v>80</v>
      </c>
      <c r="H439" s="34">
        <v>9.3099999999999987</v>
      </c>
      <c r="I439" s="56">
        <v>80</v>
      </c>
      <c r="N439" s="56">
        <v>45</v>
      </c>
      <c r="O439" s="56">
        <v>80</v>
      </c>
      <c r="P439" s="56">
        <v>215</v>
      </c>
      <c r="Q439" s="56">
        <v>80</v>
      </c>
      <c r="R439" s="35">
        <v>20</v>
      </c>
      <c r="S439" s="56">
        <v>80</v>
      </c>
      <c r="T439" s="34">
        <v>10.309999999999999</v>
      </c>
      <c r="U439" s="56">
        <v>80</v>
      </c>
    </row>
    <row r="440" spans="1:21" s="14" customFormat="1">
      <c r="B440" s="14">
        <v>58</v>
      </c>
      <c r="C440" s="56">
        <v>84</v>
      </c>
      <c r="D440" s="56">
        <v>268</v>
      </c>
      <c r="E440" s="56">
        <v>84</v>
      </c>
      <c r="F440" s="35">
        <v>20</v>
      </c>
      <c r="G440" s="56">
        <v>84</v>
      </c>
      <c r="H440" s="34">
        <v>9.509999999999998</v>
      </c>
      <c r="I440" s="56">
        <v>76</v>
      </c>
      <c r="N440" s="56">
        <v>48</v>
      </c>
      <c r="O440" s="56">
        <v>84</v>
      </c>
      <c r="P440" s="56">
        <v>218</v>
      </c>
      <c r="Q440" s="56">
        <v>84</v>
      </c>
      <c r="R440" s="35">
        <v>22</v>
      </c>
      <c r="S440" s="56">
        <v>84</v>
      </c>
      <c r="T440" s="34">
        <v>10.509999999999998</v>
      </c>
      <c r="U440" s="56">
        <v>76</v>
      </c>
    </row>
    <row r="441" spans="1:21" s="14" customFormat="1">
      <c r="A441" s="375" t="s">
        <v>607</v>
      </c>
      <c r="B441" s="14">
        <v>61</v>
      </c>
      <c r="C441" s="56">
        <v>88</v>
      </c>
      <c r="D441" s="56">
        <v>271</v>
      </c>
      <c r="E441" s="56">
        <v>88</v>
      </c>
      <c r="F441" s="35">
        <v>22</v>
      </c>
      <c r="G441" s="56">
        <v>88</v>
      </c>
      <c r="H441" s="34">
        <v>9.7099999999999973</v>
      </c>
      <c r="I441" s="56">
        <v>72</v>
      </c>
      <c r="N441" s="56">
        <v>51</v>
      </c>
      <c r="O441" s="56">
        <v>88</v>
      </c>
      <c r="P441" s="56">
        <v>221</v>
      </c>
      <c r="Q441" s="56">
        <v>88</v>
      </c>
      <c r="R441" s="35">
        <v>24</v>
      </c>
      <c r="S441" s="56">
        <v>88</v>
      </c>
      <c r="T441" s="34">
        <v>10.709999999999997</v>
      </c>
      <c r="U441" s="56">
        <v>72</v>
      </c>
    </row>
    <row r="442" spans="1:21" s="14" customFormat="1">
      <c r="B442" s="14">
        <v>64</v>
      </c>
      <c r="C442" s="56">
        <v>92</v>
      </c>
      <c r="D442" s="56">
        <v>274</v>
      </c>
      <c r="E442" s="56">
        <v>92</v>
      </c>
      <c r="F442" s="35">
        <v>24</v>
      </c>
      <c r="G442" s="56">
        <v>92</v>
      </c>
      <c r="H442" s="34">
        <v>9.9099999999999984</v>
      </c>
      <c r="I442" s="56">
        <v>68</v>
      </c>
      <c r="N442" s="56">
        <v>54</v>
      </c>
      <c r="O442" s="56">
        <v>92</v>
      </c>
      <c r="P442" s="56">
        <v>224</v>
      </c>
      <c r="Q442" s="56">
        <v>92</v>
      </c>
      <c r="R442" s="35">
        <v>26</v>
      </c>
      <c r="S442" s="56">
        <v>92</v>
      </c>
      <c r="T442" s="34">
        <v>10.909999999999998</v>
      </c>
      <c r="U442" s="56">
        <v>68</v>
      </c>
    </row>
    <row r="443" spans="1:21" s="14" customFormat="1">
      <c r="B443" s="14">
        <v>67</v>
      </c>
      <c r="C443" s="56">
        <v>96</v>
      </c>
      <c r="D443" s="56">
        <v>277</v>
      </c>
      <c r="E443" s="56">
        <v>96</v>
      </c>
      <c r="F443" s="35">
        <v>26</v>
      </c>
      <c r="G443" s="56">
        <v>96</v>
      </c>
      <c r="H443" s="34">
        <v>10.109999999999998</v>
      </c>
      <c r="I443" s="56">
        <v>64</v>
      </c>
      <c r="N443" s="56">
        <v>57</v>
      </c>
      <c r="O443" s="56">
        <v>96</v>
      </c>
      <c r="P443" s="56">
        <v>227</v>
      </c>
      <c r="Q443" s="56">
        <v>96</v>
      </c>
      <c r="R443" s="35">
        <v>28</v>
      </c>
      <c r="S443" s="56">
        <v>96</v>
      </c>
      <c r="T443" s="34">
        <v>11.109999999999998</v>
      </c>
      <c r="U443" s="56">
        <v>64</v>
      </c>
    </row>
    <row r="444" spans="1:21" s="14" customFormat="1">
      <c r="B444" s="14">
        <v>70</v>
      </c>
      <c r="C444" s="56">
        <v>100</v>
      </c>
      <c r="D444" s="56">
        <v>280</v>
      </c>
      <c r="E444" s="56">
        <v>100</v>
      </c>
      <c r="F444" s="35">
        <v>28</v>
      </c>
      <c r="G444" s="56">
        <v>100</v>
      </c>
      <c r="H444" s="34">
        <v>10.309999999999999</v>
      </c>
      <c r="I444" s="56">
        <v>60</v>
      </c>
      <c r="N444" s="56">
        <v>60</v>
      </c>
      <c r="O444" s="56">
        <v>100</v>
      </c>
      <c r="P444" s="56">
        <v>230</v>
      </c>
      <c r="Q444" s="56">
        <v>100</v>
      </c>
      <c r="R444" s="35">
        <v>30</v>
      </c>
      <c r="S444" s="56">
        <v>100</v>
      </c>
      <c r="T444" s="34">
        <v>11.309999999999999</v>
      </c>
      <c r="U444" s="56">
        <v>60</v>
      </c>
    </row>
    <row r="445" spans="1:21" s="292" customFormat="1">
      <c r="C445" s="56"/>
      <c r="D445" s="56"/>
      <c r="E445" s="56"/>
      <c r="F445" s="35"/>
      <c r="G445" s="56"/>
      <c r="H445" s="34"/>
      <c r="I445" s="56"/>
      <c r="N445" s="56"/>
      <c r="O445" s="56"/>
      <c r="P445" s="56"/>
      <c r="Q445" s="56"/>
      <c r="R445" s="35"/>
      <c r="S445" s="56"/>
      <c r="T445" s="34"/>
      <c r="U445" s="56"/>
    </row>
    <row r="446" spans="1:21" s="292" customFormat="1">
      <c r="A446" s="375" t="s">
        <v>518</v>
      </c>
      <c r="B446" s="375" t="s">
        <v>515</v>
      </c>
      <c r="C446" s="383" t="s">
        <v>471</v>
      </c>
      <c r="D446" s="383" t="s">
        <v>448</v>
      </c>
      <c r="E446" s="383" t="s">
        <v>471</v>
      </c>
      <c r="F446" s="381" t="s">
        <v>426</v>
      </c>
      <c r="G446" s="383" t="s">
        <v>471</v>
      </c>
      <c r="H446" s="34"/>
      <c r="I446" s="56"/>
      <c r="M446" s="375" t="s">
        <v>515</v>
      </c>
      <c r="N446" s="383" t="s">
        <v>471</v>
      </c>
      <c r="O446" s="383" t="s">
        <v>448</v>
      </c>
      <c r="P446" s="383" t="s">
        <v>471</v>
      </c>
      <c r="Q446" s="381" t="s">
        <v>426</v>
      </c>
      <c r="R446" s="383" t="s">
        <v>471</v>
      </c>
      <c r="S446" s="56"/>
      <c r="T446" s="34"/>
      <c r="U446" s="56"/>
    </row>
    <row r="447" spans="1:21" s="292" customFormat="1">
      <c r="A447" s="375" t="s">
        <v>55</v>
      </c>
      <c r="B447" s="292">
        <v>0</v>
      </c>
      <c r="C447" s="56">
        <v>5</v>
      </c>
      <c r="D447" s="56">
        <v>0</v>
      </c>
      <c r="E447" s="56">
        <v>5</v>
      </c>
      <c r="F447" s="56">
        <v>0</v>
      </c>
      <c r="G447" s="56">
        <v>5</v>
      </c>
      <c r="H447" s="34"/>
      <c r="I447" s="56"/>
      <c r="M447" s="292">
        <v>0</v>
      </c>
      <c r="N447" s="56">
        <v>5</v>
      </c>
      <c r="O447" s="56">
        <v>0</v>
      </c>
      <c r="P447" s="56">
        <v>5</v>
      </c>
      <c r="Q447" s="56">
        <v>0</v>
      </c>
      <c r="R447" s="56">
        <v>5</v>
      </c>
      <c r="S447" s="56"/>
      <c r="T447" s="34"/>
      <c r="U447" s="56"/>
    </row>
    <row r="448" spans="1:21" s="292" customFormat="1">
      <c r="B448" s="292">
        <v>11</v>
      </c>
      <c r="C448" s="56">
        <v>10</v>
      </c>
      <c r="D448" s="56">
        <v>231</v>
      </c>
      <c r="E448" s="56">
        <v>10</v>
      </c>
      <c r="F448" s="56">
        <v>34</v>
      </c>
      <c r="G448" s="56">
        <v>10</v>
      </c>
      <c r="H448" s="34"/>
      <c r="I448" s="56"/>
      <c r="M448" s="292">
        <v>13</v>
      </c>
      <c r="N448" s="56">
        <v>10</v>
      </c>
      <c r="O448" s="56">
        <v>181</v>
      </c>
      <c r="P448" s="56">
        <v>10</v>
      </c>
      <c r="Q448" s="56">
        <v>29</v>
      </c>
      <c r="R448" s="56">
        <v>10</v>
      </c>
      <c r="S448" s="56"/>
      <c r="T448" s="34"/>
      <c r="U448" s="56"/>
    </row>
    <row r="449" spans="1:21" s="292" customFormat="1">
      <c r="A449" s="375" t="s">
        <v>213</v>
      </c>
      <c r="B449" s="292">
        <v>13</v>
      </c>
      <c r="C449" s="56">
        <v>15</v>
      </c>
      <c r="D449" s="56">
        <v>234</v>
      </c>
      <c r="E449" s="56">
        <v>15</v>
      </c>
      <c r="F449" s="56">
        <v>36</v>
      </c>
      <c r="G449" s="56">
        <v>15</v>
      </c>
      <c r="H449" s="34"/>
      <c r="I449" s="56"/>
      <c r="M449" s="292">
        <v>15</v>
      </c>
      <c r="N449" s="56">
        <v>15</v>
      </c>
      <c r="O449" s="56">
        <v>184</v>
      </c>
      <c r="P449" s="56">
        <v>15</v>
      </c>
      <c r="Q449" s="56">
        <v>31</v>
      </c>
      <c r="R449" s="56">
        <v>15</v>
      </c>
      <c r="S449" s="56"/>
      <c r="T449" s="34"/>
      <c r="U449" s="56"/>
    </row>
    <row r="450" spans="1:21" s="292" customFormat="1">
      <c r="B450" s="292">
        <v>15</v>
      </c>
      <c r="C450" s="56">
        <v>20</v>
      </c>
      <c r="D450" s="56">
        <v>237</v>
      </c>
      <c r="E450" s="56">
        <v>20</v>
      </c>
      <c r="F450" s="56">
        <v>38</v>
      </c>
      <c r="G450" s="56">
        <v>20</v>
      </c>
      <c r="H450" s="34"/>
      <c r="I450" s="56"/>
      <c r="M450" s="292">
        <v>17</v>
      </c>
      <c r="N450" s="56">
        <v>20</v>
      </c>
      <c r="O450" s="56">
        <v>187</v>
      </c>
      <c r="P450" s="56">
        <v>20</v>
      </c>
      <c r="Q450" s="56">
        <v>33</v>
      </c>
      <c r="R450" s="56">
        <v>20</v>
      </c>
      <c r="S450" s="56"/>
      <c r="T450" s="34"/>
      <c r="U450" s="56"/>
    </row>
    <row r="451" spans="1:21" s="292" customFormat="1">
      <c r="B451" s="292">
        <v>16</v>
      </c>
      <c r="C451" s="56">
        <v>25</v>
      </c>
      <c r="D451" s="56">
        <v>240</v>
      </c>
      <c r="E451" s="56">
        <v>25</v>
      </c>
      <c r="F451" s="56">
        <v>40</v>
      </c>
      <c r="G451" s="56">
        <v>25</v>
      </c>
      <c r="H451" s="34"/>
      <c r="I451" s="56"/>
      <c r="M451" s="292">
        <v>18</v>
      </c>
      <c r="N451" s="56">
        <v>25</v>
      </c>
      <c r="O451" s="56">
        <v>190</v>
      </c>
      <c r="P451" s="56">
        <v>25</v>
      </c>
      <c r="Q451" s="56">
        <v>35</v>
      </c>
      <c r="R451" s="56">
        <v>25</v>
      </c>
      <c r="S451" s="56"/>
      <c r="T451" s="34"/>
      <c r="U451" s="56"/>
    </row>
    <row r="452" spans="1:21" s="292" customFormat="1">
      <c r="B452" s="292">
        <v>17</v>
      </c>
      <c r="C452" s="56">
        <v>30</v>
      </c>
      <c r="D452" s="56">
        <v>243</v>
      </c>
      <c r="E452" s="56">
        <v>30</v>
      </c>
      <c r="F452" s="56">
        <v>42</v>
      </c>
      <c r="G452" s="56">
        <v>30</v>
      </c>
      <c r="H452" s="34"/>
      <c r="I452" s="56"/>
      <c r="M452" s="292">
        <v>19</v>
      </c>
      <c r="N452" s="56">
        <v>30</v>
      </c>
      <c r="O452" s="56">
        <v>193</v>
      </c>
      <c r="P452" s="56">
        <v>30</v>
      </c>
      <c r="Q452" s="56">
        <v>37</v>
      </c>
      <c r="R452" s="56">
        <v>30</v>
      </c>
      <c r="S452" s="56"/>
      <c r="T452" s="34"/>
      <c r="U452" s="56"/>
    </row>
    <row r="453" spans="1:21" s="292" customFormat="1">
      <c r="B453" s="292">
        <v>18</v>
      </c>
      <c r="C453" s="56">
        <v>35</v>
      </c>
      <c r="D453" s="56">
        <v>246</v>
      </c>
      <c r="E453" s="56">
        <v>35</v>
      </c>
      <c r="F453" s="56">
        <v>44</v>
      </c>
      <c r="G453" s="56">
        <v>35</v>
      </c>
      <c r="H453" s="34"/>
      <c r="I453" s="56"/>
      <c r="M453" s="292">
        <v>20</v>
      </c>
      <c r="N453" s="56">
        <v>35</v>
      </c>
      <c r="O453" s="56">
        <v>196</v>
      </c>
      <c r="P453" s="56">
        <v>35</v>
      </c>
      <c r="Q453" s="56">
        <v>39</v>
      </c>
      <c r="R453" s="56">
        <v>35</v>
      </c>
      <c r="S453" s="56"/>
      <c r="T453" s="34"/>
      <c r="U453" s="56"/>
    </row>
    <row r="454" spans="1:21" s="292" customFormat="1">
      <c r="B454" s="292">
        <v>19</v>
      </c>
      <c r="C454" s="56">
        <v>40</v>
      </c>
      <c r="D454" s="56">
        <v>249</v>
      </c>
      <c r="E454" s="56">
        <v>40</v>
      </c>
      <c r="F454" s="56">
        <v>46</v>
      </c>
      <c r="G454" s="56">
        <v>40</v>
      </c>
      <c r="H454" s="34"/>
      <c r="I454" s="56"/>
      <c r="M454" s="292">
        <v>21</v>
      </c>
      <c r="N454" s="56">
        <v>40</v>
      </c>
      <c r="O454" s="56">
        <v>199</v>
      </c>
      <c r="P454" s="56">
        <v>40</v>
      </c>
      <c r="Q454" s="56">
        <v>41</v>
      </c>
      <c r="R454" s="56">
        <v>40</v>
      </c>
      <c r="S454" s="56"/>
      <c r="T454" s="34"/>
      <c r="U454" s="56"/>
    </row>
    <row r="455" spans="1:21" s="292" customFormat="1">
      <c r="B455" s="292">
        <v>20</v>
      </c>
      <c r="C455" s="56">
        <v>45</v>
      </c>
      <c r="D455" s="56">
        <v>252</v>
      </c>
      <c r="E455" s="56">
        <v>45</v>
      </c>
      <c r="F455" s="56">
        <v>48</v>
      </c>
      <c r="G455" s="56">
        <v>45</v>
      </c>
      <c r="H455" s="34"/>
      <c r="I455" s="56"/>
      <c r="M455" s="292">
        <v>22</v>
      </c>
      <c r="N455" s="56">
        <v>45</v>
      </c>
      <c r="O455" s="56">
        <v>202</v>
      </c>
      <c r="P455" s="56">
        <v>45</v>
      </c>
      <c r="Q455" s="56">
        <v>43</v>
      </c>
      <c r="R455" s="56">
        <v>45</v>
      </c>
      <c r="S455" s="56"/>
      <c r="T455" s="34"/>
      <c r="U455" s="56"/>
    </row>
    <row r="456" spans="1:21" s="292" customFormat="1">
      <c r="B456" s="292">
        <v>21</v>
      </c>
      <c r="C456" s="56">
        <v>50</v>
      </c>
      <c r="D456" s="56">
        <v>255</v>
      </c>
      <c r="E456" s="56">
        <v>50</v>
      </c>
      <c r="F456" s="56">
        <v>50</v>
      </c>
      <c r="G456" s="56">
        <v>50</v>
      </c>
      <c r="H456" s="34"/>
      <c r="I456" s="56"/>
      <c r="M456" s="292">
        <v>23</v>
      </c>
      <c r="N456" s="56">
        <v>50</v>
      </c>
      <c r="O456" s="56">
        <v>205</v>
      </c>
      <c r="P456" s="56">
        <v>50</v>
      </c>
      <c r="Q456" s="56">
        <v>45</v>
      </c>
      <c r="R456" s="56">
        <v>50</v>
      </c>
      <c r="S456" s="56"/>
      <c r="T456" s="34"/>
      <c r="U456" s="56"/>
    </row>
    <row r="457" spans="1:21" s="292" customFormat="1">
      <c r="B457" s="292">
        <v>22</v>
      </c>
      <c r="C457" s="56">
        <v>55</v>
      </c>
      <c r="D457" s="56">
        <v>258</v>
      </c>
      <c r="E457" s="56">
        <v>55</v>
      </c>
      <c r="F457" s="56">
        <v>52</v>
      </c>
      <c r="G457" s="56">
        <v>55</v>
      </c>
      <c r="H457" s="34"/>
      <c r="I457" s="56"/>
      <c r="M457" s="292">
        <v>24</v>
      </c>
      <c r="N457" s="56">
        <v>55</v>
      </c>
      <c r="O457" s="56">
        <v>208</v>
      </c>
      <c r="P457" s="56">
        <v>55</v>
      </c>
      <c r="Q457" s="56">
        <v>47</v>
      </c>
      <c r="R457" s="56">
        <v>55</v>
      </c>
      <c r="S457" s="56"/>
      <c r="T457" s="34"/>
      <c r="U457" s="56"/>
    </row>
    <row r="458" spans="1:21" s="292" customFormat="1">
      <c r="B458" s="292">
        <v>23</v>
      </c>
      <c r="C458" s="56">
        <v>60</v>
      </c>
      <c r="D458" s="56">
        <v>261</v>
      </c>
      <c r="E458" s="56">
        <v>60</v>
      </c>
      <c r="F458" s="56">
        <v>54</v>
      </c>
      <c r="G458" s="56">
        <v>60</v>
      </c>
      <c r="H458" s="34"/>
      <c r="I458" s="56"/>
      <c r="M458" s="292">
        <v>25</v>
      </c>
      <c r="N458" s="56">
        <v>60</v>
      </c>
      <c r="O458" s="56">
        <v>211</v>
      </c>
      <c r="P458" s="56">
        <v>60</v>
      </c>
      <c r="Q458" s="56">
        <v>49</v>
      </c>
      <c r="R458" s="56">
        <v>60</v>
      </c>
      <c r="S458" s="56"/>
      <c r="T458" s="34"/>
      <c r="U458" s="56"/>
    </row>
    <row r="459" spans="1:21" s="292" customFormat="1">
      <c r="B459" s="292">
        <v>24</v>
      </c>
      <c r="C459" s="56">
        <v>65</v>
      </c>
      <c r="D459" s="56">
        <v>264</v>
      </c>
      <c r="E459" s="56">
        <v>65</v>
      </c>
      <c r="F459" s="56">
        <v>56</v>
      </c>
      <c r="G459" s="56">
        <v>65</v>
      </c>
      <c r="H459" s="34"/>
      <c r="I459" s="56"/>
      <c r="M459" s="292">
        <v>26</v>
      </c>
      <c r="N459" s="56">
        <v>65</v>
      </c>
      <c r="O459" s="56">
        <v>214</v>
      </c>
      <c r="P459" s="56">
        <v>65</v>
      </c>
      <c r="Q459" s="56">
        <v>51</v>
      </c>
      <c r="R459" s="56">
        <v>65</v>
      </c>
      <c r="S459" s="56"/>
      <c r="T459" s="34"/>
      <c r="U459" s="56"/>
    </row>
    <row r="460" spans="1:21" s="292" customFormat="1">
      <c r="B460" s="292">
        <v>25</v>
      </c>
      <c r="C460" s="56">
        <v>70</v>
      </c>
      <c r="D460" s="56">
        <v>267</v>
      </c>
      <c r="E460" s="56">
        <v>70</v>
      </c>
      <c r="F460" s="56">
        <v>58</v>
      </c>
      <c r="G460" s="56">
        <v>70</v>
      </c>
      <c r="H460" s="34"/>
      <c r="I460" s="56"/>
      <c r="M460" s="292">
        <v>27</v>
      </c>
      <c r="N460" s="56">
        <v>70</v>
      </c>
      <c r="O460" s="56">
        <v>217</v>
      </c>
      <c r="P460" s="56">
        <v>70</v>
      </c>
      <c r="Q460" s="56">
        <v>53</v>
      </c>
      <c r="R460" s="56">
        <v>70</v>
      </c>
      <c r="S460" s="56"/>
      <c r="T460" s="34"/>
      <c r="U460" s="56"/>
    </row>
    <row r="461" spans="1:21" s="292" customFormat="1">
      <c r="B461" s="292">
        <v>26</v>
      </c>
      <c r="C461" s="56">
        <v>75</v>
      </c>
      <c r="D461" s="56">
        <v>270</v>
      </c>
      <c r="E461" s="56">
        <v>75</v>
      </c>
      <c r="F461" s="56">
        <v>60</v>
      </c>
      <c r="G461" s="56">
        <v>75</v>
      </c>
      <c r="H461" s="34"/>
      <c r="I461" s="56"/>
      <c r="M461" s="292">
        <v>28</v>
      </c>
      <c r="N461" s="56">
        <v>75</v>
      </c>
      <c r="O461" s="56">
        <v>220</v>
      </c>
      <c r="P461" s="56">
        <v>75</v>
      </c>
      <c r="Q461" s="56">
        <v>55</v>
      </c>
      <c r="R461" s="56">
        <v>75</v>
      </c>
      <c r="S461" s="56"/>
      <c r="T461" s="34"/>
      <c r="U461" s="56"/>
    </row>
    <row r="462" spans="1:21" s="292" customFormat="1">
      <c r="B462" s="292">
        <v>27</v>
      </c>
      <c r="C462" s="56">
        <v>80</v>
      </c>
      <c r="D462" s="56">
        <v>273</v>
      </c>
      <c r="E462" s="56">
        <v>80</v>
      </c>
      <c r="F462" s="56">
        <v>62</v>
      </c>
      <c r="G462" s="56">
        <v>80</v>
      </c>
      <c r="H462" s="34"/>
      <c r="I462" s="56"/>
      <c r="M462" s="292">
        <v>29</v>
      </c>
      <c r="N462" s="56">
        <v>80</v>
      </c>
      <c r="O462" s="56">
        <v>223</v>
      </c>
      <c r="P462" s="56">
        <v>80</v>
      </c>
      <c r="Q462" s="56">
        <v>57</v>
      </c>
      <c r="R462" s="56">
        <v>80</v>
      </c>
      <c r="S462" s="56"/>
      <c r="T462" s="34"/>
      <c r="U462" s="56"/>
    </row>
    <row r="463" spans="1:21" s="292" customFormat="1">
      <c r="B463" s="292">
        <v>28</v>
      </c>
      <c r="C463" s="56">
        <v>85</v>
      </c>
      <c r="D463" s="56">
        <v>276</v>
      </c>
      <c r="E463" s="56">
        <v>85</v>
      </c>
      <c r="F463" s="56">
        <v>64</v>
      </c>
      <c r="G463" s="56">
        <v>85</v>
      </c>
      <c r="H463" s="34"/>
      <c r="I463" s="56"/>
      <c r="M463" s="292">
        <v>30</v>
      </c>
      <c r="N463" s="56">
        <v>85</v>
      </c>
      <c r="O463" s="56">
        <v>226</v>
      </c>
      <c r="P463" s="56">
        <v>85</v>
      </c>
      <c r="Q463" s="56">
        <v>59</v>
      </c>
      <c r="R463" s="56">
        <v>85</v>
      </c>
      <c r="S463" s="56"/>
      <c r="T463" s="34"/>
      <c r="U463" s="56"/>
    </row>
    <row r="464" spans="1:21" s="292" customFormat="1">
      <c r="B464" s="292">
        <v>29</v>
      </c>
      <c r="C464" s="56">
        <v>90</v>
      </c>
      <c r="D464" s="56">
        <v>279</v>
      </c>
      <c r="E464" s="56">
        <v>90</v>
      </c>
      <c r="F464" s="56">
        <v>66</v>
      </c>
      <c r="G464" s="56">
        <v>90</v>
      </c>
      <c r="H464" s="34"/>
      <c r="I464" s="56"/>
      <c r="M464" s="292">
        <v>31</v>
      </c>
      <c r="N464" s="56">
        <v>90</v>
      </c>
      <c r="O464" s="56">
        <v>229</v>
      </c>
      <c r="P464" s="56">
        <v>90</v>
      </c>
      <c r="Q464" s="56">
        <v>61</v>
      </c>
      <c r="R464" s="56">
        <v>90</v>
      </c>
      <c r="S464" s="56"/>
      <c r="T464" s="34"/>
      <c r="U464" s="56"/>
    </row>
    <row r="465" spans="1:21" s="292" customFormat="1">
      <c r="B465" s="292">
        <v>30</v>
      </c>
      <c r="C465" s="56">
        <v>95</v>
      </c>
      <c r="D465" s="56">
        <v>282</v>
      </c>
      <c r="E465" s="56">
        <v>95</v>
      </c>
      <c r="F465" s="56">
        <v>68</v>
      </c>
      <c r="G465" s="56">
        <v>95</v>
      </c>
      <c r="H465" s="34"/>
      <c r="I465" s="56"/>
      <c r="M465" s="292">
        <v>32</v>
      </c>
      <c r="N465" s="56">
        <v>95</v>
      </c>
      <c r="O465" s="56">
        <v>232</v>
      </c>
      <c r="P465" s="56">
        <v>95</v>
      </c>
      <c r="Q465" s="56">
        <v>63</v>
      </c>
      <c r="R465" s="56">
        <v>95</v>
      </c>
      <c r="S465" s="56"/>
      <c r="T465" s="34"/>
      <c r="U465" s="56"/>
    </row>
    <row r="466" spans="1:21" s="292" customFormat="1">
      <c r="B466" s="292">
        <v>31</v>
      </c>
      <c r="C466" s="56">
        <v>100</v>
      </c>
      <c r="D466" s="56">
        <v>285</v>
      </c>
      <c r="E466" s="56">
        <v>100</v>
      </c>
      <c r="F466" s="56">
        <v>70</v>
      </c>
      <c r="G466" s="56">
        <v>100</v>
      </c>
      <c r="H466" s="34"/>
      <c r="I466" s="56"/>
      <c r="M466" s="292">
        <v>33</v>
      </c>
      <c r="N466" s="56">
        <v>100</v>
      </c>
      <c r="O466" s="56">
        <v>235</v>
      </c>
      <c r="P466" s="56">
        <v>100</v>
      </c>
      <c r="Q466" s="56">
        <v>65</v>
      </c>
      <c r="R466" s="56">
        <v>100</v>
      </c>
      <c r="S466" s="56"/>
      <c r="T466" s="34"/>
      <c r="U466" s="56"/>
    </row>
    <row r="467" spans="1:21" s="292" customFormat="1">
      <c r="C467" s="56"/>
      <c r="E467" s="56"/>
      <c r="F467" s="35"/>
      <c r="G467" s="56"/>
      <c r="H467" s="34"/>
      <c r="I467" s="56"/>
      <c r="N467" s="56"/>
      <c r="O467" s="56"/>
      <c r="P467" s="56"/>
      <c r="Q467" s="56"/>
      <c r="R467" s="35"/>
      <c r="S467" s="56"/>
      <c r="T467" s="34"/>
      <c r="U467" s="56"/>
    </row>
    <row r="468" spans="1:21" s="14" customFormat="1">
      <c r="C468" s="56"/>
      <c r="D468" s="56"/>
      <c r="E468" s="56"/>
      <c r="F468" s="35"/>
      <c r="G468" s="56"/>
      <c r="H468" s="34"/>
      <c r="I468" s="56"/>
      <c r="N468" s="56"/>
      <c r="O468" s="56"/>
      <c r="P468" s="56"/>
      <c r="Q468" s="56"/>
      <c r="R468" s="35"/>
      <c r="S468" s="56"/>
      <c r="T468" s="34"/>
      <c r="U468" s="56"/>
    </row>
    <row r="469" spans="1:21" s="14" customFormat="1">
      <c r="A469" s="14" t="s">
        <v>337</v>
      </c>
      <c r="B469" s="14" t="s">
        <v>448</v>
      </c>
      <c r="C469" s="14" t="s">
        <v>471</v>
      </c>
      <c r="D469" s="14" t="s">
        <v>515</v>
      </c>
      <c r="E469" s="14" t="s">
        <v>471</v>
      </c>
      <c r="F469" s="14" t="s">
        <v>284</v>
      </c>
      <c r="G469" s="14" t="s">
        <v>471</v>
      </c>
    </row>
    <row r="470" spans="1:21" s="14" customFormat="1"/>
    <row r="471" spans="1:21" s="14" customFormat="1">
      <c r="A471" s="14" t="s">
        <v>212</v>
      </c>
      <c r="B471" s="14">
        <v>0</v>
      </c>
      <c r="C471" s="14">
        <v>0</v>
      </c>
      <c r="D471" s="14">
        <v>0</v>
      </c>
      <c r="E471" s="14">
        <v>0</v>
      </c>
      <c r="F471" s="34">
        <v>0</v>
      </c>
      <c r="G471" s="14">
        <v>0</v>
      </c>
      <c r="N471" s="35"/>
      <c r="T471" s="35"/>
    </row>
    <row r="472" spans="1:21" s="14" customFormat="1">
      <c r="A472" s="14" t="s">
        <v>284</v>
      </c>
      <c r="B472" s="14">
        <v>189</v>
      </c>
      <c r="C472" s="14">
        <v>30</v>
      </c>
      <c r="D472" s="14">
        <v>13.599999999999998</v>
      </c>
      <c r="E472" s="14">
        <v>30</v>
      </c>
      <c r="F472" s="34">
        <v>1</v>
      </c>
      <c r="G472" s="14">
        <v>30</v>
      </c>
      <c r="N472" s="35"/>
      <c r="T472" s="35"/>
    </row>
    <row r="473" spans="1:21" s="14" customFormat="1">
      <c r="A473" s="14" t="s">
        <v>528</v>
      </c>
      <c r="B473" s="14">
        <v>191</v>
      </c>
      <c r="C473" s="14">
        <v>34</v>
      </c>
      <c r="D473" s="14">
        <v>14.499999999999998</v>
      </c>
      <c r="E473" s="14">
        <v>34</v>
      </c>
      <c r="F473" s="34">
        <v>2</v>
      </c>
      <c r="G473" s="14">
        <v>34</v>
      </c>
      <c r="N473" s="35"/>
      <c r="T473" s="35"/>
    </row>
    <row r="474" spans="1:21" s="14" customFormat="1">
      <c r="B474" s="14">
        <v>193</v>
      </c>
      <c r="C474" s="14">
        <v>38</v>
      </c>
      <c r="D474" s="14">
        <v>15.399999999999999</v>
      </c>
      <c r="E474" s="14">
        <v>38</v>
      </c>
      <c r="F474" s="34">
        <v>3</v>
      </c>
      <c r="G474" s="14">
        <v>38</v>
      </c>
      <c r="N474" s="35"/>
      <c r="T474" s="35"/>
    </row>
    <row r="475" spans="1:21" s="14" customFormat="1">
      <c r="B475" s="14">
        <v>195</v>
      </c>
      <c r="C475" s="14">
        <v>42</v>
      </c>
      <c r="D475" s="14">
        <v>16.299999999999997</v>
      </c>
      <c r="E475" s="14">
        <v>42</v>
      </c>
      <c r="F475" s="34">
        <v>4</v>
      </c>
      <c r="G475" s="14">
        <v>42</v>
      </c>
      <c r="N475" s="35"/>
      <c r="T475" s="35"/>
    </row>
    <row r="476" spans="1:21" s="14" customFormat="1">
      <c r="B476" s="14">
        <v>197</v>
      </c>
      <c r="C476" s="14">
        <v>46</v>
      </c>
      <c r="D476" s="14">
        <v>17.2</v>
      </c>
      <c r="E476" s="14">
        <v>46</v>
      </c>
      <c r="F476" s="34">
        <v>5</v>
      </c>
      <c r="G476" s="14">
        <v>46</v>
      </c>
      <c r="N476" s="35"/>
      <c r="T476" s="35"/>
    </row>
    <row r="477" spans="1:21" s="14" customFormat="1">
      <c r="B477" s="14">
        <v>199</v>
      </c>
      <c r="C477" s="14">
        <v>50</v>
      </c>
      <c r="D477" s="14">
        <v>18.100000000000001</v>
      </c>
      <c r="E477" s="14">
        <v>50</v>
      </c>
      <c r="F477" s="34">
        <v>6</v>
      </c>
      <c r="G477" s="14">
        <v>50</v>
      </c>
      <c r="N477" s="35"/>
      <c r="T477" s="35"/>
    </row>
    <row r="478" spans="1:21" s="14" customFormat="1">
      <c r="B478" s="14">
        <v>201</v>
      </c>
      <c r="C478" s="14">
        <v>54</v>
      </c>
      <c r="D478" s="14">
        <v>19</v>
      </c>
      <c r="E478" s="14">
        <v>54</v>
      </c>
      <c r="F478" s="34">
        <v>7</v>
      </c>
      <c r="G478" s="14">
        <v>54</v>
      </c>
      <c r="N478" s="35"/>
      <c r="T478" s="35"/>
    </row>
    <row r="479" spans="1:21" s="14" customFormat="1">
      <c r="B479" s="14">
        <v>203</v>
      </c>
      <c r="C479" s="14">
        <v>58</v>
      </c>
      <c r="D479" s="14">
        <v>19.899999999999999</v>
      </c>
      <c r="E479" s="14">
        <v>58</v>
      </c>
      <c r="F479" s="34">
        <v>8</v>
      </c>
      <c r="G479" s="14">
        <v>58</v>
      </c>
      <c r="N479" s="35"/>
      <c r="T479" s="35"/>
    </row>
    <row r="480" spans="1:21" s="14" customFormat="1">
      <c r="B480" s="14">
        <v>205</v>
      </c>
      <c r="C480" s="14">
        <v>62</v>
      </c>
      <c r="D480" s="14">
        <v>20.799999999999919</v>
      </c>
      <c r="E480" s="14">
        <v>62</v>
      </c>
      <c r="F480" s="34">
        <v>9</v>
      </c>
      <c r="G480" s="14">
        <v>62</v>
      </c>
      <c r="N480" s="35"/>
      <c r="T480" s="35"/>
    </row>
    <row r="481" spans="2:20" s="14" customFormat="1">
      <c r="B481" s="14">
        <v>207</v>
      </c>
      <c r="C481" s="14">
        <v>65</v>
      </c>
      <c r="D481" s="14">
        <v>21.59999999999993</v>
      </c>
      <c r="E481" s="14">
        <v>65</v>
      </c>
      <c r="F481" s="34">
        <v>10</v>
      </c>
      <c r="G481" s="14">
        <v>65</v>
      </c>
      <c r="N481" s="35"/>
      <c r="T481" s="35"/>
    </row>
    <row r="482" spans="2:20" s="14" customFormat="1">
      <c r="B482" s="14">
        <v>209</v>
      </c>
      <c r="C482" s="14">
        <v>68</v>
      </c>
      <c r="D482" s="14">
        <v>22.399999999999938</v>
      </c>
      <c r="E482" s="14">
        <v>68</v>
      </c>
      <c r="F482" s="34">
        <v>11</v>
      </c>
      <c r="G482" s="14">
        <v>68</v>
      </c>
      <c r="N482" s="35"/>
      <c r="T482" s="35"/>
    </row>
    <row r="483" spans="2:20" s="14" customFormat="1">
      <c r="B483" s="14">
        <v>211</v>
      </c>
      <c r="C483" s="14">
        <v>71</v>
      </c>
      <c r="D483" s="14">
        <v>23.19999999999995</v>
      </c>
      <c r="E483" s="14">
        <v>71</v>
      </c>
      <c r="F483" s="34">
        <v>12</v>
      </c>
      <c r="G483" s="14">
        <v>71</v>
      </c>
      <c r="N483" s="35"/>
      <c r="T483" s="35"/>
    </row>
    <row r="484" spans="2:20" s="14" customFormat="1">
      <c r="B484" s="14">
        <v>213</v>
      </c>
      <c r="C484" s="14">
        <v>74</v>
      </c>
      <c r="D484" s="14">
        <v>23.999999999999957</v>
      </c>
      <c r="E484" s="14">
        <v>74</v>
      </c>
      <c r="F484" s="34">
        <v>13</v>
      </c>
      <c r="G484" s="14">
        <v>74</v>
      </c>
      <c r="N484" s="35"/>
      <c r="T484" s="35"/>
    </row>
    <row r="485" spans="2:20" s="14" customFormat="1">
      <c r="B485" s="14">
        <v>215</v>
      </c>
      <c r="C485" s="14">
        <v>77</v>
      </c>
      <c r="D485" s="14">
        <v>24.799999999999979</v>
      </c>
      <c r="E485" s="14">
        <v>77</v>
      </c>
      <c r="F485" s="34">
        <v>14</v>
      </c>
      <c r="G485" s="14">
        <v>77</v>
      </c>
      <c r="N485" s="35"/>
      <c r="T485" s="35"/>
    </row>
    <row r="486" spans="2:20" s="14" customFormat="1">
      <c r="B486" s="14">
        <v>217</v>
      </c>
      <c r="C486" s="14">
        <v>80</v>
      </c>
      <c r="D486" s="14">
        <v>25.6</v>
      </c>
      <c r="E486" s="14">
        <v>80</v>
      </c>
      <c r="F486" s="34">
        <v>15</v>
      </c>
      <c r="G486" s="14">
        <v>80</v>
      </c>
      <c r="N486" s="35"/>
      <c r="T486" s="35"/>
    </row>
    <row r="487" spans="2:20" s="14" customFormat="1">
      <c r="B487" s="14">
        <v>219</v>
      </c>
      <c r="C487" s="14">
        <v>83</v>
      </c>
      <c r="D487" s="14">
        <v>26.4</v>
      </c>
      <c r="E487" s="14">
        <v>83</v>
      </c>
      <c r="F487" s="34">
        <v>17</v>
      </c>
      <c r="G487" s="14">
        <v>83</v>
      </c>
      <c r="N487" s="35"/>
      <c r="T487" s="35"/>
    </row>
    <row r="488" spans="2:20" s="14" customFormat="1">
      <c r="B488" s="14">
        <v>221</v>
      </c>
      <c r="C488" s="14">
        <v>86</v>
      </c>
      <c r="D488" s="14">
        <v>27.200000000000081</v>
      </c>
      <c r="E488" s="14">
        <v>86</v>
      </c>
      <c r="F488" s="34">
        <v>19</v>
      </c>
      <c r="G488" s="14">
        <v>86</v>
      </c>
      <c r="N488" s="35"/>
      <c r="T488" s="35"/>
    </row>
    <row r="489" spans="2:20" s="14" customFormat="1">
      <c r="B489" s="14">
        <v>223</v>
      </c>
      <c r="C489" s="14">
        <v>88</v>
      </c>
      <c r="D489" s="14">
        <v>27.90000000000007</v>
      </c>
      <c r="E489" s="14">
        <v>88</v>
      </c>
      <c r="F489" s="34">
        <v>21</v>
      </c>
      <c r="G489" s="14">
        <v>88</v>
      </c>
      <c r="N489" s="35"/>
      <c r="T489" s="35"/>
    </row>
    <row r="490" spans="2:20" s="14" customFormat="1">
      <c r="B490" s="14">
        <v>225</v>
      </c>
      <c r="C490" s="14">
        <v>90</v>
      </c>
      <c r="D490" s="14">
        <v>28.600000000000051</v>
      </c>
      <c r="E490" s="14">
        <v>90</v>
      </c>
      <c r="F490" s="34">
        <v>23</v>
      </c>
      <c r="G490" s="14">
        <v>90</v>
      </c>
      <c r="N490" s="35"/>
      <c r="T490" s="35"/>
    </row>
    <row r="491" spans="2:20" s="14" customFormat="1">
      <c r="B491" s="14">
        <v>227</v>
      </c>
      <c r="C491" s="14">
        <v>92</v>
      </c>
      <c r="D491" s="14">
        <v>29.30000000000004</v>
      </c>
      <c r="E491" s="14">
        <v>92</v>
      </c>
      <c r="F491" s="34">
        <v>25</v>
      </c>
      <c r="G491" s="14">
        <v>92</v>
      </c>
      <c r="N491" s="35"/>
      <c r="T491" s="35"/>
    </row>
    <row r="492" spans="2:20" s="14" customFormat="1">
      <c r="B492" s="14">
        <v>229</v>
      </c>
      <c r="C492" s="14">
        <v>94</v>
      </c>
      <c r="D492" s="14">
        <v>30.000000000000032</v>
      </c>
      <c r="E492" s="14">
        <v>94</v>
      </c>
      <c r="F492" s="34">
        <v>27</v>
      </c>
      <c r="G492" s="14">
        <v>94</v>
      </c>
      <c r="N492" s="35"/>
      <c r="T492" s="35"/>
    </row>
    <row r="493" spans="2:20" s="14" customFormat="1">
      <c r="B493" s="14">
        <v>231</v>
      </c>
      <c r="C493" s="14">
        <v>96</v>
      </c>
      <c r="D493" s="14">
        <v>30.700000000000021</v>
      </c>
      <c r="E493" s="14">
        <v>96</v>
      </c>
      <c r="F493" s="34">
        <v>29</v>
      </c>
      <c r="G493" s="14">
        <v>96</v>
      </c>
      <c r="N493" s="35"/>
      <c r="T493" s="35"/>
    </row>
    <row r="494" spans="2:20" s="14" customFormat="1">
      <c r="B494" s="14">
        <v>233</v>
      </c>
      <c r="C494" s="14">
        <v>98</v>
      </c>
      <c r="D494" s="14">
        <v>31.4</v>
      </c>
      <c r="E494" s="14">
        <v>98</v>
      </c>
      <c r="F494" s="34">
        <v>31</v>
      </c>
      <c r="G494" s="14">
        <v>98</v>
      </c>
      <c r="N494" s="35"/>
      <c r="T494" s="35"/>
    </row>
    <row r="495" spans="2:20" s="14" customFormat="1">
      <c r="B495" s="14">
        <v>235</v>
      </c>
      <c r="C495" s="14">
        <v>100</v>
      </c>
      <c r="D495" s="14">
        <v>32.1</v>
      </c>
      <c r="E495" s="14">
        <v>100</v>
      </c>
      <c r="F495" s="34">
        <v>33</v>
      </c>
      <c r="G495" s="14">
        <v>100</v>
      </c>
      <c r="N495" s="35"/>
      <c r="T495" s="35"/>
    </row>
    <row r="496" spans="2:20" s="14" customFormat="1"/>
    <row r="498" spans="1:26">
      <c r="B498" s="534" t="s">
        <v>486</v>
      </c>
      <c r="C498" s="534"/>
      <c r="D498" s="534"/>
      <c r="E498" s="534"/>
      <c r="F498" s="534"/>
      <c r="G498" s="534"/>
      <c r="H498" s="534"/>
      <c r="I498" s="534"/>
      <c r="J498" s="534"/>
      <c r="K498" s="534"/>
      <c r="L498" s="32"/>
      <c r="M498" s="32"/>
      <c r="N498" s="534" t="s">
        <v>435</v>
      </c>
      <c r="O498" s="534"/>
      <c r="P498" s="534"/>
      <c r="Q498" s="534"/>
      <c r="R498" s="534"/>
      <c r="S498" s="534"/>
      <c r="T498" s="534"/>
      <c r="U498" s="534"/>
      <c r="V498" s="534"/>
      <c r="W498" s="534"/>
    </row>
    <row r="499" spans="1:26">
      <c r="A499" s="25" t="s">
        <v>179</v>
      </c>
      <c r="B499" s="308" t="s">
        <v>515</v>
      </c>
      <c r="C499" s="25" t="s">
        <v>471</v>
      </c>
      <c r="D499" s="25" t="s">
        <v>448</v>
      </c>
      <c r="E499" s="25" t="s">
        <v>471</v>
      </c>
      <c r="F499" s="25" t="s">
        <v>457</v>
      </c>
      <c r="G499" s="25" t="s">
        <v>471</v>
      </c>
      <c r="H499" s="375" t="s">
        <v>452</v>
      </c>
      <c r="I499" s="25" t="s">
        <v>471</v>
      </c>
      <c r="J499" s="397" t="s">
        <v>496</v>
      </c>
      <c r="K499" s="305" t="s">
        <v>471</v>
      </c>
      <c r="L499" s="305" t="s">
        <v>458</v>
      </c>
      <c r="M499" s="305" t="s">
        <v>471</v>
      </c>
      <c r="N499" s="308" t="s">
        <v>515</v>
      </c>
      <c r="O499" s="25" t="s">
        <v>471</v>
      </c>
      <c r="P499" s="25" t="s">
        <v>448</v>
      </c>
      <c r="Q499" s="25" t="s">
        <v>471</v>
      </c>
      <c r="R499" s="25" t="s">
        <v>457</v>
      </c>
      <c r="S499" s="25" t="s">
        <v>471</v>
      </c>
      <c r="T499" s="308" t="s">
        <v>452</v>
      </c>
      <c r="U499" s="25" t="s">
        <v>471</v>
      </c>
      <c r="V499" s="397" t="s">
        <v>452</v>
      </c>
      <c r="W499" s="292" t="s">
        <v>471</v>
      </c>
      <c r="X499" s="292" t="s">
        <v>483</v>
      </c>
      <c r="Y499" s="292" t="s">
        <v>471</v>
      </c>
      <c r="Z499" s="375" t="s">
        <v>496</v>
      </c>
    </row>
    <row r="500" spans="1:26">
      <c r="A500" s="31" t="s">
        <v>395</v>
      </c>
      <c r="B500" s="308"/>
      <c r="D500" s="25">
        <v>0</v>
      </c>
      <c r="F500" s="34">
        <v>0</v>
      </c>
      <c r="G500" s="25">
        <v>100</v>
      </c>
      <c r="J500" s="292">
        <v>0</v>
      </c>
      <c r="K500" s="305">
        <v>0</v>
      </c>
      <c r="L500" s="305">
        <v>0</v>
      </c>
      <c r="M500" s="305">
        <v>0</v>
      </c>
      <c r="N500" s="308"/>
      <c r="R500" s="34">
        <v>0</v>
      </c>
      <c r="S500" s="292">
        <v>100</v>
      </c>
      <c r="T500" s="308"/>
      <c r="V500" s="292"/>
      <c r="W500" s="292">
        <v>0</v>
      </c>
      <c r="X500" s="292">
        <v>0</v>
      </c>
      <c r="Y500" s="292">
        <v>0</v>
      </c>
      <c r="Z500" s="25">
        <v>0</v>
      </c>
    </row>
    <row r="501" spans="1:26">
      <c r="A501" s="31" t="s">
        <v>189</v>
      </c>
      <c r="B501" s="308"/>
      <c r="C501" s="292"/>
      <c r="D501" s="25">
        <v>0</v>
      </c>
      <c r="F501" s="34">
        <v>8.4</v>
      </c>
      <c r="G501" s="25">
        <v>97</v>
      </c>
      <c r="H501" s="292"/>
      <c r="J501" s="292">
        <v>30</v>
      </c>
      <c r="K501" s="305">
        <v>25</v>
      </c>
      <c r="L501" s="305">
        <v>1</v>
      </c>
      <c r="M501" s="305">
        <v>25</v>
      </c>
      <c r="N501" s="308"/>
      <c r="R501" s="34">
        <v>9.3000000000000007</v>
      </c>
      <c r="S501" s="292">
        <v>97</v>
      </c>
      <c r="T501" s="308"/>
      <c r="V501" s="292"/>
      <c r="W501" s="292">
        <v>25</v>
      </c>
      <c r="X501" s="292">
        <v>1</v>
      </c>
      <c r="Y501" s="292">
        <v>25</v>
      </c>
      <c r="Z501" s="25">
        <v>10</v>
      </c>
    </row>
    <row r="502" spans="1:26">
      <c r="A502" s="31" t="s">
        <v>580</v>
      </c>
      <c r="B502" s="308">
        <v>0</v>
      </c>
      <c r="C502" s="292">
        <v>0</v>
      </c>
      <c r="D502" s="25">
        <v>0</v>
      </c>
      <c r="E502" s="292">
        <v>0</v>
      </c>
      <c r="F502" s="34">
        <v>8.4999999999999929</v>
      </c>
      <c r="G502" s="292">
        <v>94</v>
      </c>
      <c r="H502" s="292">
        <v>0</v>
      </c>
      <c r="I502" s="292">
        <v>0</v>
      </c>
      <c r="J502" s="292">
        <v>31</v>
      </c>
      <c r="K502" s="305">
        <v>26</v>
      </c>
      <c r="L502" s="305"/>
      <c r="M502" s="305">
        <v>26</v>
      </c>
      <c r="N502" s="308">
        <v>0</v>
      </c>
      <c r="O502" s="292">
        <v>0</v>
      </c>
      <c r="P502" s="25">
        <v>193</v>
      </c>
      <c r="Q502" s="292">
        <v>0</v>
      </c>
      <c r="R502" s="34">
        <v>9.4000000000000021</v>
      </c>
      <c r="S502" s="292">
        <v>94</v>
      </c>
      <c r="T502" s="308">
        <v>0</v>
      </c>
      <c r="U502" s="292">
        <v>0</v>
      </c>
      <c r="V502" s="292">
        <v>0</v>
      </c>
      <c r="W502" s="292">
        <v>26</v>
      </c>
      <c r="X502" s="292"/>
      <c r="Y502" s="292">
        <v>26</v>
      </c>
      <c r="Z502" s="25">
        <v>11</v>
      </c>
    </row>
    <row r="503" spans="1:26">
      <c r="A503" s="31" t="s">
        <v>579</v>
      </c>
      <c r="B503" s="308">
        <v>3</v>
      </c>
      <c r="C503" s="292">
        <v>5</v>
      </c>
      <c r="D503" s="25">
        <v>234</v>
      </c>
      <c r="E503" s="292">
        <v>5</v>
      </c>
      <c r="F503" s="34">
        <v>8.5999999999999872</v>
      </c>
      <c r="G503" s="292">
        <v>91</v>
      </c>
      <c r="H503" s="35">
        <v>5</v>
      </c>
      <c r="I503" s="292">
        <v>5</v>
      </c>
      <c r="J503" s="292">
        <v>32</v>
      </c>
      <c r="K503" s="305">
        <v>27</v>
      </c>
      <c r="L503" s="305"/>
      <c r="M503" s="305">
        <v>27</v>
      </c>
      <c r="N503" s="308">
        <v>5</v>
      </c>
      <c r="O503" s="292">
        <v>5</v>
      </c>
      <c r="P503" s="25">
        <v>194</v>
      </c>
      <c r="Q503" s="292">
        <v>5</v>
      </c>
      <c r="R503" s="34">
        <v>9.5000000000000036</v>
      </c>
      <c r="S503" s="292">
        <v>91</v>
      </c>
      <c r="T503" s="188">
        <v>2</v>
      </c>
      <c r="U503" s="292">
        <v>5</v>
      </c>
      <c r="V503" s="292">
        <v>2.0999999999999801</v>
      </c>
      <c r="W503" s="292">
        <v>27</v>
      </c>
      <c r="X503" s="292"/>
      <c r="Y503" s="292">
        <v>27</v>
      </c>
      <c r="Z503" s="292">
        <v>12</v>
      </c>
    </row>
    <row r="504" spans="1:26">
      <c r="B504" s="308">
        <v>4</v>
      </c>
      <c r="C504" s="292">
        <v>10</v>
      </c>
      <c r="D504" s="25">
        <v>236</v>
      </c>
      <c r="E504" s="292">
        <v>10</v>
      </c>
      <c r="F504" s="34">
        <v>8.6999999999999815</v>
      </c>
      <c r="G504" s="292">
        <v>88</v>
      </c>
      <c r="H504" s="35">
        <v>5.3999999999999897</v>
      </c>
      <c r="I504" s="292">
        <v>10</v>
      </c>
      <c r="J504" s="292">
        <v>33</v>
      </c>
      <c r="K504" s="305">
        <v>28</v>
      </c>
      <c r="L504" s="305">
        <v>2</v>
      </c>
      <c r="M504" s="305">
        <v>28</v>
      </c>
      <c r="N504" s="308">
        <v>7</v>
      </c>
      <c r="O504" s="292">
        <v>10</v>
      </c>
      <c r="P504" s="25">
        <v>196</v>
      </c>
      <c r="Q504" s="292">
        <v>10</v>
      </c>
      <c r="R504" s="34">
        <v>9.600000000000005</v>
      </c>
      <c r="S504" s="292">
        <v>88</v>
      </c>
      <c r="T504" s="188">
        <v>2.7</v>
      </c>
      <c r="U504" s="292">
        <v>10</v>
      </c>
      <c r="V504" s="292">
        <v>2.3999999999999901</v>
      </c>
      <c r="W504" s="292">
        <v>28</v>
      </c>
      <c r="X504" s="292">
        <v>2</v>
      </c>
      <c r="Y504" s="292">
        <v>28</v>
      </c>
      <c r="Z504" s="292">
        <v>13</v>
      </c>
    </row>
    <row r="505" spans="1:26">
      <c r="B505" s="308">
        <v>5</v>
      </c>
      <c r="C505" s="292">
        <v>15</v>
      </c>
      <c r="D505" s="25">
        <v>238</v>
      </c>
      <c r="E505" s="292">
        <v>15</v>
      </c>
      <c r="F505" s="34">
        <v>8.7999999999999758</v>
      </c>
      <c r="G505" s="292">
        <v>85</v>
      </c>
      <c r="H505" s="35">
        <v>5.6999999999999904</v>
      </c>
      <c r="I505" s="292">
        <v>15</v>
      </c>
      <c r="J505" s="292">
        <v>34</v>
      </c>
      <c r="K505" s="305">
        <v>29</v>
      </c>
      <c r="L505" s="305"/>
      <c r="M505" s="305">
        <v>29</v>
      </c>
      <c r="N505" s="308">
        <v>9</v>
      </c>
      <c r="O505" s="292">
        <v>15</v>
      </c>
      <c r="P505" s="25">
        <v>198</v>
      </c>
      <c r="Q505" s="292">
        <v>15</v>
      </c>
      <c r="R505" s="34">
        <v>9.7000000000000064</v>
      </c>
      <c r="S505" s="292">
        <v>85</v>
      </c>
      <c r="T505" s="188">
        <v>3.3</v>
      </c>
      <c r="U505" s="292">
        <v>15</v>
      </c>
      <c r="V505" s="292">
        <v>2.69999999999999</v>
      </c>
      <c r="W505" s="292">
        <v>29</v>
      </c>
      <c r="X505" s="292"/>
      <c r="Y505" s="292">
        <v>29</v>
      </c>
      <c r="Z505" s="292">
        <v>14</v>
      </c>
    </row>
    <row r="506" spans="1:26">
      <c r="B506" s="308">
        <v>6</v>
      </c>
      <c r="C506" s="292">
        <v>20</v>
      </c>
      <c r="D506" s="25">
        <v>240</v>
      </c>
      <c r="E506" s="292">
        <v>20</v>
      </c>
      <c r="F506" s="34">
        <v>8.8999999999999702</v>
      </c>
      <c r="G506" s="292">
        <v>82</v>
      </c>
      <c r="H506" s="35">
        <v>5.9999999999999902</v>
      </c>
      <c r="I506" s="292">
        <v>20</v>
      </c>
      <c r="J506" s="292">
        <v>35</v>
      </c>
      <c r="K506" s="305">
        <v>30</v>
      </c>
      <c r="L506" s="305">
        <v>3</v>
      </c>
      <c r="M506" s="305">
        <v>30</v>
      </c>
      <c r="N506" s="308">
        <v>11</v>
      </c>
      <c r="O506" s="292">
        <v>20</v>
      </c>
      <c r="P506" s="25">
        <v>200</v>
      </c>
      <c r="Q506" s="292">
        <v>20</v>
      </c>
      <c r="R506" s="34">
        <v>9.8000000000000078</v>
      </c>
      <c r="S506" s="292">
        <v>82</v>
      </c>
      <c r="T506" s="188">
        <v>3.9</v>
      </c>
      <c r="U506" s="292">
        <v>20</v>
      </c>
      <c r="V506" s="292">
        <v>2.9999999999999898</v>
      </c>
      <c r="W506" s="292">
        <v>30</v>
      </c>
      <c r="X506" s="292">
        <v>3</v>
      </c>
      <c r="Y506" s="292">
        <v>30</v>
      </c>
      <c r="Z506" s="292">
        <v>15</v>
      </c>
    </row>
    <row r="507" spans="1:26">
      <c r="A507" s="183" t="s">
        <v>7</v>
      </c>
      <c r="B507" s="308">
        <v>7</v>
      </c>
      <c r="C507" s="292">
        <v>25</v>
      </c>
      <c r="D507" s="25">
        <v>242</v>
      </c>
      <c r="E507" s="292">
        <v>25</v>
      </c>
      <c r="F507" s="34">
        <v>8.9999999999999645</v>
      </c>
      <c r="G507" s="292">
        <v>79</v>
      </c>
      <c r="H507" s="35">
        <v>6.2999999999999901</v>
      </c>
      <c r="I507" s="292">
        <v>25</v>
      </c>
      <c r="J507" s="292">
        <v>36</v>
      </c>
      <c r="K507" s="305">
        <v>31</v>
      </c>
      <c r="L507" s="305"/>
      <c r="M507" s="305">
        <v>31</v>
      </c>
      <c r="N507" s="308">
        <v>13</v>
      </c>
      <c r="O507" s="292">
        <v>25</v>
      </c>
      <c r="P507" s="25">
        <v>202</v>
      </c>
      <c r="Q507" s="292">
        <v>25</v>
      </c>
      <c r="R507" s="34">
        <v>9.9000000000000092</v>
      </c>
      <c r="S507" s="292">
        <v>79</v>
      </c>
      <c r="T507" s="188">
        <v>4.5000000000000204</v>
      </c>
      <c r="U507" s="292">
        <v>25</v>
      </c>
      <c r="V507" s="292">
        <v>3.2999999999999901</v>
      </c>
      <c r="W507" s="292">
        <v>31</v>
      </c>
      <c r="X507" s="292">
        <v>4</v>
      </c>
      <c r="Y507" s="292">
        <v>31</v>
      </c>
      <c r="Z507" s="292">
        <v>16</v>
      </c>
    </row>
    <row r="508" spans="1:26">
      <c r="A508" s="183" t="s">
        <v>602</v>
      </c>
      <c r="B508" s="308">
        <v>8</v>
      </c>
      <c r="C508" s="292">
        <v>30</v>
      </c>
      <c r="D508" s="25">
        <v>244</v>
      </c>
      <c r="E508" s="292">
        <v>30</v>
      </c>
      <c r="F508" s="34">
        <v>9.0999999999999588</v>
      </c>
      <c r="G508" s="292">
        <v>76</v>
      </c>
      <c r="H508" s="35">
        <v>6.5999999999999899</v>
      </c>
      <c r="I508" s="292">
        <v>30</v>
      </c>
      <c r="J508" s="292">
        <v>37</v>
      </c>
      <c r="K508" s="305">
        <v>32</v>
      </c>
      <c r="L508" s="305">
        <v>4</v>
      </c>
      <c r="M508" s="305">
        <v>32</v>
      </c>
      <c r="N508" s="308">
        <v>14</v>
      </c>
      <c r="O508" s="292">
        <v>30</v>
      </c>
      <c r="P508" s="25">
        <v>204</v>
      </c>
      <c r="Q508" s="292">
        <v>30</v>
      </c>
      <c r="R508" s="34">
        <v>10.000000000000011</v>
      </c>
      <c r="S508" s="292">
        <v>76</v>
      </c>
      <c r="T508" s="188">
        <v>4.8000000000000203</v>
      </c>
      <c r="U508" s="292">
        <v>30</v>
      </c>
      <c r="V508" s="292">
        <v>3.5999999999999899</v>
      </c>
      <c r="W508" s="292">
        <v>32</v>
      </c>
      <c r="X508" s="292">
        <v>5</v>
      </c>
      <c r="Y508" s="292">
        <v>32</v>
      </c>
      <c r="Z508" s="292">
        <v>17</v>
      </c>
    </row>
    <row r="509" spans="1:26">
      <c r="A509" s="183"/>
      <c r="B509" s="308">
        <v>9</v>
      </c>
      <c r="C509" s="292">
        <v>35</v>
      </c>
      <c r="D509" s="25">
        <v>246</v>
      </c>
      <c r="E509" s="292">
        <v>35</v>
      </c>
      <c r="F509" s="34">
        <v>9.1999999999999531</v>
      </c>
      <c r="G509" s="292">
        <v>73</v>
      </c>
      <c r="H509" s="35">
        <v>6.8999999999999897</v>
      </c>
      <c r="I509" s="292">
        <v>35</v>
      </c>
      <c r="J509" s="292">
        <v>38</v>
      </c>
      <c r="K509" s="305">
        <v>33</v>
      </c>
      <c r="L509" s="305"/>
      <c r="M509" s="305">
        <v>33</v>
      </c>
      <c r="N509" s="308">
        <v>15</v>
      </c>
      <c r="O509" s="292">
        <v>35</v>
      </c>
      <c r="P509" s="25">
        <v>206</v>
      </c>
      <c r="Q509" s="292">
        <v>35</v>
      </c>
      <c r="R509" s="34">
        <v>10.100000000000012</v>
      </c>
      <c r="S509" s="292">
        <v>73</v>
      </c>
      <c r="T509" s="188">
        <v>5.1000000000000201</v>
      </c>
      <c r="U509" s="292">
        <v>35</v>
      </c>
      <c r="V509" s="292">
        <v>3.8999999999999901</v>
      </c>
      <c r="W509" s="292">
        <v>33</v>
      </c>
      <c r="X509" s="292">
        <v>6</v>
      </c>
      <c r="Y509" s="292">
        <v>33</v>
      </c>
      <c r="Z509" s="292">
        <v>18</v>
      </c>
    </row>
    <row r="510" spans="1:26">
      <c r="A510" s="183" t="s">
        <v>665</v>
      </c>
      <c r="B510" s="308">
        <v>10</v>
      </c>
      <c r="C510" s="292">
        <v>40</v>
      </c>
      <c r="D510" s="25">
        <v>248</v>
      </c>
      <c r="E510" s="292">
        <v>40</v>
      </c>
      <c r="F510" s="34">
        <v>9.2999999999999474</v>
      </c>
      <c r="G510" s="292">
        <v>70</v>
      </c>
      <c r="H510" s="35">
        <v>7.1999999999999904</v>
      </c>
      <c r="I510" s="292">
        <v>40</v>
      </c>
      <c r="J510" s="292">
        <v>39</v>
      </c>
      <c r="K510" s="305">
        <v>34</v>
      </c>
      <c r="L510" s="305">
        <v>5</v>
      </c>
      <c r="M510" s="305">
        <v>34</v>
      </c>
      <c r="N510" s="308">
        <v>16</v>
      </c>
      <c r="O510" s="292">
        <v>40</v>
      </c>
      <c r="P510" s="25">
        <v>208</v>
      </c>
      <c r="Q510" s="292">
        <v>40</v>
      </c>
      <c r="R510" s="34">
        <v>10.200000000000014</v>
      </c>
      <c r="S510" s="292">
        <v>70</v>
      </c>
      <c r="T510" s="188">
        <v>5.4000000000000199</v>
      </c>
      <c r="U510" s="292">
        <v>40</v>
      </c>
      <c r="V510" s="292">
        <v>4.1999999999999904</v>
      </c>
      <c r="W510" s="292">
        <v>34</v>
      </c>
      <c r="X510" s="292">
        <v>7</v>
      </c>
      <c r="Y510" s="292">
        <v>34</v>
      </c>
      <c r="Z510" s="292">
        <v>19</v>
      </c>
    </row>
    <row r="511" spans="1:26">
      <c r="A511" s="236" t="s">
        <v>667</v>
      </c>
      <c r="B511" s="308">
        <v>11</v>
      </c>
      <c r="C511" s="292">
        <v>45</v>
      </c>
      <c r="D511" s="25">
        <v>250</v>
      </c>
      <c r="E511" s="292">
        <v>45</v>
      </c>
      <c r="F511" s="34">
        <v>9.3999999999999417</v>
      </c>
      <c r="G511" s="292">
        <v>65</v>
      </c>
      <c r="H511" s="35">
        <v>7.4999999999999902</v>
      </c>
      <c r="I511" s="292">
        <v>45</v>
      </c>
      <c r="J511" s="292">
        <v>40</v>
      </c>
      <c r="K511" s="305">
        <v>35</v>
      </c>
      <c r="L511" s="305">
        <v>6</v>
      </c>
      <c r="M511" s="305">
        <v>35</v>
      </c>
      <c r="N511" s="308">
        <v>17</v>
      </c>
      <c r="O511" s="292">
        <v>45</v>
      </c>
      <c r="P511" s="25">
        <v>210</v>
      </c>
      <c r="Q511" s="292">
        <v>45</v>
      </c>
      <c r="R511" s="34">
        <v>10.300000000000015</v>
      </c>
      <c r="S511" s="292">
        <v>65</v>
      </c>
      <c r="T511" s="188">
        <v>5.7000000000000099</v>
      </c>
      <c r="U511" s="292">
        <v>45</v>
      </c>
      <c r="V511" s="292">
        <v>4.4999999999999902</v>
      </c>
      <c r="W511" s="292">
        <v>35</v>
      </c>
      <c r="X511" s="292">
        <v>8</v>
      </c>
      <c r="Y511" s="292">
        <v>35</v>
      </c>
      <c r="Z511" s="292">
        <v>20</v>
      </c>
    </row>
    <row r="512" spans="1:26">
      <c r="A512" s="236" t="s">
        <v>666</v>
      </c>
      <c r="B512" s="308">
        <v>12</v>
      </c>
      <c r="C512" s="292">
        <v>50</v>
      </c>
      <c r="D512" s="25">
        <v>252</v>
      </c>
      <c r="E512" s="292">
        <v>50</v>
      </c>
      <c r="F512" s="34">
        <v>9.4999999999999361</v>
      </c>
      <c r="G512" s="292">
        <v>60</v>
      </c>
      <c r="H512" s="35">
        <v>7.7999999999999901</v>
      </c>
      <c r="I512" s="292">
        <v>50</v>
      </c>
      <c r="J512" s="292">
        <v>41</v>
      </c>
      <c r="K512" s="305">
        <v>36</v>
      </c>
      <c r="L512" s="305">
        <v>7</v>
      </c>
      <c r="M512" s="305">
        <v>36</v>
      </c>
      <c r="N512" s="308">
        <v>18</v>
      </c>
      <c r="O512" s="292">
        <v>50</v>
      </c>
      <c r="P512" s="25">
        <v>212</v>
      </c>
      <c r="Q512" s="292">
        <v>50</v>
      </c>
      <c r="R512" s="34">
        <v>10.400000000000016</v>
      </c>
      <c r="S512" s="292">
        <v>60</v>
      </c>
      <c r="T512" s="188">
        <v>6.0000000000000098</v>
      </c>
      <c r="U512" s="292">
        <v>50</v>
      </c>
      <c r="V512" s="292">
        <v>4.7999999999999901</v>
      </c>
      <c r="W512" s="292">
        <v>36</v>
      </c>
      <c r="X512" s="292">
        <v>9</v>
      </c>
      <c r="Y512" s="292">
        <v>36</v>
      </c>
      <c r="Z512" s="292">
        <v>21</v>
      </c>
    </row>
    <row r="513" spans="1:26">
      <c r="A513" s="236"/>
      <c r="B513" s="308">
        <v>13</v>
      </c>
      <c r="C513" s="292">
        <v>55</v>
      </c>
      <c r="D513" s="25">
        <v>254</v>
      </c>
      <c r="E513" s="292">
        <v>55</v>
      </c>
      <c r="F513" s="34">
        <v>9.5999999999999304</v>
      </c>
      <c r="G513" s="292">
        <v>55</v>
      </c>
      <c r="H513" s="35">
        <v>8.0999999999999908</v>
      </c>
      <c r="I513" s="292">
        <v>55</v>
      </c>
      <c r="J513" s="292">
        <v>42</v>
      </c>
      <c r="K513" s="305">
        <v>37</v>
      </c>
      <c r="L513" s="305">
        <v>8</v>
      </c>
      <c r="M513" s="305">
        <v>37</v>
      </c>
      <c r="N513" s="308">
        <v>19</v>
      </c>
      <c r="O513" s="292">
        <v>55</v>
      </c>
      <c r="P513" s="25">
        <v>214</v>
      </c>
      <c r="Q513" s="292">
        <v>55</v>
      </c>
      <c r="R513" s="34">
        <v>10.500000000000018</v>
      </c>
      <c r="S513" s="292">
        <v>55</v>
      </c>
      <c r="T513" s="188">
        <v>6.3000000000000096</v>
      </c>
      <c r="U513" s="292">
        <v>55</v>
      </c>
      <c r="V513" s="292">
        <v>5.0999999999999899</v>
      </c>
      <c r="W513" s="292">
        <v>37</v>
      </c>
      <c r="X513" s="292">
        <v>10</v>
      </c>
      <c r="Y513" s="292">
        <v>37</v>
      </c>
      <c r="Z513" s="292">
        <v>22</v>
      </c>
    </row>
    <row r="514" spans="1:26">
      <c r="A514" s="236" t="s">
        <v>668</v>
      </c>
      <c r="B514" s="308">
        <v>14</v>
      </c>
      <c r="C514" s="292">
        <v>60</v>
      </c>
      <c r="D514" s="25">
        <v>256</v>
      </c>
      <c r="E514" s="292">
        <v>60</v>
      </c>
      <c r="F514" s="34">
        <v>9.6999999999999247</v>
      </c>
      <c r="G514" s="292">
        <v>50</v>
      </c>
      <c r="H514" s="35">
        <v>8.3999999999999897</v>
      </c>
      <c r="I514" s="292">
        <v>60</v>
      </c>
      <c r="J514" s="292">
        <v>43</v>
      </c>
      <c r="K514" s="305">
        <v>38</v>
      </c>
      <c r="L514" s="305">
        <v>9</v>
      </c>
      <c r="M514" s="305">
        <v>38</v>
      </c>
      <c r="N514" s="308">
        <v>20</v>
      </c>
      <c r="O514" s="292">
        <v>60</v>
      </c>
      <c r="P514" s="25">
        <v>216</v>
      </c>
      <c r="Q514" s="292">
        <v>60</v>
      </c>
      <c r="R514" s="34">
        <v>10.600000000000019</v>
      </c>
      <c r="S514" s="292">
        <v>50</v>
      </c>
      <c r="T514" s="188">
        <v>6.6000000000000103</v>
      </c>
      <c r="U514" s="292">
        <v>60</v>
      </c>
      <c r="V514" s="292">
        <v>5.3999999999999897</v>
      </c>
      <c r="W514" s="292">
        <v>38</v>
      </c>
      <c r="X514" s="292">
        <v>11</v>
      </c>
      <c r="Y514" s="292">
        <v>38</v>
      </c>
      <c r="Z514" s="292">
        <v>23</v>
      </c>
    </row>
    <row r="515" spans="1:26">
      <c r="A515" s="236"/>
      <c r="B515" s="308">
        <v>15</v>
      </c>
      <c r="C515" s="292">
        <v>65</v>
      </c>
      <c r="D515" s="25">
        <v>258</v>
      </c>
      <c r="E515" s="292">
        <v>65</v>
      </c>
      <c r="F515" s="34">
        <v>9.799999999999919</v>
      </c>
      <c r="G515" s="292">
        <v>45</v>
      </c>
      <c r="H515" s="35">
        <v>8.6999999999999904</v>
      </c>
      <c r="I515" s="292">
        <v>65</v>
      </c>
      <c r="J515" s="292">
        <v>44</v>
      </c>
      <c r="K515" s="305">
        <v>39</v>
      </c>
      <c r="L515" s="305">
        <v>10</v>
      </c>
      <c r="M515" s="305">
        <v>39</v>
      </c>
      <c r="N515" s="308">
        <v>21</v>
      </c>
      <c r="O515" s="292">
        <v>65</v>
      </c>
      <c r="P515" s="25">
        <v>218</v>
      </c>
      <c r="Q515" s="292">
        <v>65</v>
      </c>
      <c r="R515" s="34">
        <v>10.700000000000021</v>
      </c>
      <c r="S515" s="292">
        <v>45</v>
      </c>
      <c r="T515" s="188">
        <v>6.9000000000000101</v>
      </c>
      <c r="U515" s="292">
        <v>65</v>
      </c>
      <c r="V515" s="292">
        <v>5.6999999999999904</v>
      </c>
      <c r="W515" s="292">
        <v>39</v>
      </c>
      <c r="X515" s="292">
        <v>12</v>
      </c>
      <c r="Y515" s="292">
        <v>39</v>
      </c>
      <c r="Z515" s="292">
        <v>24</v>
      </c>
    </row>
    <row r="516" spans="1:26">
      <c r="B516" s="308">
        <v>16</v>
      </c>
      <c r="C516" s="292">
        <v>70</v>
      </c>
      <c r="D516" s="25">
        <v>260</v>
      </c>
      <c r="E516" s="292">
        <v>70</v>
      </c>
      <c r="F516" s="34">
        <v>9.8999999999999133</v>
      </c>
      <c r="G516" s="292">
        <v>40</v>
      </c>
      <c r="H516" s="35">
        <v>8.9999999999999893</v>
      </c>
      <c r="I516" s="292">
        <v>70</v>
      </c>
      <c r="J516" s="292">
        <v>45</v>
      </c>
      <c r="K516" s="305">
        <v>40</v>
      </c>
      <c r="L516" s="305">
        <v>11</v>
      </c>
      <c r="M516" s="305">
        <v>40</v>
      </c>
      <c r="N516" s="308">
        <v>22</v>
      </c>
      <c r="O516" s="292">
        <v>70</v>
      </c>
      <c r="P516" s="25">
        <v>220</v>
      </c>
      <c r="Q516" s="292">
        <v>70</v>
      </c>
      <c r="R516" s="34">
        <v>10.800000000000022</v>
      </c>
      <c r="S516" s="292">
        <v>40</v>
      </c>
      <c r="T516" s="188">
        <v>7.2000000000000099</v>
      </c>
      <c r="U516" s="292">
        <v>70</v>
      </c>
      <c r="V516" s="292">
        <v>5.9999999999999902</v>
      </c>
      <c r="W516" s="292">
        <v>40</v>
      </c>
      <c r="X516" s="292">
        <v>13</v>
      </c>
      <c r="Y516" s="292">
        <v>40</v>
      </c>
      <c r="Z516" s="292">
        <v>25</v>
      </c>
    </row>
    <row r="517" spans="1:26">
      <c r="B517" s="308">
        <v>17</v>
      </c>
      <c r="C517" s="292">
        <v>73</v>
      </c>
      <c r="D517" s="25">
        <v>262</v>
      </c>
      <c r="E517" s="292">
        <v>73</v>
      </c>
      <c r="F517" s="34">
        <v>9.9999999999999076</v>
      </c>
      <c r="G517" s="292">
        <v>35</v>
      </c>
      <c r="H517" s="35">
        <v>9.2999999999999901</v>
      </c>
      <c r="I517" s="292">
        <v>73</v>
      </c>
      <c r="J517" s="292">
        <v>46</v>
      </c>
      <c r="K517" s="305">
        <v>41</v>
      </c>
      <c r="L517" s="305">
        <v>12</v>
      </c>
      <c r="M517" s="305">
        <v>41</v>
      </c>
      <c r="N517" s="308">
        <v>23</v>
      </c>
      <c r="O517" s="292">
        <v>73</v>
      </c>
      <c r="P517" s="25">
        <v>222</v>
      </c>
      <c r="Q517" s="292">
        <v>73</v>
      </c>
      <c r="R517" s="34">
        <v>10.900000000000023</v>
      </c>
      <c r="S517" s="292">
        <v>35</v>
      </c>
      <c r="T517" s="188">
        <v>7.5000000000000098</v>
      </c>
      <c r="U517" s="292">
        <v>73</v>
      </c>
      <c r="V517" s="292">
        <v>6.2999999999999901</v>
      </c>
      <c r="W517" s="292">
        <v>41</v>
      </c>
      <c r="X517" s="292">
        <v>14</v>
      </c>
      <c r="Y517" s="292">
        <v>41</v>
      </c>
      <c r="Z517" s="292">
        <v>26</v>
      </c>
    </row>
    <row r="518" spans="1:26">
      <c r="B518" s="308">
        <v>18</v>
      </c>
      <c r="C518" s="292">
        <v>76</v>
      </c>
      <c r="D518" s="25">
        <v>264</v>
      </c>
      <c r="E518" s="292">
        <v>76</v>
      </c>
      <c r="F518" s="34">
        <v>10.099999999999902</v>
      </c>
      <c r="G518" s="292">
        <v>30</v>
      </c>
      <c r="H518" s="292">
        <v>9.6</v>
      </c>
      <c r="I518" s="292">
        <v>76</v>
      </c>
      <c r="J518" s="292">
        <v>47</v>
      </c>
      <c r="K518" s="305">
        <v>42</v>
      </c>
      <c r="L518" s="305">
        <v>13</v>
      </c>
      <c r="M518" s="305">
        <v>42</v>
      </c>
      <c r="N518" s="308">
        <v>24</v>
      </c>
      <c r="O518" s="292">
        <v>76</v>
      </c>
      <c r="P518" s="25">
        <v>224</v>
      </c>
      <c r="Q518" s="292">
        <v>76</v>
      </c>
      <c r="R518" s="34">
        <v>11.000000000000025</v>
      </c>
      <c r="S518" s="292">
        <v>30</v>
      </c>
      <c r="T518" s="188">
        <v>7.8000000000000096</v>
      </c>
      <c r="U518" s="292">
        <v>76</v>
      </c>
      <c r="V518" s="292">
        <v>6.6</v>
      </c>
      <c r="W518" s="292">
        <v>42</v>
      </c>
      <c r="X518" s="292">
        <v>15</v>
      </c>
      <c r="Y518" s="292">
        <v>42</v>
      </c>
      <c r="Z518" s="292">
        <v>27</v>
      </c>
    </row>
    <row r="519" spans="1:26">
      <c r="B519" s="308">
        <v>19</v>
      </c>
      <c r="C519" s="292">
        <v>79</v>
      </c>
      <c r="D519" s="25">
        <v>266</v>
      </c>
      <c r="E519" s="292">
        <v>79</v>
      </c>
      <c r="F519" s="34">
        <v>10.199999999999896</v>
      </c>
      <c r="G519" s="292">
        <v>25</v>
      </c>
      <c r="H519" s="292">
        <v>9.9</v>
      </c>
      <c r="I519" s="292">
        <v>79</v>
      </c>
      <c r="J519" s="292">
        <v>48</v>
      </c>
      <c r="K519" s="305">
        <v>43</v>
      </c>
      <c r="L519" s="305">
        <v>14</v>
      </c>
      <c r="M519" s="305">
        <v>43</v>
      </c>
      <c r="N519" s="308">
        <v>25</v>
      </c>
      <c r="O519" s="292">
        <v>79</v>
      </c>
      <c r="P519" s="25">
        <v>226</v>
      </c>
      <c r="Q519" s="292">
        <v>79</v>
      </c>
      <c r="R519" s="34">
        <v>11.100000000000026</v>
      </c>
      <c r="S519" s="292">
        <v>25</v>
      </c>
      <c r="T519" s="188">
        <v>8.1000000000000103</v>
      </c>
      <c r="U519" s="292">
        <v>79</v>
      </c>
      <c r="V519" s="292">
        <v>6.9</v>
      </c>
      <c r="W519" s="292">
        <v>43</v>
      </c>
      <c r="X519" s="292">
        <v>16</v>
      </c>
      <c r="Y519" s="292">
        <v>43</v>
      </c>
      <c r="Z519" s="292">
        <v>28</v>
      </c>
    </row>
    <row r="520" spans="1:26">
      <c r="B520" s="308">
        <v>20</v>
      </c>
      <c r="C520" s="292">
        <v>82</v>
      </c>
      <c r="D520" s="25">
        <v>268</v>
      </c>
      <c r="E520" s="292">
        <v>82</v>
      </c>
      <c r="F520" s="34">
        <v>10.299999999999891</v>
      </c>
      <c r="G520" s="292">
        <v>20</v>
      </c>
      <c r="H520" s="292">
        <v>10.199999999999999</v>
      </c>
      <c r="I520" s="292">
        <v>82</v>
      </c>
      <c r="J520" s="292">
        <v>49</v>
      </c>
      <c r="K520" s="305">
        <v>44</v>
      </c>
      <c r="L520" s="305">
        <v>15</v>
      </c>
      <c r="M520" s="305">
        <v>44</v>
      </c>
      <c r="N520" s="308">
        <v>26</v>
      </c>
      <c r="O520" s="292">
        <v>82</v>
      </c>
      <c r="P520" s="25">
        <v>228</v>
      </c>
      <c r="Q520" s="292">
        <v>82</v>
      </c>
      <c r="R520" s="34">
        <v>11.200000000000028</v>
      </c>
      <c r="S520" s="292">
        <v>20</v>
      </c>
      <c r="T520" s="188">
        <v>8.4000000000000092</v>
      </c>
      <c r="U520" s="292">
        <v>82</v>
      </c>
      <c r="V520" s="292">
        <v>7.2</v>
      </c>
      <c r="W520" s="292">
        <v>44</v>
      </c>
      <c r="X520" s="292">
        <v>17</v>
      </c>
      <c r="Y520" s="292">
        <v>44</v>
      </c>
      <c r="Z520" s="292">
        <v>29</v>
      </c>
    </row>
    <row r="521" spans="1:26">
      <c r="B521" s="308">
        <v>21</v>
      </c>
      <c r="C521" s="292">
        <v>85</v>
      </c>
      <c r="D521" s="25">
        <v>270</v>
      </c>
      <c r="E521" s="292">
        <v>85</v>
      </c>
      <c r="F521" s="34">
        <v>10.399999999999885</v>
      </c>
      <c r="G521" s="292">
        <v>15</v>
      </c>
      <c r="H521" s="292">
        <v>10.5</v>
      </c>
      <c r="I521" s="292">
        <v>85</v>
      </c>
      <c r="J521" s="292">
        <v>50</v>
      </c>
      <c r="K521" s="305">
        <v>45</v>
      </c>
      <c r="L521" s="305">
        <v>16</v>
      </c>
      <c r="M521" s="305">
        <v>45</v>
      </c>
      <c r="N521" s="308">
        <v>27</v>
      </c>
      <c r="O521" s="292">
        <v>85</v>
      </c>
      <c r="P521" s="25">
        <v>230</v>
      </c>
      <c r="Q521" s="292">
        <v>85</v>
      </c>
      <c r="R521" s="34">
        <v>11.300000000000029</v>
      </c>
      <c r="S521" s="292">
        <v>15</v>
      </c>
      <c r="T521" s="188">
        <v>8.6999999999999993</v>
      </c>
      <c r="U521" s="292">
        <v>85</v>
      </c>
      <c r="V521" s="292">
        <v>7.5</v>
      </c>
      <c r="W521" s="292">
        <v>45</v>
      </c>
      <c r="X521" s="292">
        <v>18</v>
      </c>
      <c r="Y521" s="292">
        <v>45</v>
      </c>
      <c r="Z521" s="292">
        <v>30</v>
      </c>
    </row>
    <row r="522" spans="1:26">
      <c r="B522" s="308">
        <v>22</v>
      </c>
      <c r="C522" s="292">
        <v>88</v>
      </c>
      <c r="D522" s="25">
        <v>272</v>
      </c>
      <c r="E522" s="292">
        <v>88</v>
      </c>
      <c r="F522" s="34">
        <v>10.499999999999879</v>
      </c>
      <c r="G522" s="292">
        <v>10</v>
      </c>
      <c r="H522" s="292">
        <v>10.8</v>
      </c>
      <c r="I522" s="292">
        <v>88</v>
      </c>
      <c r="J522" s="292">
        <v>51</v>
      </c>
      <c r="K522" s="305">
        <v>46</v>
      </c>
      <c r="L522" s="305">
        <v>17</v>
      </c>
      <c r="M522" s="305">
        <v>46</v>
      </c>
      <c r="N522" s="308">
        <v>28</v>
      </c>
      <c r="O522" s="292">
        <v>88</v>
      </c>
      <c r="P522" s="25">
        <v>232</v>
      </c>
      <c r="Q522" s="292">
        <v>88</v>
      </c>
      <c r="R522" s="34">
        <v>11.400000000000031</v>
      </c>
      <c r="S522" s="292">
        <v>10</v>
      </c>
      <c r="T522" s="188">
        <v>9</v>
      </c>
      <c r="U522" s="292">
        <v>88</v>
      </c>
      <c r="V522" s="292">
        <v>7.8</v>
      </c>
      <c r="W522" s="292">
        <v>46</v>
      </c>
      <c r="X522" s="292">
        <v>19</v>
      </c>
      <c r="Y522" s="292">
        <v>46</v>
      </c>
      <c r="Z522" s="292">
        <v>31</v>
      </c>
    </row>
    <row r="523" spans="1:26">
      <c r="B523" s="308">
        <v>23</v>
      </c>
      <c r="C523" s="292">
        <v>91</v>
      </c>
      <c r="D523" s="25">
        <v>274</v>
      </c>
      <c r="E523" s="292">
        <v>91</v>
      </c>
      <c r="F523" s="34">
        <v>10.599999999999874</v>
      </c>
      <c r="G523" s="292">
        <v>5</v>
      </c>
      <c r="H523" s="292">
        <v>11.1</v>
      </c>
      <c r="I523" s="292">
        <v>91</v>
      </c>
      <c r="J523" s="292">
        <v>52</v>
      </c>
      <c r="K523" s="305">
        <v>47</v>
      </c>
      <c r="L523" s="305">
        <v>18</v>
      </c>
      <c r="M523" s="305">
        <v>47</v>
      </c>
      <c r="N523" s="308">
        <v>29</v>
      </c>
      <c r="O523" s="292">
        <v>91</v>
      </c>
      <c r="P523" s="25">
        <v>234</v>
      </c>
      <c r="Q523" s="292">
        <v>91</v>
      </c>
      <c r="R523" s="34">
        <v>11.500000000000032</v>
      </c>
      <c r="S523" s="292">
        <v>5</v>
      </c>
      <c r="T523" s="308">
        <v>9.3000000000000007</v>
      </c>
      <c r="U523" s="292">
        <v>91</v>
      </c>
      <c r="V523" s="292">
        <v>8.1</v>
      </c>
      <c r="W523" s="292">
        <v>47</v>
      </c>
      <c r="X523" s="292">
        <v>20</v>
      </c>
      <c r="Y523" s="292">
        <v>47</v>
      </c>
      <c r="Z523" s="292">
        <v>32</v>
      </c>
    </row>
    <row r="524" spans="1:26">
      <c r="B524" s="308">
        <v>24</v>
      </c>
      <c r="C524" s="292">
        <v>94</v>
      </c>
      <c r="D524" s="25">
        <v>276</v>
      </c>
      <c r="E524" s="292">
        <v>94</v>
      </c>
      <c r="F524" s="34">
        <v>10.699999999999868</v>
      </c>
      <c r="G524" s="292">
        <v>0</v>
      </c>
      <c r="H524" s="292">
        <v>11.4</v>
      </c>
      <c r="I524" s="292">
        <v>94</v>
      </c>
      <c r="J524" s="292">
        <v>53</v>
      </c>
      <c r="K524" s="305">
        <v>48</v>
      </c>
      <c r="L524" s="305">
        <v>19</v>
      </c>
      <c r="M524" s="305">
        <v>48</v>
      </c>
      <c r="N524" s="308">
        <v>30</v>
      </c>
      <c r="O524" s="292">
        <v>94</v>
      </c>
      <c r="P524" s="25">
        <v>236</v>
      </c>
      <c r="Q524" s="292">
        <v>94</v>
      </c>
      <c r="R524" s="34">
        <v>11.600000000000033</v>
      </c>
      <c r="S524" s="292">
        <v>0</v>
      </c>
      <c r="T524" s="308">
        <v>9.6</v>
      </c>
      <c r="U524" s="292">
        <v>94</v>
      </c>
      <c r="V524" s="292">
        <v>8.4</v>
      </c>
      <c r="W524" s="292">
        <v>48</v>
      </c>
      <c r="X524" s="292">
        <v>21</v>
      </c>
      <c r="Y524" s="292">
        <v>48</v>
      </c>
      <c r="Z524" s="292">
        <v>33</v>
      </c>
    </row>
    <row r="525" spans="1:26">
      <c r="B525" s="308">
        <v>25</v>
      </c>
      <c r="C525" s="25">
        <v>97</v>
      </c>
      <c r="D525" s="25">
        <v>278</v>
      </c>
      <c r="E525" s="292">
        <v>97</v>
      </c>
      <c r="F525" s="34"/>
      <c r="G525" s="292"/>
      <c r="H525" s="25">
        <v>11.7</v>
      </c>
      <c r="I525" s="292">
        <v>97</v>
      </c>
      <c r="J525" s="292">
        <v>54</v>
      </c>
      <c r="K525" s="305">
        <v>49</v>
      </c>
      <c r="L525" s="305">
        <v>20</v>
      </c>
      <c r="M525" s="305">
        <v>49</v>
      </c>
      <c r="N525" s="308">
        <v>31</v>
      </c>
      <c r="O525" s="292">
        <v>97</v>
      </c>
      <c r="P525" s="25">
        <v>238</v>
      </c>
      <c r="Q525" s="292">
        <v>97</v>
      </c>
      <c r="R525" s="34"/>
      <c r="T525" s="308">
        <v>9.9</v>
      </c>
      <c r="U525" s="292">
        <v>97</v>
      </c>
      <c r="V525" s="292">
        <v>8.6999999999999993</v>
      </c>
      <c r="W525" s="292">
        <v>49</v>
      </c>
      <c r="X525" s="292">
        <v>22</v>
      </c>
      <c r="Y525" s="292">
        <v>49</v>
      </c>
      <c r="Z525" s="292">
        <v>34</v>
      </c>
    </row>
    <row r="526" spans="1:26">
      <c r="B526" s="308">
        <v>26</v>
      </c>
      <c r="C526" s="25">
        <v>100</v>
      </c>
      <c r="D526" s="25">
        <v>280</v>
      </c>
      <c r="E526" s="292">
        <v>100</v>
      </c>
      <c r="F526" s="34"/>
      <c r="H526" s="25">
        <v>12</v>
      </c>
      <c r="I526" s="292">
        <v>100</v>
      </c>
      <c r="J526" s="292">
        <v>55</v>
      </c>
      <c r="K526" s="305">
        <v>50</v>
      </c>
      <c r="L526" s="305">
        <v>21</v>
      </c>
      <c r="M526" s="305">
        <v>50</v>
      </c>
      <c r="N526" s="308">
        <v>32</v>
      </c>
      <c r="O526" s="292">
        <v>100</v>
      </c>
      <c r="P526" s="25">
        <v>240</v>
      </c>
      <c r="Q526" s="292">
        <v>100</v>
      </c>
      <c r="R526" s="34"/>
      <c r="T526" s="308">
        <v>10.199999999999999</v>
      </c>
      <c r="U526" s="292">
        <v>100</v>
      </c>
      <c r="V526" s="292">
        <v>9</v>
      </c>
      <c r="W526" s="292">
        <v>50</v>
      </c>
      <c r="X526" s="292">
        <v>23</v>
      </c>
      <c r="Y526" s="292">
        <v>50</v>
      </c>
      <c r="Z526" s="292">
        <v>35</v>
      </c>
    </row>
    <row r="527" spans="1:26">
      <c r="F527" s="34"/>
      <c r="R527" s="34"/>
    </row>
    <row r="528" spans="1:26">
      <c r="B528" s="534" t="s">
        <v>486</v>
      </c>
      <c r="C528" s="534"/>
      <c r="D528" s="534"/>
      <c r="E528" s="534"/>
      <c r="F528" s="534"/>
      <c r="G528" s="534"/>
      <c r="H528" s="534"/>
      <c r="I528" s="534"/>
      <c r="J528" s="534"/>
      <c r="K528" s="534"/>
      <c r="L528" s="32"/>
      <c r="M528" s="32"/>
      <c r="N528" s="534" t="s">
        <v>435</v>
      </c>
      <c r="O528" s="534"/>
      <c r="P528" s="534"/>
      <c r="Q528" s="534"/>
      <c r="R528" s="534"/>
      <c r="S528" s="534"/>
      <c r="T528" s="534"/>
      <c r="U528" s="534"/>
      <c r="V528" s="534"/>
      <c r="W528" s="534"/>
    </row>
    <row r="529" spans="1:23">
      <c r="A529" s="25" t="s">
        <v>396</v>
      </c>
      <c r="B529" s="25" t="s">
        <v>515</v>
      </c>
      <c r="C529" s="25" t="s">
        <v>471</v>
      </c>
      <c r="D529" s="25" t="s">
        <v>448</v>
      </c>
      <c r="E529" s="25" t="s">
        <v>471</v>
      </c>
      <c r="F529" s="25" t="s">
        <v>457</v>
      </c>
      <c r="G529" s="25" t="s">
        <v>471</v>
      </c>
      <c r="H529" s="375" t="s">
        <v>452</v>
      </c>
      <c r="I529" s="25" t="s">
        <v>471</v>
      </c>
      <c r="J529" s="292" t="s">
        <v>458</v>
      </c>
      <c r="K529" s="292" t="s">
        <v>471</v>
      </c>
      <c r="N529" s="25" t="s">
        <v>515</v>
      </c>
      <c r="O529" s="25" t="s">
        <v>471</v>
      </c>
      <c r="P529" s="25" t="s">
        <v>448</v>
      </c>
      <c r="Q529" s="25" t="s">
        <v>471</v>
      </c>
      <c r="R529" s="25" t="s">
        <v>457</v>
      </c>
      <c r="S529" s="25" t="s">
        <v>471</v>
      </c>
      <c r="T529" s="25" t="s">
        <v>483</v>
      </c>
      <c r="U529" s="25" t="s">
        <v>471</v>
      </c>
      <c r="V529" s="292" t="s">
        <v>483</v>
      </c>
      <c r="W529" s="292" t="s">
        <v>471</v>
      </c>
    </row>
    <row r="530" spans="1:23">
      <c r="B530" s="25">
        <v>0</v>
      </c>
      <c r="C530" s="25">
        <v>0</v>
      </c>
      <c r="D530" s="25">
        <v>0</v>
      </c>
      <c r="E530" s="25">
        <v>0</v>
      </c>
      <c r="F530" s="35">
        <v>0</v>
      </c>
      <c r="G530" s="25">
        <v>100</v>
      </c>
      <c r="H530" s="292">
        <v>0</v>
      </c>
      <c r="I530" s="25">
        <v>0</v>
      </c>
      <c r="J530" s="292">
        <v>0</v>
      </c>
      <c r="K530" s="292">
        <v>0</v>
      </c>
      <c r="N530" s="25">
        <v>0</v>
      </c>
      <c r="O530" s="25">
        <v>0</v>
      </c>
      <c r="P530" s="25">
        <v>0</v>
      </c>
      <c r="Q530" s="25">
        <v>0</v>
      </c>
      <c r="R530" s="35">
        <v>0</v>
      </c>
      <c r="S530" s="25">
        <v>100</v>
      </c>
      <c r="T530" s="6">
        <v>0</v>
      </c>
      <c r="U530" s="25">
        <v>0</v>
      </c>
      <c r="V530" s="292">
        <v>0</v>
      </c>
      <c r="W530" s="292">
        <v>0</v>
      </c>
    </row>
    <row r="531" spans="1:23">
      <c r="A531" s="375" t="s">
        <v>608</v>
      </c>
      <c r="B531" s="25">
        <v>5</v>
      </c>
      <c r="C531" s="25">
        <v>5</v>
      </c>
      <c r="D531" s="25">
        <v>234</v>
      </c>
      <c r="E531" s="25">
        <v>5</v>
      </c>
      <c r="F531" s="35">
        <v>8.4</v>
      </c>
      <c r="G531" s="25">
        <v>97</v>
      </c>
      <c r="H531" s="308">
        <v>5</v>
      </c>
      <c r="I531" s="25">
        <v>5</v>
      </c>
      <c r="J531" s="292">
        <v>1</v>
      </c>
      <c r="K531" s="292">
        <v>5</v>
      </c>
      <c r="N531" s="25">
        <v>9</v>
      </c>
      <c r="O531" s="25">
        <v>5</v>
      </c>
      <c r="P531" s="25">
        <v>187</v>
      </c>
      <c r="Q531" s="25">
        <v>5</v>
      </c>
      <c r="R531" s="35">
        <v>9.5</v>
      </c>
      <c r="S531" s="25">
        <v>97</v>
      </c>
      <c r="T531" s="308">
        <v>2</v>
      </c>
      <c r="U531" s="25">
        <v>5</v>
      </c>
      <c r="V531" s="292">
        <v>1</v>
      </c>
      <c r="W531" s="292">
        <v>5</v>
      </c>
    </row>
    <row r="532" spans="1:23">
      <c r="A532" s="375" t="s">
        <v>12</v>
      </c>
      <c r="B532" s="25">
        <v>6</v>
      </c>
      <c r="C532" s="25">
        <v>10</v>
      </c>
      <c r="D532" s="25">
        <v>236</v>
      </c>
      <c r="E532" s="25">
        <v>10</v>
      </c>
      <c r="F532" s="35">
        <v>8.5</v>
      </c>
      <c r="G532" s="25">
        <v>94</v>
      </c>
      <c r="H532" s="292">
        <v>5.3999999999999897</v>
      </c>
      <c r="I532" s="25">
        <v>10</v>
      </c>
      <c r="J532" s="292">
        <v>2</v>
      </c>
      <c r="K532" s="292">
        <v>10</v>
      </c>
      <c r="N532" s="25">
        <v>10</v>
      </c>
      <c r="O532" s="25">
        <v>10</v>
      </c>
      <c r="P532" s="6">
        <v>189</v>
      </c>
      <c r="Q532" s="25">
        <v>10</v>
      </c>
      <c r="R532" s="35">
        <v>9.6</v>
      </c>
      <c r="S532" s="25">
        <v>94</v>
      </c>
      <c r="T532" s="292">
        <v>2.3999999999999901</v>
      </c>
      <c r="U532" s="25">
        <v>10</v>
      </c>
      <c r="V532" s="292">
        <v>2</v>
      </c>
      <c r="W532" s="292">
        <v>10</v>
      </c>
    </row>
    <row r="533" spans="1:23">
      <c r="B533" s="25">
        <v>7</v>
      </c>
      <c r="C533" s="25">
        <v>15</v>
      </c>
      <c r="D533" s="25">
        <v>238</v>
      </c>
      <c r="E533" s="25">
        <v>15</v>
      </c>
      <c r="F533" s="35">
        <v>8.6</v>
      </c>
      <c r="G533" s="25">
        <v>91</v>
      </c>
      <c r="H533" s="292">
        <v>5.6999999999999904</v>
      </c>
      <c r="I533" s="25">
        <v>15</v>
      </c>
      <c r="J533" s="292"/>
      <c r="K533" s="292">
        <v>15</v>
      </c>
      <c r="N533" s="25">
        <v>11</v>
      </c>
      <c r="O533" s="25">
        <v>15</v>
      </c>
      <c r="P533" s="6">
        <v>191</v>
      </c>
      <c r="Q533" s="25">
        <v>15</v>
      </c>
      <c r="R533" s="35">
        <v>9.6999999999999993</v>
      </c>
      <c r="S533" s="25">
        <v>91</v>
      </c>
      <c r="T533" s="292">
        <v>2.69999999999999</v>
      </c>
      <c r="U533" s="25">
        <v>15</v>
      </c>
      <c r="V533" s="292"/>
      <c r="W533" s="292">
        <v>15</v>
      </c>
    </row>
    <row r="534" spans="1:23">
      <c r="B534" s="25">
        <v>8</v>
      </c>
      <c r="C534" s="25">
        <v>20</v>
      </c>
      <c r="D534" s="25">
        <v>240</v>
      </c>
      <c r="E534" s="25">
        <v>20</v>
      </c>
      <c r="F534" s="35">
        <v>8.6999999999999993</v>
      </c>
      <c r="G534" s="25">
        <v>88</v>
      </c>
      <c r="H534" s="292">
        <v>5.9999999999999902</v>
      </c>
      <c r="I534" s="25">
        <v>20</v>
      </c>
      <c r="J534" s="292">
        <v>3</v>
      </c>
      <c r="K534" s="292">
        <v>20</v>
      </c>
      <c r="N534" s="25">
        <v>12</v>
      </c>
      <c r="O534" s="25">
        <v>20</v>
      </c>
      <c r="P534" s="6">
        <v>193</v>
      </c>
      <c r="Q534" s="25">
        <v>20</v>
      </c>
      <c r="R534" s="35">
        <v>9.8000000000000007</v>
      </c>
      <c r="S534" s="25">
        <v>88</v>
      </c>
      <c r="T534" s="292">
        <v>2.9999999999999898</v>
      </c>
      <c r="U534" s="25">
        <v>20</v>
      </c>
      <c r="V534" s="292">
        <v>3</v>
      </c>
      <c r="W534" s="292">
        <v>20</v>
      </c>
    </row>
    <row r="535" spans="1:23">
      <c r="B535" s="25">
        <v>9</v>
      </c>
      <c r="C535" s="25">
        <v>25</v>
      </c>
      <c r="D535" s="25">
        <v>242</v>
      </c>
      <c r="E535" s="25">
        <v>25</v>
      </c>
      <c r="F535" s="35">
        <v>8.8000000000000007</v>
      </c>
      <c r="G535" s="25">
        <v>85</v>
      </c>
      <c r="H535" s="292">
        <v>6.2999999999999901</v>
      </c>
      <c r="I535" s="25">
        <v>25</v>
      </c>
      <c r="J535" s="292"/>
      <c r="K535" s="292">
        <v>25</v>
      </c>
      <c r="N535" s="25">
        <v>13</v>
      </c>
      <c r="O535" s="25">
        <v>25</v>
      </c>
      <c r="P535" s="6">
        <v>195</v>
      </c>
      <c r="Q535" s="25">
        <v>25</v>
      </c>
      <c r="R535" s="35">
        <v>9.9</v>
      </c>
      <c r="S535" s="25">
        <v>85</v>
      </c>
      <c r="T535" s="292">
        <v>3.2999999999999901</v>
      </c>
      <c r="U535" s="25">
        <v>25</v>
      </c>
      <c r="V535" s="292"/>
      <c r="W535" s="292">
        <v>25</v>
      </c>
    </row>
    <row r="536" spans="1:23">
      <c r="B536" s="25">
        <v>10</v>
      </c>
      <c r="C536" s="25">
        <v>30</v>
      </c>
      <c r="D536" s="25">
        <v>244</v>
      </c>
      <c r="E536" s="25">
        <v>30</v>
      </c>
      <c r="F536" s="35">
        <v>8.9</v>
      </c>
      <c r="G536" s="25">
        <v>82</v>
      </c>
      <c r="H536" s="292">
        <v>6.5999999999999899</v>
      </c>
      <c r="I536" s="25">
        <v>30</v>
      </c>
      <c r="J536" s="292">
        <v>4</v>
      </c>
      <c r="K536" s="292">
        <v>30</v>
      </c>
      <c r="N536" s="25">
        <v>14</v>
      </c>
      <c r="O536" s="25">
        <v>30</v>
      </c>
      <c r="P536" s="6">
        <v>197</v>
      </c>
      <c r="Q536" s="25">
        <v>30</v>
      </c>
      <c r="R536" s="35">
        <v>10</v>
      </c>
      <c r="S536" s="25">
        <v>82</v>
      </c>
      <c r="T536" s="292">
        <v>3.5999999999999899</v>
      </c>
      <c r="U536" s="25">
        <v>30</v>
      </c>
      <c r="V536" s="292">
        <v>4</v>
      </c>
      <c r="W536" s="292">
        <v>30</v>
      </c>
    </row>
    <row r="537" spans="1:23">
      <c r="B537" s="25">
        <v>11</v>
      </c>
      <c r="C537" s="25">
        <v>35</v>
      </c>
      <c r="D537" s="25">
        <v>246</v>
      </c>
      <c r="E537" s="25">
        <v>35</v>
      </c>
      <c r="F537" s="35">
        <v>9</v>
      </c>
      <c r="G537" s="25">
        <v>79</v>
      </c>
      <c r="H537" s="292">
        <v>6.8999999999999897</v>
      </c>
      <c r="I537" s="25">
        <v>35</v>
      </c>
      <c r="J537" s="292">
        <v>5</v>
      </c>
      <c r="K537" s="292">
        <v>35</v>
      </c>
      <c r="N537" s="25">
        <v>15</v>
      </c>
      <c r="O537" s="25">
        <v>35</v>
      </c>
      <c r="P537" s="6">
        <v>199</v>
      </c>
      <c r="Q537" s="25">
        <v>35</v>
      </c>
      <c r="R537" s="35">
        <v>10.1</v>
      </c>
      <c r="S537" s="25">
        <v>79</v>
      </c>
      <c r="T537" s="292">
        <v>3.8999999999999901</v>
      </c>
      <c r="U537" s="25">
        <v>35</v>
      </c>
      <c r="V537" s="292">
        <v>5</v>
      </c>
      <c r="W537" s="292">
        <v>35</v>
      </c>
    </row>
    <row r="538" spans="1:23">
      <c r="B538" s="25">
        <v>12</v>
      </c>
      <c r="C538" s="25">
        <v>40</v>
      </c>
      <c r="D538" s="25">
        <v>248</v>
      </c>
      <c r="E538" s="25">
        <v>40</v>
      </c>
      <c r="F538" s="35">
        <v>9.1</v>
      </c>
      <c r="G538" s="25">
        <v>76</v>
      </c>
      <c r="H538" s="292">
        <v>7.1999999999999904</v>
      </c>
      <c r="I538" s="25">
        <v>40</v>
      </c>
      <c r="J538" s="292">
        <v>6</v>
      </c>
      <c r="K538" s="292">
        <v>40</v>
      </c>
      <c r="N538" s="25">
        <v>16</v>
      </c>
      <c r="O538" s="25">
        <v>40</v>
      </c>
      <c r="P538" s="6">
        <v>201</v>
      </c>
      <c r="Q538" s="25">
        <v>40</v>
      </c>
      <c r="R538" s="35">
        <v>10.199999999999999</v>
      </c>
      <c r="S538" s="25">
        <v>76</v>
      </c>
      <c r="T538" s="292">
        <v>4.1999999999999904</v>
      </c>
      <c r="U538" s="25">
        <v>40</v>
      </c>
      <c r="V538" s="292">
        <v>6</v>
      </c>
      <c r="W538" s="292">
        <v>40</v>
      </c>
    </row>
    <row r="539" spans="1:23">
      <c r="B539" s="25">
        <v>13</v>
      </c>
      <c r="C539" s="25">
        <v>45</v>
      </c>
      <c r="D539" s="25">
        <v>250</v>
      </c>
      <c r="E539" s="25">
        <v>45</v>
      </c>
      <c r="F539" s="35">
        <v>9.1999999999999993</v>
      </c>
      <c r="G539" s="25">
        <v>73</v>
      </c>
      <c r="H539" s="292">
        <v>7.4999999999999902</v>
      </c>
      <c r="I539" s="25">
        <v>45</v>
      </c>
      <c r="J539" s="292">
        <v>7</v>
      </c>
      <c r="K539" s="292">
        <v>45</v>
      </c>
      <c r="N539" s="25">
        <v>17</v>
      </c>
      <c r="O539" s="25">
        <v>45</v>
      </c>
      <c r="P539" s="6">
        <v>203</v>
      </c>
      <c r="Q539" s="25">
        <v>45</v>
      </c>
      <c r="R539" s="35">
        <v>10.3</v>
      </c>
      <c r="S539" s="25">
        <v>73</v>
      </c>
      <c r="T539" s="292">
        <v>4.4999999999999902</v>
      </c>
      <c r="U539" s="25">
        <v>45</v>
      </c>
      <c r="V539" s="292">
        <v>7</v>
      </c>
      <c r="W539" s="292">
        <v>45</v>
      </c>
    </row>
    <row r="540" spans="1:23">
      <c r="B540" s="25">
        <v>14</v>
      </c>
      <c r="C540" s="25">
        <v>50</v>
      </c>
      <c r="D540" s="25">
        <v>252</v>
      </c>
      <c r="E540" s="25">
        <v>50</v>
      </c>
      <c r="F540" s="35">
        <v>9.3000000000000007</v>
      </c>
      <c r="G540" s="25">
        <v>70</v>
      </c>
      <c r="H540" s="292">
        <v>7.7999999999999901</v>
      </c>
      <c r="I540" s="25">
        <v>50</v>
      </c>
      <c r="J540" s="292">
        <v>8</v>
      </c>
      <c r="K540" s="292">
        <v>50</v>
      </c>
      <c r="N540" s="25">
        <v>18</v>
      </c>
      <c r="O540" s="25">
        <v>50</v>
      </c>
      <c r="P540" s="6">
        <v>205</v>
      </c>
      <c r="Q540" s="25">
        <v>50</v>
      </c>
      <c r="R540" s="35">
        <v>10.4</v>
      </c>
      <c r="S540" s="25">
        <v>70</v>
      </c>
      <c r="T540" s="292">
        <v>4.7999999999999901</v>
      </c>
      <c r="U540" s="25">
        <v>50</v>
      </c>
      <c r="V540" s="292">
        <v>8</v>
      </c>
      <c r="W540" s="292">
        <v>50</v>
      </c>
    </row>
    <row r="541" spans="1:23">
      <c r="B541" s="25">
        <v>15</v>
      </c>
      <c r="C541" s="25">
        <v>55</v>
      </c>
      <c r="D541" s="25">
        <v>254</v>
      </c>
      <c r="E541" s="25">
        <v>55</v>
      </c>
      <c r="F541" s="35">
        <v>9.4</v>
      </c>
      <c r="G541" s="25">
        <v>65</v>
      </c>
      <c r="H541" s="292">
        <v>8.0999999999999908</v>
      </c>
      <c r="I541" s="25">
        <v>55</v>
      </c>
      <c r="J541" s="292">
        <v>9</v>
      </c>
      <c r="K541" s="292">
        <v>55</v>
      </c>
      <c r="N541" s="25">
        <v>19</v>
      </c>
      <c r="O541" s="25">
        <v>55</v>
      </c>
      <c r="P541" s="6">
        <v>207</v>
      </c>
      <c r="Q541" s="25">
        <v>55</v>
      </c>
      <c r="R541" s="35">
        <v>10.5</v>
      </c>
      <c r="S541" s="25">
        <v>65</v>
      </c>
      <c r="T541" s="292">
        <v>5.0999999999999899</v>
      </c>
      <c r="U541" s="25">
        <v>55</v>
      </c>
      <c r="V541" s="292">
        <v>9</v>
      </c>
      <c r="W541" s="292">
        <v>55</v>
      </c>
    </row>
    <row r="542" spans="1:23">
      <c r="B542" s="25">
        <v>16</v>
      </c>
      <c r="C542" s="25">
        <v>60</v>
      </c>
      <c r="D542" s="25">
        <v>256</v>
      </c>
      <c r="E542" s="25">
        <v>60</v>
      </c>
      <c r="F542" s="35">
        <v>9.5</v>
      </c>
      <c r="G542" s="25">
        <v>60</v>
      </c>
      <c r="H542" s="292">
        <v>8.3999999999999897</v>
      </c>
      <c r="I542" s="25">
        <v>60</v>
      </c>
      <c r="J542" s="292">
        <v>10</v>
      </c>
      <c r="K542" s="292">
        <v>60</v>
      </c>
      <c r="N542" s="25">
        <v>20</v>
      </c>
      <c r="O542" s="25">
        <v>60</v>
      </c>
      <c r="P542" s="6">
        <v>209</v>
      </c>
      <c r="Q542" s="25">
        <v>60</v>
      </c>
      <c r="R542" s="35">
        <v>10.6</v>
      </c>
      <c r="S542" s="25">
        <v>60</v>
      </c>
      <c r="T542" s="292">
        <v>5.3999999999999897</v>
      </c>
      <c r="U542" s="25">
        <v>60</v>
      </c>
      <c r="V542" s="292">
        <v>10</v>
      </c>
      <c r="W542" s="292">
        <v>60</v>
      </c>
    </row>
    <row r="543" spans="1:23">
      <c r="B543" s="25">
        <v>17</v>
      </c>
      <c r="C543" s="25">
        <v>65</v>
      </c>
      <c r="D543" s="25">
        <v>258</v>
      </c>
      <c r="E543" s="25">
        <v>65</v>
      </c>
      <c r="F543" s="35">
        <v>9.6</v>
      </c>
      <c r="G543" s="25">
        <v>55</v>
      </c>
      <c r="H543" s="292">
        <v>8.6999999999999904</v>
      </c>
      <c r="I543" s="25">
        <v>65</v>
      </c>
      <c r="J543" s="292">
        <v>11</v>
      </c>
      <c r="K543" s="292">
        <v>65</v>
      </c>
      <c r="N543" s="25">
        <v>21</v>
      </c>
      <c r="O543" s="25">
        <v>65</v>
      </c>
      <c r="P543" s="6">
        <v>211</v>
      </c>
      <c r="Q543" s="25">
        <v>65</v>
      </c>
      <c r="R543" s="35">
        <v>10.7</v>
      </c>
      <c r="S543" s="25">
        <v>55</v>
      </c>
      <c r="T543" s="292">
        <v>5.6999999999999904</v>
      </c>
      <c r="U543" s="25">
        <v>65</v>
      </c>
      <c r="V543" s="292">
        <v>11</v>
      </c>
      <c r="W543" s="292">
        <v>65</v>
      </c>
    </row>
    <row r="544" spans="1:23">
      <c r="B544" s="25">
        <v>18</v>
      </c>
      <c r="C544" s="25">
        <v>70</v>
      </c>
      <c r="D544" s="25">
        <v>260</v>
      </c>
      <c r="E544" s="25">
        <v>70</v>
      </c>
      <c r="F544" s="35">
        <v>9.6999999999999993</v>
      </c>
      <c r="G544" s="25">
        <v>50</v>
      </c>
      <c r="H544" s="292">
        <v>8.9999999999999893</v>
      </c>
      <c r="I544" s="25">
        <v>70</v>
      </c>
      <c r="J544" s="292">
        <v>12</v>
      </c>
      <c r="K544" s="292">
        <v>70</v>
      </c>
      <c r="N544" s="25">
        <v>22</v>
      </c>
      <c r="O544" s="25">
        <v>70</v>
      </c>
      <c r="P544" s="6">
        <v>213</v>
      </c>
      <c r="Q544" s="25">
        <v>70</v>
      </c>
      <c r="R544" s="35">
        <v>10.8</v>
      </c>
      <c r="S544" s="25">
        <v>50</v>
      </c>
      <c r="T544" s="292">
        <v>5.9999999999999902</v>
      </c>
      <c r="U544" s="25">
        <v>70</v>
      </c>
      <c r="V544" s="292">
        <v>12</v>
      </c>
      <c r="W544" s="292">
        <v>70</v>
      </c>
    </row>
    <row r="545" spans="1:23">
      <c r="B545" s="25">
        <v>19</v>
      </c>
      <c r="C545" s="25">
        <v>73</v>
      </c>
      <c r="D545" s="25">
        <v>262</v>
      </c>
      <c r="E545" s="25">
        <v>73</v>
      </c>
      <c r="F545" s="35">
        <v>9.8000000000000007</v>
      </c>
      <c r="G545" s="25">
        <v>45</v>
      </c>
      <c r="H545" s="292">
        <v>9.2999999999999901</v>
      </c>
      <c r="I545" s="25">
        <v>73</v>
      </c>
      <c r="J545" s="292">
        <v>13</v>
      </c>
      <c r="K545" s="292">
        <v>73</v>
      </c>
      <c r="N545" s="25">
        <v>23</v>
      </c>
      <c r="O545" s="25">
        <v>73</v>
      </c>
      <c r="P545" s="6">
        <v>215</v>
      </c>
      <c r="Q545" s="25">
        <v>73</v>
      </c>
      <c r="R545" s="35">
        <v>10.9</v>
      </c>
      <c r="S545" s="25">
        <v>45</v>
      </c>
      <c r="T545" s="292">
        <v>6.2999999999999901</v>
      </c>
      <c r="U545" s="25">
        <v>73</v>
      </c>
      <c r="V545" s="292">
        <v>13</v>
      </c>
      <c r="W545" s="292">
        <v>73</v>
      </c>
    </row>
    <row r="546" spans="1:23">
      <c r="B546" s="25">
        <v>20</v>
      </c>
      <c r="C546" s="25">
        <v>76</v>
      </c>
      <c r="D546" s="25">
        <v>264</v>
      </c>
      <c r="E546" s="25">
        <v>76</v>
      </c>
      <c r="F546" s="35">
        <v>9.8999999999999897</v>
      </c>
      <c r="G546" s="25">
        <v>40</v>
      </c>
      <c r="H546" s="292">
        <v>9.6</v>
      </c>
      <c r="I546" s="25">
        <v>76</v>
      </c>
      <c r="J546" s="292">
        <v>14</v>
      </c>
      <c r="K546" s="292">
        <v>76</v>
      </c>
      <c r="N546" s="25">
        <v>24</v>
      </c>
      <c r="O546" s="25">
        <v>76</v>
      </c>
      <c r="P546" s="6">
        <v>217</v>
      </c>
      <c r="Q546" s="25">
        <v>76</v>
      </c>
      <c r="R546" s="35">
        <v>11</v>
      </c>
      <c r="S546" s="25">
        <v>40</v>
      </c>
      <c r="T546" s="292">
        <v>6.6</v>
      </c>
      <c r="U546" s="25">
        <v>76</v>
      </c>
      <c r="V546" s="292">
        <v>14</v>
      </c>
      <c r="W546" s="292">
        <v>76</v>
      </c>
    </row>
    <row r="547" spans="1:23">
      <c r="B547" s="25">
        <v>21</v>
      </c>
      <c r="C547" s="25">
        <v>79</v>
      </c>
      <c r="D547" s="25">
        <v>266</v>
      </c>
      <c r="E547" s="25">
        <v>79</v>
      </c>
      <c r="F547" s="35">
        <v>9.9999999999999893</v>
      </c>
      <c r="G547" s="25">
        <v>35</v>
      </c>
      <c r="H547" s="292">
        <v>9.9</v>
      </c>
      <c r="I547" s="25">
        <v>79</v>
      </c>
      <c r="J547" s="292">
        <v>15</v>
      </c>
      <c r="K547" s="292">
        <v>79</v>
      </c>
      <c r="N547" s="25">
        <v>25</v>
      </c>
      <c r="O547" s="25">
        <v>79</v>
      </c>
      <c r="P547" s="6">
        <v>219</v>
      </c>
      <c r="Q547" s="25">
        <v>79</v>
      </c>
      <c r="R547" s="35">
        <v>11.1</v>
      </c>
      <c r="S547" s="25">
        <v>35</v>
      </c>
      <c r="T547" s="292">
        <v>6.9</v>
      </c>
      <c r="U547" s="25">
        <v>79</v>
      </c>
      <c r="V547" s="292">
        <v>15</v>
      </c>
      <c r="W547" s="292">
        <v>79</v>
      </c>
    </row>
    <row r="548" spans="1:23">
      <c r="B548" s="25">
        <v>22</v>
      </c>
      <c r="C548" s="25">
        <v>82</v>
      </c>
      <c r="D548" s="25">
        <v>268</v>
      </c>
      <c r="E548" s="25">
        <v>82</v>
      </c>
      <c r="F548" s="35">
        <v>10.1</v>
      </c>
      <c r="G548" s="25">
        <v>30</v>
      </c>
      <c r="H548" s="292">
        <v>10.199999999999999</v>
      </c>
      <c r="I548" s="25">
        <v>82</v>
      </c>
      <c r="J548" s="292">
        <v>16</v>
      </c>
      <c r="K548" s="292">
        <v>82</v>
      </c>
      <c r="N548" s="25">
        <v>26</v>
      </c>
      <c r="O548" s="25">
        <v>82</v>
      </c>
      <c r="P548" s="6">
        <v>221</v>
      </c>
      <c r="Q548" s="25">
        <v>82</v>
      </c>
      <c r="R548" s="35">
        <v>11.2</v>
      </c>
      <c r="S548" s="25">
        <v>30</v>
      </c>
      <c r="T548" s="292">
        <v>7.2</v>
      </c>
      <c r="U548" s="25">
        <v>82</v>
      </c>
      <c r="V548" s="292">
        <v>16</v>
      </c>
      <c r="W548" s="292">
        <v>82</v>
      </c>
    </row>
    <row r="549" spans="1:23">
      <c r="B549" s="25">
        <v>23</v>
      </c>
      <c r="C549" s="25">
        <v>85</v>
      </c>
      <c r="D549" s="25">
        <v>270</v>
      </c>
      <c r="E549" s="25">
        <v>85</v>
      </c>
      <c r="F549" s="35">
        <v>10.199999999999999</v>
      </c>
      <c r="G549" s="25">
        <v>25</v>
      </c>
      <c r="H549" s="292">
        <v>10.5</v>
      </c>
      <c r="I549" s="25">
        <v>85</v>
      </c>
      <c r="J549" s="292">
        <v>17</v>
      </c>
      <c r="K549" s="292">
        <v>85</v>
      </c>
      <c r="N549" s="25">
        <v>27</v>
      </c>
      <c r="O549" s="25">
        <v>85</v>
      </c>
      <c r="P549" s="6">
        <v>223</v>
      </c>
      <c r="Q549" s="25">
        <v>85</v>
      </c>
      <c r="R549" s="35">
        <v>11.3</v>
      </c>
      <c r="S549" s="25">
        <v>25</v>
      </c>
      <c r="T549" s="292">
        <v>7.5</v>
      </c>
      <c r="U549" s="25">
        <v>85</v>
      </c>
      <c r="V549" s="292">
        <v>17</v>
      </c>
      <c r="W549" s="292">
        <v>85</v>
      </c>
    </row>
    <row r="550" spans="1:23">
      <c r="B550" s="25">
        <v>24</v>
      </c>
      <c r="C550" s="25">
        <v>88</v>
      </c>
      <c r="D550" s="25">
        <v>272</v>
      </c>
      <c r="E550" s="25">
        <v>88</v>
      </c>
      <c r="F550" s="35">
        <v>10.3</v>
      </c>
      <c r="G550" s="25">
        <v>20</v>
      </c>
      <c r="H550" s="292">
        <v>10.8</v>
      </c>
      <c r="I550" s="25">
        <v>88</v>
      </c>
      <c r="J550" s="292">
        <v>18</v>
      </c>
      <c r="K550" s="292">
        <v>88</v>
      </c>
      <c r="N550" s="25">
        <v>28</v>
      </c>
      <c r="O550" s="25">
        <v>88</v>
      </c>
      <c r="P550" s="6">
        <v>225</v>
      </c>
      <c r="Q550" s="25">
        <v>88</v>
      </c>
      <c r="R550" s="35">
        <v>11.4</v>
      </c>
      <c r="S550" s="25">
        <v>20</v>
      </c>
      <c r="T550" s="292">
        <v>7.8</v>
      </c>
      <c r="U550" s="25">
        <v>88</v>
      </c>
      <c r="V550" s="292">
        <v>18</v>
      </c>
      <c r="W550" s="292">
        <v>88</v>
      </c>
    </row>
    <row r="551" spans="1:23">
      <c r="B551" s="25">
        <v>25</v>
      </c>
      <c r="C551" s="25">
        <v>91</v>
      </c>
      <c r="D551" s="25">
        <v>274</v>
      </c>
      <c r="E551" s="25">
        <v>91</v>
      </c>
      <c r="F551" s="35">
        <v>10.4</v>
      </c>
      <c r="G551" s="25">
        <v>15</v>
      </c>
      <c r="H551" s="292">
        <v>11.1</v>
      </c>
      <c r="I551" s="25">
        <v>91</v>
      </c>
      <c r="J551" s="292">
        <v>19</v>
      </c>
      <c r="K551" s="292">
        <v>91</v>
      </c>
      <c r="N551" s="25">
        <v>29</v>
      </c>
      <c r="O551" s="25">
        <v>91</v>
      </c>
      <c r="P551" s="6">
        <v>227</v>
      </c>
      <c r="Q551" s="25">
        <v>91</v>
      </c>
      <c r="R551" s="35">
        <v>11.5</v>
      </c>
      <c r="S551" s="25">
        <v>15</v>
      </c>
      <c r="T551" s="292">
        <v>8.1</v>
      </c>
      <c r="U551" s="25">
        <v>91</v>
      </c>
      <c r="V551" s="292">
        <v>19</v>
      </c>
      <c r="W551" s="292">
        <v>91</v>
      </c>
    </row>
    <row r="552" spans="1:23">
      <c r="B552" s="25">
        <v>26</v>
      </c>
      <c r="C552" s="25">
        <v>94</v>
      </c>
      <c r="D552" s="25">
        <v>276</v>
      </c>
      <c r="E552" s="25">
        <v>94</v>
      </c>
      <c r="F552" s="35">
        <v>10.5</v>
      </c>
      <c r="G552" s="25">
        <v>10</v>
      </c>
      <c r="H552" s="292">
        <v>11.4</v>
      </c>
      <c r="I552" s="25">
        <v>94</v>
      </c>
      <c r="J552" s="292">
        <v>20</v>
      </c>
      <c r="K552" s="292">
        <v>94</v>
      </c>
      <c r="N552" s="25">
        <v>30</v>
      </c>
      <c r="O552" s="25">
        <v>94</v>
      </c>
      <c r="P552" s="6">
        <v>229</v>
      </c>
      <c r="Q552" s="25">
        <v>94</v>
      </c>
      <c r="R552" s="35">
        <v>11.6</v>
      </c>
      <c r="S552" s="25">
        <v>10</v>
      </c>
      <c r="T552" s="292">
        <v>8.4</v>
      </c>
      <c r="U552" s="25">
        <v>94</v>
      </c>
      <c r="V552" s="292">
        <v>20</v>
      </c>
      <c r="W552" s="292">
        <v>94</v>
      </c>
    </row>
    <row r="553" spans="1:23">
      <c r="B553" s="25">
        <v>27</v>
      </c>
      <c r="C553" s="25">
        <v>97</v>
      </c>
      <c r="D553" s="25">
        <v>278</v>
      </c>
      <c r="E553" s="25">
        <v>97</v>
      </c>
      <c r="F553" s="35">
        <v>10.6</v>
      </c>
      <c r="G553" s="25">
        <v>5</v>
      </c>
      <c r="H553" s="292">
        <v>11.7</v>
      </c>
      <c r="I553" s="25">
        <v>97</v>
      </c>
      <c r="J553" s="292">
        <v>21</v>
      </c>
      <c r="K553" s="292">
        <v>97</v>
      </c>
      <c r="N553" s="25">
        <v>31</v>
      </c>
      <c r="O553" s="25">
        <v>97</v>
      </c>
      <c r="P553" s="6">
        <v>231</v>
      </c>
      <c r="Q553" s="25">
        <v>97</v>
      </c>
      <c r="R553" s="35">
        <v>11.7</v>
      </c>
      <c r="S553" s="25">
        <v>5</v>
      </c>
      <c r="T553" s="292">
        <v>8.6999999999999993</v>
      </c>
      <c r="U553" s="25">
        <v>97</v>
      </c>
      <c r="V553" s="292">
        <v>21</v>
      </c>
      <c r="W553" s="292">
        <v>97</v>
      </c>
    </row>
    <row r="554" spans="1:23">
      <c r="B554" s="25">
        <v>28</v>
      </c>
      <c r="C554" s="25">
        <v>100</v>
      </c>
      <c r="D554" s="25">
        <v>280</v>
      </c>
      <c r="E554" s="25">
        <v>100</v>
      </c>
      <c r="F554" s="35">
        <v>10.7</v>
      </c>
      <c r="G554" s="25">
        <v>0</v>
      </c>
      <c r="H554" s="292">
        <v>12</v>
      </c>
      <c r="I554" s="25">
        <v>100</v>
      </c>
      <c r="J554" s="292">
        <v>22</v>
      </c>
      <c r="K554" s="292">
        <v>100</v>
      </c>
      <c r="N554" s="25">
        <v>32</v>
      </c>
      <c r="O554" s="25">
        <v>100</v>
      </c>
      <c r="P554" s="6">
        <v>233</v>
      </c>
      <c r="Q554" s="25">
        <v>100</v>
      </c>
      <c r="R554" s="35">
        <v>11.8</v>
      </c>
      <c r="S554" s="25">
        <v>0</v>
      </c>
      <c r="T554" s="292">
        <v>9</v>
      </c>
      <c r="U554" s="25">
        <v>100</v>
      </c>
      <c r="V554" s="292">
        <v>22</v>
      </c>
      <c r="W554" s="292">
        <v>100</v>
      </c>
    </row>
    <row r="555" spans="1:23" s="14" customFormat="1">
      <c r="A555" s="14" t="s">
        <v>466</v>
      </c>
      <c r="B555" s="34" t="s">
        <v>473</v>
      </c>
      <c r="C555" s="14" t="s">
        <v>471</v>
      </c>
      <c r="D555" s="14" t="s">
        <v>318</v>
      </c>
      <c r="E555" s="14" t="s">
        <v>471</v>
      </c>
      <c r="F555" s="14" t="s">
        <v>313</v>
      </c>
      <c r="G555" s="14" t="s">
        <v>471</v>
      </c>
      <c r="I555" s="34" t="s">
        <v>473</v>
      </c>
      <c r="J555" s="292" t="s">
        <v>313</v>
      </c>
      <c r="M555" s="292" t="s">
        <v>313</v>
      </c>
      <c r="N555" s="34" t="s">
        <v>473</v>
      </c>
      <c r="P555" s="34" t="s">
        <v>473</v>
      </c>
      <c r="Q555" s="14" t="s">
        <v>471</v>
      </c>
      <c r="R555" s="14" t="s">
        <v>318</v>
      </c>
      <c r="S555" s="14" t="s">
        <v>471</v>
      </c>
      <c r="T555" s="14" t="s">
        <v>313</v>
      </c>
      <c r="U555" s="14" t="s">
        <v>471</v>
      </c>
    </row>
    <row r="556" spans="1:23" s="14" customFormat="1">
      <c r="A556" s="74" t="s">
        <v>159</v>
      </c>
      <c r="B556" s="34">
        <v>0</v>
      </c>
      <c r="C556" s="14">
        <v>100</v>
      </c>
      <c r="D556" s="14">
        <v>0</v>
      </c>
      <c r="E556" s="14">
        <v>25</v>
      </c>
      <c r="F556" s="14">
        <v>0</v>
      </c>
      <c r="G556" s="14">
        <v>25</v>
      </c>
      <c r="I556" s="34">
        <v>0</v>
      </c>
      <c r="J556" s="292">
        <v>0</v>
      </c>
      <c r="M556" s="292">
        <v>0</v>
      </c>
      <c r="N556" s="34">
        <v>0</v>
      </c>
      <c r="P556" s="34">
        <v>0</v>
      </c>
      <c r="Q556" s="14">
        <v>100</v>
      </c>
      <c r="R556" s="14">
        <v>0</v>
      </c>
      <c r="S556" s="14">
        <v>25</v>
      </c>
      <c r="T556" s="14">
        <v>0</v>
      </c>
      <c r="U556" s="14">
        <v>25</v>
      </c>
    </row>
    <row r="557" spans="1:23" s="14" customFormat="1">
      <c r="A557" s="74" t="s">
        <v>301</v>
      </c>
      <c r="B557" s="116">
        <v>14.01</v>
      </c>
      <c r="C557" s="14">
        <v>97</v>
      </c>
      <c r="D557" s="14">
        <v>51</v>
      </c>
      <c r="E557" s="14">
        <v>28</v>
      </c>
      <c r="F557" s="305">
        <v>227</v>
      </c>
      <c r="G557" s="14">
        <v>28</v>
      </c>
      <c r="I557" s="34">
        <v>14.51</v>
      </c>
      <c r="J557" s="292">
        <v>215</v>
      </c>
      <c r="M557" s="292">
        <v>153</v>
      </c>
      <c r="N557" s="34">
        <v>16.510000000000002</v>
      </c>
      <c r="P557" s="116">
        <v>15.81</v>
      </c>
      <c r="Q557" s="14">
        <v>97</v>
      </c>
      <c r="R557" s="14">
        <v>41</v>
      </c>
      <c r="S557" s="14">
        <v>28</v>
      </c>
      <c r="T557" s="305">
        <v>177</v>
      </c>
      <c r="U557" s="14">
        <v>28</v>
      </c>
    </row>
    <row r="558" spans="1:23" s="14" customFormat="1">
      <c r="A558" s="74" t="s">
        <v>320</v>
      </c>
      <c r="B558" s="116">
        <v>14.11</v>
      </c>
      <c r="C558" s="14">
        <v>94</v>
      </c>
      <c r="D558" s="14">
        <v>52</v>
      </c>
      <c r="E558" s="14">
        <v>31</v>
      </c>
      <c r="F558" s="305">
        <v>229</v>
      </c>
      <c r="G558" s="14">
        <v>31</v>
      </c>
      <c r="I558" s="34">
        <v>14.61</v>
      </c>
      <c r="J558" s="292">
        <v>218</v>
      </c>
      <c r="M558" s="292">
        <v>156</v>
      </c>
      <c r="N558" s="34">
        <v>16.61</v>
      </c>
      <c r="P558" s="116">
        <v>15.91</v>
      </c>
      <c r="Q558" s="14">
        <v>94</v>
      </c>
      <c r="R558" s="14">
        <v>42</v>
      </c>
      <c r="S558" s="14">
        <v>31</v>
      </c>
      <c r="T558" s="305">
        <v>179</v>
      </c>
      <c r="U558" s="14">
        <v>31</v>
      </c>
    </row>
    <row r="559" spans="1:23" s="14" customFormat="1">
      <c r="A559" s="98" t="s">
        <v>156</v>
      </c>
      <c r="B559" s="116">
        <v>14.21</v>
      </c>
      <c r="C559" s="14">
        <v>91</v>
      </c>
      <c r="D559" s="14">
        <v>53</v>
      </c>
      <c r="E559" s="14">
        <v>34</v>
      </c>
      <c r="F559" s="305">
        <v>231</v>
      </c>
      <c r="G559" s="14">
        <v>34</v>
      </c>
      <c r="I559" s="34">
        <v>14.71</v>
      </c>
      <c r="J559" s="292">
        <v>221</v>
      </c>
      <c r="M559" s="292">
        <v>159</v>
      </c>
      <c r="N559" s="34">
        <v>16.71</v>
      </c>
      <c r="P559" s="116">
        <v>16.010000000000002</v>
      </c>
      <c r="Q559" s="14">
        <v>91</v>
      </c>
      <c r="R559" s="14">
        <v>43</v>
      </c>
      <c r="S559" s="14">
        <v>34</v>
      </c>
      <c r="T559" s="305">
        <v>181</v>
      </c>
      <c r="U559" s="14">
        <v>34</v>
      </c>
    </row>
    <row r="560" spans="1:23" s="14" customFormat="1">
      <c r="A560" s="98" t="s">
        <v>304</v>
      </c>
      <c r="B560" s="116">
        <v>14.31</v>
      </c>
      <c r="C560" s="14">
        <v>88</v>
      </c>
      <c r="D560" s="14">
        <v>54</v>
      </c>
      <c r="E560" s="14">
        <v>37</v>
      </c>
      <c r="F560" s="305">
        <v>233</v>
      </c>
      <c r="G560" s="14">
        <v>37</v>
      </c>
      <c r="I560" s="34">
        <v>14.81</v>
      </c>
      <c r="J560" s="292">
        <v>224</v>
      </c>
      <c r="M560" s="292">
        <v>162</v>
      </c>
      <c r="N560" s="34">
        <v>16.809999999999999</v>
      </c>
      <c r="P560" s="116">
        <v>16.11</v>
      </c>
      <c r="Q560" s="14">
        <v>88</v>
      </c>
      <c r="R560" s="14">
        <v>44</v>
      </c>
      <c r="S560" s="14">
        <v>37</v>
      </c>
      <c r="T560" s="305">
        <v>183</v>
      </c>
      <c r="U560" s="14">
        <v>37</v>
      </c>
    </row>
    <row r="561" spans="1:21" s="14" customFormat="1">
      <c r="B561" s="116">
        <v>14.41</v>
      </c>
      <c r="C561" s="14">
        <v>85</v>
      </c>
      <c r="D561" s="14">
        <v>55</v>
      </c>
      <c r="E561" s="14">
        <v>40</v>
      </c>
      <c r="F561" s="305">
        <v>236</v>
      </c>
      <c r="G561" s="14">
        <v>40</v>
      </c>
      <c r="I561" s="34">
        <v>14.91</v>
      </c>
      <c r="J561" s="292">
        <v>227</v>
      </c>
      <c r="M561" s="292">
        <v>165</v>
      </c>
      <c r="N561" s="34">
        <v>16.91</v>
      </c>
      <c r="P561" s="116">
        <v>16.21</v>
      </c>
      <c r="Q561" s="14">
        <v>85</v>
      </c>
      <c r="R561" s="14">
        <v>45</v>
      </c>
      <c r="S561" s="14">
        <v>40</v>
      </c>
      <c r="T561" s="305">
        <v>185</v>
      </c>
      <c r="U561" s="14">
        <v>40</v>
      </c>
    </row>
    <row r="562" spans="1:21" s="14" customFormat="1">
      <c r="A562" s="183" t="s">
        <v>422</v>
      </c>
      <c r="B562" s="116">
        <v>14.51</v>
      </c>
      <c r="C562" s="14">
        <v>82</v>
      </c>
      <c r="D562" s="14">
        <v>56</v>
      </c>
      <c r="E562" s="14">
        <v>43</v>
      </c>
      <c r="F562" s="305">
        <v>239</v>
      </c>
      <c r="G562" s="14">
        <v>43</v>
      </c>
      <c r="I562" s="34">
        <v>15.01</v>
      </c>
      <c r="J562" s="292">
        <v>230</v>
      </c>
      <c r="M562" s="292">
        <v>168</v>
      </c>
      <c r="N562" s="34">
        <v>17.010000000000002</v>
      </c>
      <c r="P562" s="116">
        <v>16.309999999999999</v>
      </c>
      <c r="Q562" s="14">
        <v>82</v>
      </c>
      <c r="R562" s="14">
        <v>46</v>
      </c>
      <c r="S562" s="14">
        <v>43</v>
      </c>
      <c r="T562" s="305">
        <v>187</v>
      </c>
      <c r="U562" s="14">
        <v>43</v>
      </c>
    </row>
    <row r="563" spans="1:21" s="14" customFormat="1">
      <c r="A563" s="183" t="s">
        <v>95</v>
      </c>
      <c r="B563" s="116">
        <v>14.61</v>
      </c>
      <c r="C563" s="14">
        <v>79</v>
      </c>
      <c r="D563" s="14">
        <v>57</v>
      </c>
      <c r="E563" s="14">
        <v>46</v>
      </c>
      <c r="F563" s="305">
        <v>242</v>
      </c>
      <c r="G563" s="14">
        <v>46</v>
      </c>
      <c r="I563" s="34">
        <v>15.11</v>
      </c>
      <c r="J563" s="292">
        <v>233</v>
      </c>
      <c r="M563" s="292">
        <v>171</v>
      </c>
      <c r="N563" s="34">
        <v>17.11</v>
      </c>
      <c r="P563" s="116">
        <v>16.41</v>
      </c>
      <c r="Q563" s="14">
        <v>79</v>
      </c>
      <c r="R563" s="14">
        <v>47</v>
      </c>
      <c r="S563" s="14">
        <v>46</v>
      </c>
      <c r="T563" s="305">
        <v>189</v>
      </c>
      <c r="U563" s="14">
        <v>46</v>
      </c>
    </row>
    <row r="564" spans="1:21" s="14" customFormat="1">
      <c r="B564" s="116">
        <v>14.71</v>
      </c>
      <c r="C564" s="14">
        <v>76</v>
      </c>
      <c r="D564" s="14">
        <v>58</v>
      </c>
      <c r="E564" s="14">
        <v>49</v>
      </c>
      <c r="F564" s="305">
        <v>245</v>
      </c>
      <c r="G564" s="14">
        <v>49</v>
      </c>
      <c r="I564" s="34">
        <v>15.21</v>
      </c>
      <c r="J564" s="292">
        <v>236</v>
      </c>
      <c r="M564" s="292">
        <v>174</v>
      </c>
      <c r="N564" s="34">
        <v>17.21</v>
      </c>
      <c r="P564" s="116">
        <v>16.510000000000002</v>
      </c>
      <c r="Q564" s="14">
        <v>76</v>
      </c>
      <c r="R564" s="14">
        <v>48</v>
      </c>
      <c r="S564" s="14">
        <v>49</v>
      </c>
      <c r="T564" s="305">
        <v>191</v>
      </c>
      <c r="U564" s="14">
        <v>49</v>
      </c>
    </row>
    <row r="565" spans="1:21" s="14" customFormat="1">
      <c r="A565" s="236" t="s">
        <v>24</v>
      </c>
      <c r="B565" s="116">
        <v>14.81</v>
      </c>
      <c r="C565" s="14">
        <v>73</v>
      </c>
      <c r="D565" s="14">
        <v>59</v>
      </c>
      <c r="E565" s="14">
        <v>52</v>
      </c>
      <c r="F565" s="305">
        <v>248</v>
      </c>
      <c r="G565" s="14">
        <v>52</v>
      </c>
      <c r="I565" s="34">
        <v>15.31</v>
      </c>
      <c r="J565" s="292">
        <v>239</v>
      </c>
      <c r="M565" s="292">
        <v>177</v>
      </c>
      <c r="N565" s="34">
        <v>17.309999999999999</v>
      </c>
      <c r="P565" s="116">
        <v>16.61</v>
      </c>
      <c r="Q565" s="14">
        <v>73</v>
      </c>
      <c r="R565" s="14">
        <v>49</v>
      </c>
      <c r="S565" s="14">
        <v>52</v>
      </c>
      <c r="T565" s="305">
        <v>192</v>
      </c>
      <c r="U565" s="14">
        <v>52</v>
      </c>
    </row>
    <row r="566" spans="1:21" s="14" customFormat="1">
      <c r="A566" s="236" t="s">
        <v>21</v>
      </c>
      <c r="B566" s="116">
        <v>14.91</v>
      </c>
      <c r="C566" s="14">
        <v>70</v>
      </c>
      <c r="D566" s="14">
        <v>60</v>
      </c>
      <c r="E566" s="14">
        <v>55</v>
      </c>
      <c r="F566" s="305">
        <v>251</v>
      </c>
      <c r="G566" s="14">
        <v>55</v>
      </c>
      <c r="I566" s="34">
        <v>15.41</v>
      </c>
      <c r="J566" s="292">
        <v>242</v>
      </c>
      <c r="M566" s="292">
        <v>180</v>
      </c>
      <c r="N566" s="34">
        <v>17.41</v>
      </c>
      <c r="P566" s="116">
        <v>16.71</v>
      </c>
      <c r="Q566" s="14">
        <v>70</v>
      </c>
      <c r="R566" s="14">
        <v>50</v>
      </c>
      <c r="S566" s="14">
        <v>55</v>
      </c>
      <c r="T566" s="305">
        <v>195</v>
      </c>
      <c r="U566" s="14">
        <v>55</v>
      </c>
    </row>
    <row r="567" spans="1:21" s="14" customFormat="1">
      <c r="A567" s="236" t="s">
        <v>23</v>
      </c>
      <c r="B567" s="116">
        <v>15.01</v>
      </c>
      <c r="C567" s="14">
        <v>67</v>
      </c>
      <c r="D567" s="14">
        <v>61</v>
      </c>
      <c r="E567" s="14">
        <v>58</v>
      </c>
      <c r="F567" s="305">
        <v>254</v>
      </c>
      <c r="G567" s="14">
        <v>58</v>
      </c>
      <c r="I567" s="34">
        <v>15.51</v>
      </c>
      <c r="J567" s="292">
        <v>244</v>
      </c>
      <c r="M567" s="292">
        <v>183</v>
      </c>
      <c r="N567" s="34">
        <v>17.510000000000002</v>
      </c>
      <c r="P567" s="116">
        <v>16.809999999999999</v>
      </c>
      <c r="Q567" s="14">
        <v>67</v>
      </c>
      <c r="R567" s="14">
        <v>51</v>
      </c>
      <c r="S567" s="14">
        <v>58</v>
      </c>
      <c r="T567" s="305">
        <v>198</v>
      </c>
      <c r="U567" s="14">
        <v>58</v>
      </c>
    </row>
    <row r="568" spans="1:21" s="14" customFormat="1">
      <c r="A568" s="236" t="s">
        <v>17</v>
      </c>
      <c r="B568" s="116">
        <v>15.11</v>
      </c>
      <c r="C568" s="14">
        <v>64</v>
      </c>
      <c r="D568" s="14">
        <v>62</v>
      </c>
      <c r="E568" s="14">
        <v>61</v>
      </c>
      <c r="F568" s="305">
        <v>257</v>
      </c>
      <c r="G568" s="14">
        <v>61</v>
      </c>
      <c r="I568" s="34">
        <v>15.61</v>
      </c>
      <c r="J568" s="292">
        <v>246</v>
      </c>
      <c r="M568" s="292">
        <v>186</v>
      </c>
      <c r="N568" s="34">
        <v>17.61</v>
      </c>
      <c r="P568" s="116">
        <v>16.91</v>
      </c>
      <c r="Q568" s="14">
        <v>64</v>
      </c>
      <c r="R568" s="14">
        <v>52</v>
      </c>
      <c r="S568" s="14">
        <v>61</v>
      </c>
      <c r="T568" s="305">
        <v>201</v>
      </c>
      <c r="U568" s="14">
        <v>61</v>
      </c>
    </row>
    <row r="569" spans="1:21" s="14" customFormat="1">
      <c r="A569" s="236" t="s">
        <v>4</v>
      </c>
      <c r="B569" s="116">
        <v>15.21</v>
      </c>
      <c r="C569" s="14">
        <v>61</v>
      </c>
      <c r="D569" s="14">
        <v>63</v>
      </c>
      <c r="E569" s="14">
        <v>64</v>
      </c>
      <c r="F569" s="305">
        <v>260</v>
      </c>
      <c r="G569" s="14">
        <v>64</v>
      </c>
      <c r="I569" s="34">
        <v>15.71</v>
      </c>
      <c r="J569" s="292">
        <v>248</v>
      </c>
      <c r="M569" s="292">
        <v>189</v>
      </c>
      <c r="N569" s="34">
        <v>17.71</v>
      </c>
      <c r="P569" s="116">
        <v>17.010000000000002</v>
      </c>
      <c r="Q569" s="14">
        <v>61</v>
      </c>
      <c r="R569" s="14">
        <v>53</v>
      </c>
      <c r="S569" s="14">
        <v>64</v>
      </c>
      <c r="T569" s="305">
        <v>204</v>
      </c>
      <c r="U569" s="14">
        <v>64</v>
      </c>
    </row>
    <row r="570" spans="1:21" s="14" customFormat="1">
      <c r="A570" s="236" t="s">
        <v>14</v>
      </c>
      <c r="B570" s="116">
        <v>15.31</v>
      </c>
      <c r="C570" s="14">
        <v>58</v>
      </c>
      <c r="D570" s="14">
        <v>64</v>
      </c>
      <c r="E570" s="14">
        <v>67</v>
      </c>
      <c r="F570" s="305">
        <v>263</v>
      </c>
      <c r="G570" s="14">
        <v>67</v>
      </c>
      <c r="I570" s="34">
        <v>15.81</v>
      </c>
      <c r="J570" s="292">
        <v>250</v>
      </c>
      <c r="M570" s="292">
        <v>192</v>
      </c>
      <c r="N570" s="34">
        <v>17.809999999999999</v>
      </c>
      <c r="P570" s="116">
        <v>17.11</v>
      </c>
      <c r="Q570" s="14">
        <v>58</v>
      </c>
      <c r="R570" s="14">
        <v>54</v>
      </c>
      <c r="S570" s="14">
        <v>67</v>
      </c>
      <c r="T570" s="305">
        <v>207</v>
      </c>
      <c r="U570" s="14">
        <v>67</v>
      </c>
    </row>
    <row r="571" spans="1:21" s="14" customFormat="1">
      <c r="A571" s="236" t="s">
        <v>13</v>
      </c>
      <c r="B571" s="116">
        <v>15.41</v>
      </c>
      <c r="C571" s="14">
        <v>55</v>
      </c>
      <c r="D571" s="14">
        <v>65</v>
      </c>
      <c r="E571" s="14">
        <v>70</v>
      </c>
      <c r="F571" s="305">
        <v>265</v>
      </c>
      <c r="G571" s="14">
        <v>70</v>
      </c>
      <c r="I571" s="34">
        <v>15.91</v>
      </c>
      <c r="J571" s="292">
        <v>252</v>
      </c>
      <c r="M571" s="292">
        <v>195</v>
      </c>
      <c r="N571" s="34">
        <v>17.91</v>
      </c>
      <c r="P571" s="116">
        <v>17.21</v>
      </c>
      <c r="Q571" s="14">
        <v>55</v>
      </c>
      <c r="R571" s="14">
        <v>55</v>
      </c>
      <c r="S571" s="14">
        <v>70</v>
      </c>
      <c r="T571" s="305">
        <v>210</v>
      </c>
      <c r="U571" s="14">
        <v>70</v>
      </c>
    </row>
    <row r="572" spans="1:21" s="14" customFormat="1">
      <c r="B572" s="116">
        <v>15.51</v>
      </c>
      <c r="C572" s="14">
        <v>52</v>
      </c>
      <c r="D572" s="14">
        <v>66</v>
      </c>
      <c r="E572" s="14">
        <v>73</v>
      </c>
      <c r="F572" s="305">
        <v>267</v>
      </c>
      <c r="G572" s="14">
        <v>73</v>
      </c>
      <c r="I572" s="34">
        <v>16.010000000000002</v>
      </c>
      <c r="J572" s="292">
        <v>254</v>
      </c>
      <c r="M572" s="292">
        <v>198</v>
      </c>
      <c r="N572" s="34">
        <v>18.010000000000002</v>
      </c>
      <c r="P572" s="116">
        <v>17.309999999999999</v>
      </c>
      <c r="Q572" s="14">
        <v>52</v>
      </c>
      <c r="R572" s="14">
        <v>56</v>
      </c>
      <c r="S572" s="14">
        <v>73</v>
      </c>
      <c r="T572" s="305">
        <v>213</v>
      </c>
      <c r="U572" s="14">
        <v>73</v>
      </c>
    </row>
    <row r="573" spans="1:21" s="14" customFormat="1">
      <c r="B573" s="116">
        <v>15.61</v>
      </c>
      <c r="C573" s="14">
        <v>49</v>
      </c>
      <c r="D573" s="14">
        <v>67</v>
      </c>
      <c r="E573" s="14">
        <v>76</v>
      </c>
      <c r="F573" s="305">
        <v>269</v>
      </c>
      <c r="G573" s="14">
        <v>76</v>
      </c>
      <c r="I573" s="34">
        <v>16.11</v>
      </c>
      <c r="J573" s="292">
        <v>256</v>
      </c>
      <c r="M573" s="292">
        <v>201</v>
      </c>
      <c r="N573" s="34">
        <v>18.11</v>
      </c>
      <c r="P573" s="116">
        <v>17.41</v>
      </c>
      <c r="Q573" s="14">
        <v>49</v>
      </c>
      <c r="R573" s="14">
        <v>57</v>
      </c>
      <c r="S573" s="14">
        <v>76</v>
      </c>
      <c r="T573" s="305">
        <v>216</v>
      </c>
      <c r="U573" s="14">
        <v>76</v>
      </c>
    </row>
    <row r="574" spans="1:21" s="14" customFormat="1">
      <c r="B574" s="116">
        <v>15.71</v>
      </c>
      <c r="C574" s="14">
        <v>46</v>
      </c>
      <c r="D574" s="14">
        <v>68</v>
      </c>
      <c r="E574" s="14">
        <v>79</v>
      </c>
      <c r="F574" s="305">
        <v>271</v>
      </c>
      <c r="G574" s="14">
        <v>79</v>
      </c>
      <c r="I574" s="34">
        <v>16.21</v>
      </c>
      <c r="J574" s="292">
        <v>259</v>
      </c>
      <c r="M574" s="292">
        <v>204</v>
      </c>
      <c r="N574" s="34">
        <v>18.21</v>
      </c>
      <c r="P574" s="116">
        <v>17.510000000000002</v>
      </c>
      <c r="Q574" s="14">
        <v>46</v>
      </c>
      <c r="R574" s="14">
        <v>58</v>
      </c>
      <c r="S574" s="14">
        <v>79</v>
      </c>
      <c r="T574" s="305">
        <v>219</v>
      </c>
      <c r="U574" s="14">
        <v>79</v>
      </c>
    </row>
    <row r="575" spans="1:21" s="14" customFormat="1">
      <c r="B575" s="116">
        <v>15.81</v>
      </c>
      <c r="C575" s="14">
        <v>43</v>
      </c>
      <c r="D575" s="14">
        <v>69</v>
      </c>
      <c r="E575" s="14">
        <v>82</v>
      </c>
      <c r="F575" s="305">
        <v>273</v>
      </c>
      <c r="G575" s="14">
        <v>82</v>
      </c>
      <c r="I575" s="34">
        <v>16.309999999999999</v>
      </c>
      <c r="J575" s="292">
        <v>262</v>
      </c>
      <c r="M575" s="292">
        <v>207</v>
      </c>
      <c r="N575" s="34">
        <v>18.309999999999999</v>
      </c>
      <c r="P575" s="116">
        <v>17.61</v>
      </c>
      <c r="Q575" s="14">
        <v>43</v>
      </c>
      <c r="R575" s="14">
        <v>59</v>
      </c>
      <c r="S575" s="14">
        <v>82</v>
      </c>
      <c r="T575" s="305">
        <v>222</v>
      </c>
      <c r="U575" s="14">
        <v>82</v>
      </c>
    </row>
    <row r="576" spans="1:21" s="14" customFormat="1">
      <c r="B576" s="116">
        <v>15.91</v>
      </c>
      <c r="C576" s="14">
        <v>40</v>
      </c>
      <c r="D576" s="14">
        <v>70</v>
      </c>
      <c r="E576" s="14">
        <v>85</v>
      </c>
      <c r="F576" s="305">
        <v>275</v>
      </c>
      <c r="G576" s="14">
        <v>85</v>
      </c>
      <c r="I576" s="34">
        <v>16.41</v>
      </c>
      <c r="J576" s="292">
        <v>265</v>
      </c>
      <c r="M576" s="292">
        <v>210</v>
      </c>
      <c r="N576" s="34">
        <v>18.41</v>
      </c>
      <c r="P576" s="116">
        <v>17.71</v>
      </c>
      <c r="Q576" s="14">
        <v>40</v>
      </c>
      <c r="R576" s="14">
        <v>60</v>
      </c>
      <c r="S576" s="14">
        <v>85</v>
      </c>
      <c r="T576" s="305">
        <v>225</v>
      </c>
      <c r="U576" s="14">
        <v>85</v>
      </c>
    </row>
    <row r="577" spans="1:31" s="14" customFormat="1">
      <c r="B577" s="116">
        <v>16.010000000000002</v>
      </c>
      <c r="C577" s="14">
        <v>37</v>
      </c>
      <c r="D577" s="14">
        <v>71</v>
      </c>
      <c r="E577" s="14">
        <v>88</v>
      </c>
      <c r="F577" s="305">
        <v>277</v>
      </c>
      <c r="G577" s="14">
        <v>88</v>
      </c>
      <c r="I577" s="34">
        <v>16.510000000000002</v>
      </c>
      <c r="J577" s="292">
        <v>268</v>
      </c>
      <c r="M577" s="292">
        <v>213</v>
      </c>
      <c r="N577" s="34">
        <v>18.510000000000002</v>
      </c>
      <c r="P577" s="116">
        <v>17.809999999999999</v>
      </c>
      <c r="Q577" s="14">
        <v>37</v>
      </c>
      <c r="R577" s="14">
        <v>61</v>
      </c>
      <c r="S577" s="14">
        <v>88</v>
      </c>
      <c r="T577" s="305">
        <v>227</v>
      </c>
      <c r="U577" s="14">
        <v>88</v>
      </c>
    </row>
    <row r="578" spans="1:31" s="14" customFormat="1">
      <c r="B578" s="116">
        <v>16.11</v>
      </c>
      <c r="C578" s="14">
        <v>34</v>
      </c>
      <c r="D578" s="14">
        <v>72</v>
      </c>
      <c r="E578" s="14">
        <v>91</v>
      </c>
      <c r="F578" s="305">
        <v>279</v>
      </c>
      <c r="G578" s="14">
        <v>91</v>
      </c>
      <c r="I578" s="34">
        <v>16.61</v>
      </c>
      <c r="J578" s="292">
        <v>271</v>
      </c>
      <c r="M578" s="292">
        <v>216</v>
      </c>
      <c r="N578" s="34">
        <v>18.61</v>
      </c>
      <c r="P578" s="116">
        <v>17.91</v>
      </c>
      <c r="Q578" s="14">
        <v>34</v>
      </c>
      <c r="R578" s="14">
        <v>62</v>
      </c>
      <c r="S578" s="14">
        <v>91</v>
      </c>
      <c r="T578" s="305">
        <v>229</v>
      </c>
      <c r="U578" s="14">
        <v>91</v>
      </c>
    </row>
    <row r="579" spans="1:31" s="14" customFormat="1">
      <c r="B579" s="116">
        <v>16.21</v>
      </c>
      <c r="C579" s="14">
        <v>31</v>
      </c>
      <c r="D579" s="14">
        <v>73</v>
      </c>
      <c r="E579" s="14">
        <v>94</v>
      </c>
      <c r="F579" s="305">
        <v>281</v>
      </c>
      <c r="G579" s="14">
        <v>94</v>
      </c>
      <c r="I579" s="34">
        <v>16.71</v>
      </c>
      <c r="J579" s="292">
        <v>274</v>
      </c>
      <c r="M579" s="292">
        <v>219</v>
      </c>
      <c r="N579" s="34">
        <v>18.71</v>
      </c>
      <c r="P579" s="116">
        <v>18.010000000000002</v>
      </c>
      <c r="Q579" s="14">
        <v>31</v>
      </c>
      <c r="R579" s="14">
        <v>63</v>
      </c>
      <c r="S579" s="14">
        <v>94</v>
      </c>
      <c r="T579" s="305">
        <v>231</v>
      </c>
      <c r="U579" s="14">
        <v>94</v>
      </c>
    </row>
    <row r="580" spans="1:31" s="14" customFormat="1">
      <c r="B580" s="116">
        <v>16.309999999999999</v>
      </c>
      <c r="C580" s="14">
        <v>28</v>
      </c>
      <c r="D580" s="14">
        <v>74</v>
      </c>
      <c r="E580" s="14">
        <v>97</v>
      </c>
      <c r="F580" s="305">
        <v>283</v>
      </c>
      <c r="G580" s="14">
        <v>97</v>
      </c>
      <c r="I580" s="34">
        <v>16.809999999999999</v>
      </c>
      <c r="J580" s="292">
        <v>277</v>
      </c>
      <c r="M580" s="292">
        <v>222</v>
      </c>
      <c r="N580" s="34">
        <v>18.809999999999999</v>
      </c>
      <c r="P580" s="116">
        <v>18.11</v>
      </c>
      <c r="Q580" s="14">
        <v>28</v>
      </c>
      <c r="R580" s="14">
        <v>64</v>
      </c>
      <c r="S580" s="14">
        <v>97</v>
      </c>
      <c r="T580" s="305">
        <v>233</v>
      </c>
      <c r="U580" s="14">
        <v>97</v>
      </c>
    </row>
    <row r="581" spans="1:31" s="14" customFormat="1">
      <c r="B581" s="34">
        <v>16.41</v>
      </c>
      <c r="C581" s="14">
        <v>25</v>
      </c>
      <c r="D581" s="14">
        <v>75</v>
      </c>
      <c r="E581" s="14">
        <v>100</v>
      </c>
      <c r="F581" s="305">
        <v>285</v>
      </c>
      <c r="G581" s="14">
        <v>100</v>
      </c>
      <c r="I581" s="34">
        <v>16.91</v>
      </c>
      <c r="J581" s="292">
        <v>280</v>
      </c>
      <c r="M581" s="292">
        <v>225</v>
      </c>
      <c r="N581" s="34">
        <v>18.91</v>
      </c>
      <c r="P581" s="116">
        <v>18.21</v>
      </c>
      <c r="Q581" s="14">
        <v>25</v>
      </c>
      <c r="R581" s="14">
        <v>65</v>
      </c>
      <c r="S581" s="14">
        <v>100</v>
      </c>
      <c r="T581" s="305">
        <v>235</v>
      </c>
      <c r="U581" s="14">
        <v>100</v>
      </c>
    </row>
    <row r="582" spans="1:31" s="14" customFormat="1">
      <c r="B582" s="34"/>
      <c r="P582" s="34"/>
    </row>
    <row r="583" spans="1:31" s="133" customFormat="1">
      <c r="A583" s="14" t="s">
        <v>478</v>
      </c>
      <c r="B583" s="34" t="s">
        <v>509</v>
      </c>
      <c r="C583" s="14" t="s">
        <v>471</v>
      </c>
      <c r="D583" s="14" t="s">
        <v>278</v>
      </c>
      <c r="E583" s="14" t="s">
        <v>432</v>
      </c>
      <c r="F583" s="14" t="s">
        <v>448</v>
      </c>
      <c r="G583" s="14" t="s">
        <v>471</v>
      </c>
      <c r="H583" s="14" t="s">
        <v>449</v>
      </c>
      <c r="I583" s="14" t="s">
        <v>471</v>
      </c>
      <c r="J583" s="14" t="s">
        <v>426</v>
      </c>
      <c r="K583" s="14" t="s">
        <v>471</v>
      </c>
      <c r="L583" s="14"/>
      <c r="M583" s="14"/>
      <c r="N583" s="34" t="s">
        <v>509</v>
      </c>
      <c r="O583" s="14" t="s">
        <v>471</v>
      </c>
      <c r="P583" s="14" t="s">
        <v>278</v>
      </c>
      <c r="Q583" s="14" t="s">
        <v>432</v>
      </c>
      <c r="R583" s="14" t="s">
        <v>448</v>
      </c>
      <c r="S583" s="14" t="s">
        <v>471</v>
      </c>
      <c r="T583" s="14" t="s">
        <v>449</v>
      </c>
      <c r="U583" s="14" t="s">
        <v>471</v>
      </c>
      <c r="V583" s="14" t="s">
        <v>426</v>
      </c>
      <c r="W583" s="14" t="s">
        <v>471</v>
      </c>
      <c r="X583" s="14"/>
      <c r="AC583" s="14"/>
      <c r="AE583" s="14"/>
    </row>
    <row r="584" spans="1:31" s="133" customFormat="1">
      <c r="A584" s="14"/>
      <c r="B584" s="34">
        <v>0</v>
      </c>
      <c r="C584" s="56">
        <v>120</v>
      </c>
      <c r="D584" s="35">
        <v>0</v>
      </c>
      <c r="E584" s="56">
        <v>120</v>
      </c>
      <c r="F584" s="56">
        <v>0</v>
      </c>
      <c r="G584" s="56">
        <v>0</v>
      </c>
      <c r="H584" s="35">
        <v>0</v>
      </c>
      <c r="I584" s="56">
        <v>0</v>
      </c>
      <c r="J584" s="56">
        <v>0</v>
      </c>
      <c r="K584" s="56">
        <v>0</v>
      </c>
      <c r="L584" s="56"/>
      <c r="M584" s="56"/>
      <c r="N584" s="34">
        <v>0</v>
      </c>
      <c r="O584" s="56">
        <v>120</v>
      </c>
      <c r="P584" s="56">
        <v>0</v>
      </c>
      <c r="Q584" s="56">
        <v>120</v>
      </c>
      <c r="R584" s="56">
        <v>0</v>
      </c>
      <c r="S584" s="56">
        <v>0</v>
      </c>
      <c r="T584" s="35">
        <v>0</v>
      </c>
      <c r="U584" s="56">
        <v>0</v>
      </c>
      <c r="V584" s="56">
        <v>0</v>
      </c>
      <c r="W584" s="56">
        <v>0</v>
      </c>
      <c r="X584" s="14"/>
      <c r="AC584" s="14"/>
      <c r="AE584" s="14"/>
    </row>
    <row r="585" spans="1:31" s="133" customFormat="1">
      <c r="A585" s="183" t="s">
        <v>521</v>
      </c>
      <c r="B585" s="34">
        <v>9.91</v>
      </c>
      <c r="C585" s="56">
        <v>118</v>
      </c>
      <c r="D585" s="34">
        <v>8.51</v>
      </c>
      <c r="E585" s="56">
        <v>118</v>
      </c>
      <c r="F585" s="56">
        <v>251</v>
      </c>
      <c r="G585" s="56">
        <v>86</v>
      </c>
      <c r="H585" s="35">
        <v>9</v>
      </c>
      <c r="I585" s="56">
        <v>86</v>
      </c>
      <c r="J585" s="56">
        <v>40</v>
      </c>
      <c r="K585" s="56">
        <v>86</v>
      </c>
      <c r="L585" s="56"/>
      <c r="M585" s="56"/>
      <c r="N585" s="34">
        <v>11.51</v>
      </c>
      <c r="O585" s="56">
        <v>118</v>
      </c>
      <c r="P585" s="34">
        <v>9.51</v>
      </c>
      <c r="Q585" s="56">
        <v>118</v>
      </c>
      <c r="R585" s="56">
        <v>201</v>
      </c>
      <c r="S585" s="56">
        <v>86</v>
      </c>
      <c r="T585" s="35">
        <v>12</v>
      </c>
      <c r="U585" s="56">
        <v>86</v>
      </c>
      <c r="V585" s="56">
        <v>36</v>
      </c>
      <c r="W585" s="56">
        <v>86</v>
      </c>
      <c r="X585" s="14"/>
      <c r="AC585" s="14"/>
      <c r="AE585" s="14"/>
    </row>
    <row r="586" spans="1:31" s="133" customFormat="1">
      <c r="A586" s="183" t="s">
        <v>555</v>
      </c>
      <c r="B586" s="34">
        <v>10.11</v>
      </c>
      <c r="C586" s="56">
        <v>116</v>
      </c>
      <c r="D586" s="34">
        <v>8.7100000000000009</v>
      </c>
      <c r="E586" s="56">
        <v>116</v>
      </c>
      <c r="F586" s="56">
        <v>253</v>
      </c>
      <c r="G586" s="56">
        <v>88</v>
      </c>
      <c r="H586" s="35">
        <v>10</v>
      </c>
      <c r="I586" s="56">
        <v>88</v>
      </c>
      <c r="J586" s="56">
        <v>42</v>
      </c>
      <c r="K586" s="56">
        <v>88</v>
      </c>
      <c r="L586" s="56"/>
      <c r="M586" s="56"/>
      <c r="N586" s="34">
        <v>11.71</v>
      </c>
      <c r="O586" s="56">
        <v>116</v>
      </c>
      <c r="P586" s="34">
        <v>9.7100000000000009</v>
      </c>
      <c r="Q586" s="56">
        <v>116</v>
      </c>
      <c r="R586" s="56">
        <v>203</v>
      </c>
      <c r="S586" s="56">
        <v>88</v>
      </c>
      <c r="T586" s="35">
        <v>13</v>
      </c>
      <c r="U586" s="56">
        <v>88</v>
      </c>
      <c r="V586" s="56">
        <v>38</v>
      </c>
      <c r="W586" s="56">
        <v>88</v>
      </c>
      <c r="X586" s="14"/>
      <c r="AC586" s="14"/>
      <c r="AE586" s="14"/>
    </row>
    <row r="587" spans="1:31" s="133" customFormat="1">
      <c r="A587" s="183" t="s">
        <v>520</v>
      </c>
      <c r="B587" s="34">
        <v>10.309999999999999</v>
      </c>
      <c r="C587" s="56">
        <v>114</v>
      </c>
      <c r="D587" s="34">
        <v>8.9100000000000019</v>
      </c>
      <c r="E587" s="56">
        <v>114</v>
      </c>
      <c r="F587" s="56">
        <v>255</v>
      </c>
      <c r="G587" s="56">
        <v>90</v>
      </c>
      <c r="H587" s="35">
        <v>11</v>
      </c>
      <c r="I587" s="56">
        <v>90</v>
      </c>
      <c r="J587" s="56">
        <v>44</v>
      </c>
      <c r="K587" s="56">
        <v>90</v>
      </c>
      <c r="L587" s="56"/>
      <c r="M587" s="56"/>
      <c r="N587" s="34">
        <v>11.910000000000002</v>
      </c>
      <c r="O587" s="56">
        <v>114</v>
      </c>
      <c r="P587" s="34">
        <v>9.9100000000000019</v>
      </c>
      <c r="Q587" s="56">
        <v>114</v>
      </c>
      <c r="R587" s="56">
        <v>205</v>
      </c>
      <c r="S587" s="56">
        <v>90</v>
      </c>
      <c r="T587" s="35">
        <v>14</v>
      </c>
      <c r="U587" s="56">
        <v>90</v>
      </c>
      <c r="V587" s="56">
        <v>40</v>
      </c>
      <c r="W587" s="56">
        <v>90</v>
      </c>
      <c r="X587" s="14"/>
      <c r="AC587" s="14"/>
      <c r="AE587" s="14"/>
    </row>
    <row r="588" spans="1:31" s="133" customFormat="1">
      <c r="A588" s="183" t="s">
        <v>526</v>
      </c>
      <c r="B588" s="34">
        <v>10.509999999999998</v>
      </c>
      <c r="C588" s="56">
        <v>112</v>
      </c>
      <c r="D588" s="34">
        <v>9.110000000000003</v>
      </c>
      <c r="E588" s="56">
        <v>112</v>
      </c>
      <c r="F588" s="56">
        <v>257</v>
      </c>
      <c r="G588" s="56">
        <v>92</v>
      </c>
      <c r="H588" s="35">
        <v>12</v>
      </c>
      <c r="I588" s="56">
        <v>92</v>
      </c>
      <c r="J588" s="56">
        <v>46</v>
      </c>
      <c r="K588" s="56">
        <v>92</v>
      </c>
      <c r="L588" s="56"/>
      <c r="M588" s="56"/>
      <c r="N588" s="34">
        <v>12.110000000000003</v>
      </c>
      <c r="O588" s="56">
        <v>112</v>
      </c>
      <c r="P588" s="34">
        <v>10.110000000000003</v>
      </c>
      <c r="Q588" s="56">
        <v>112</v>
      </c>
      <c r="R588" s="56">
        <v>207</v>
      </c>
      <c r="S588" s="56">
        <v>92</v>
      </c>
      <c r="T588" s="35">
        <v>15</v>
      </c>
      <c r="U588" s="56">
        <v>92</v>
      </c>
      <c r="V588" s="56">
        <v>42</v>
      </c>
      <c r="W588" s="56">
        <v>92</v>
      </c>
      <c r="X588" s="14"/>
      <c r="AC588" s="14"/>
      <c r="AE588" s="14"/>
    </row>
    <row r="589" spans="1:31" s="133" customFormat="1">
      <c r="A589" s="183" t="s">
        <v>544</v>
      </c>
      <c r="B589" s="34">
        <v>10.709999999999997</v>
      </c>
      <c r="C589" s="56">
        <v>110</v>
      </c>
      <c r="D589" s="34">
        <v>9.3100000000000041</v>
      </c>
      <c r="E589" s="56">
        <v>110</v>
      </c>
      <c r="F589" s="56">
        <v>259</v>
      </c>
      <c r="G589" s="56">
        <v>94</v>
      </c>
      <c r="H589" s="35">
        <v>13</v>
      </c>
      <c r="I589" s="56">
        <v>94</v>
      </c>
      <c r="J589" s="56">
        <v>48</v>
      </c>
      <c r="K589" s="56">
        <v>94</v>
      </c>
      <c r="L589" s="56"/>
      <c r="M589" s="56"/>
      <c r="N589" s="34">
        <v>12.310000000000004</v>
      </c>
      <c r="O589" s="56">
        <v>110</v>
      </c>
      <c r="P589" s="34">
        <v>10.310000000000004</v>
      </c>
      <c r="Q589" s="56">
        <v>110</v>
      </c>
      <c r="R589" s="56">
        <v>209</v>
      </c>
      <c r="S589" s="56">
        <v>94</v>
      </c>
      <c r="T589" s="35">
        <v>16</v>
      </c>
      <c r="U589" s="56">
        <v>94</v>
      </c>
      <c r="V589" s="56">
        <v>44</v>
      </c>
      <c r="W589" s="56">
        <v>94</v>
      </c>
      <c r="X589" s="14"/>
      <c r="AC589" s="14"/>
      <c r="AE589" s="14"/>
    </row>
    <row r="590" spans="1:31" s="133" customFormat="1">
      <c r="A590" s="197" t="s">
        <v>204</v>
      </c>
      <c r="B590" s="34">
        <v>10.909999999999997</v>
      </c>
      <c r="C590" s="56">
        <v>108</v>
      </c>
      <c r="D590" s="34">
        <v>9.5100000000000051</v>
      </c>
      <c r="E590" s="56">
        <v>108</v>
      </c>
      <c r="F590" s="56">
        <v>261</v>
      </c>
      <c r="G590" s="56">
        <v>96</v>
      </c>
      <c r="H590" s="35">
        <v>14</v>
      </c>
      <c r="I590" s="56">
        <v>96</v>
      </c>
      <c r="J590" s="56">
        <v>50</v>
      </c>
      <c r="K590" s="56">
        <v>96</v>
      </c>
      <c r="L590" s="56"/>
      <c r="M590" s="56"/>
      <c r="N590" s="34">
        <v>12.510000000000005</v>
      </c>
      <c r="O590" s="56">
        <v>108</v>
      </c>
      <c r="P590" s="34">
        <v>10.510000000000005</v>
      </c>
      <c r="Q590" s="56">
        <v>108</v>
      </c>
      <c r="R590" s="56">
        <v>211</v>
      </c>
      <c r="S590" s="56">
        <v>96</v>
      </c>
      <c r="T590" s="35">
        <v>17</v>
      </c>
      <c r="U590" s="56">
        <v>96</v>
      </c>
      <c r="V590" s="56">
        <v>46</v>
      </c>
      <c r="W590" s="56">
        <v>96</v>
      </c>
      <c r="X590" s="14"/>
      <c r="AC590" s="14"/>
      <c r="AE590" s="14"/>
    </row>
    <row r="591" spans="1:31" s="133" customFormat="1">
      <c r="A591" s="14"/>
      <c r="B591" s="34">
        <v>11.109999999999996</v>
      </c>
      <c r="C591" s="56">
        <v>106</v>
      </c>
      <c r="D591" s="34">
        <v>9.7100000000000062</v>
      </c>
      <c r="E591" s="56">
        <v>106</v>
      </c>
      <c r="F591" s="56">
        <v>263</v>
      </c>
      <c r="G591" s="56">
        <v>98</v>
      </c>
      <c r="H591" s="35">
        <v>15</v>
      </c>
      <c r="I591" s="56">
        <v>98</v>
      </c>
      <c r="J591" s="56">
        <v>52</v>
      </c>
      <c r="K591" s="56">
        <v>98</v>
      </c>
      <c r="L591" s="56"/>
      <c r="M591" s="56"/>
      <c r="N591" s="34">
        <v>12.710000000000006</v>
      </c>
      <c r="O591" s="56">
        <v>106</v>
      </c>
      <c r="P591" s="34">
        <v>10.710000000000006</v>
      </c>
      <c r="Q591" s="56">
        <v>106</v>
      </c>
      <c r="R591" s="56">
        <v>213</v>
      </c>
      <c r="S591" s="56">
        <v>98</v>
      </c>
      <c r="T591" s="35">
        <v>18</v>
      </c>
      <c r="U591" s="56">
        <v>98</v>
      </c>
      <c r="V591" s="56">
        <v>48</v>
      </c>
      <c r="W591" s="56">
        <v>98</v>
      </c>
      <c r="X591" s="14"/>
      <c r="AC591" s="14"/>
      <c r="AE591" s="14"/>
    </row>
    <row r="592" spans="1:31" s="133" customFormat="1">
      <c r="A592" s="14"/>
      <c r="B592" s="34">
        <v>11.309999999999995</v>
      </c>
      <c r="C592" s="56">
        <v>104</v>
      </c>
      <c r="D592" s="34">
        <v>9.9100000000000072</v>
      </c>
      <c r="E592" s="56">
        <v>104</v>
      </c>
      <c r="F592" s="56">
        <v>265</v>
      </c>
      <c r="G592" s="56">
        <v>100</v>
      </c>
      <c r="H592" s="35">
        <v>16</v>
      </c>
      <c r="I592" s="56">
        <v>100</v>
      </c>
      <c r="J592" s="56">
        <v>54</v>
      </c>
      <c r="K592" s="56">
        <v>100</v>
      </c>
      <c r="L592" s="56"/>
      <c r="M592" s="56"/>
      <c r="N592" s="34">
        <v>12.910000000000007</v>
      </c>
      <c r="O592" s="56">
        <v>104</v>
      </c>
      <c r="P592" s="34">
        <v>10.910000000000007</v>
      </c>
      <c r="Q592" s="56">
        <v>104</v>
      </c>
      <c r="R592" s="56">
        <v>215</v>
      </c>
      <c r="S592" s="56">
        <v>100</v>
      </c>
      <c r="T592" s="35">
        <v>19</v>
      </c>
      <c r="U592" s="56">
        <v>100</v>
      </c>
      <c r="V592" s="56">
        <v>50</v>
      </c>
      <c r="W592" s="56">
        <v>100</v>
      </c>
      <c r="X592" s="14"/>
      <c r="AC592" s="14"/>
      <c r="AE592" s="14"/>
    </row>
    <row r="593" spans="1:31" s="133" customFormat="1">
      <c r="A593" s="14"/>
      <c r="B593" s="34">
        <v>11.509999999999994</v>
      </c>
      <c r="C593" s="56">
        <v>102</v>
      </c>
      <c r="D593" s="34">
        <v>10.110000000000008</v>
      </c>
      <c r="E593" s="56">
        <v>102</v>
      </c>
      <c r="F593" s="56">
        <v>267</v>
      </c>
      <c r="G593" s="56">
        <v>102</v>
      </c>
      <c r="H593" s="35">
        <v>17</v>
      </c>
      <c r="I593" s="56">
        <v>102</v>
      </c>
      <c r="J593" s="56">
        <v>56</v>
      </c>
      <c r="K593" s="56">
        <v>102</v>
      </c>
      <c r="L593" s="56"/>
      <c r="M593" s="56"/>
      <c r="N593" s="34">
        <v>13.110000000000008</v>
      </c>
      <c r="O593" s="56">
        <v>102</v>
      </c>
      <c r="P593" s="34">
        <v>11.110000000000008</v>
      </c>
      <c r="Q593" s="56">
        <v>102</v>
      </c>
      <c r="R593" s="56">
        <v>217</v>
      </c>
      <c r="S593" s="56">
        <v>102</v>
      </c>
      <c r="T593" s="35">
        <v>20</v>
      </c>
      <c r="U593" s="56">
        <v>102</v>
      </c>
      <c r="V593" s="56">
        <v>52</v>
      </c>
      <c r="W593" s="56">
        <v>102</v>
      </c>
      <c r="X593" s="14"/>
      <c r="AC593" s="14"/>
      <c r="AE593" s="14"/>
    </row>
    <row r="594" spans="1:31" s="133" customFormat="1">
      <c r="A594" s="14"/>
      <c r="B594" s="34">
        <v>11.709999999999994</v>
      </c>
      <c r="C594" s="56">
        <v>100</v>
      </c>
      <c r="D594" s="34">
        <v>10.310000000000009</v>
      </c>
      <c r="E594" s="56">
        <v>100</v>
      </c>
      <c r="F594" s="56">
        <v>269</v>
      </c>
      <c r="G594" s="56">
        <v>104</v>
      </c>
      <c r="H594" s="35">
        <v>18</v>
      </c>
      <c r="I594" s="56">
        <v>104</v>
      </c>
      <c r="J594" s="56">
        <v>58</v>
      </c>
      <c r="K594" s="56">
        <v>104</v>
      </c>
      <c r="L594" s="56"/>
      <c r="M594" s="56"/>
      <c r="N594" s="34">
        <v>13.310000000000009</v>
      </c>
      <c r="O594" s="56">
        <v>100</v>
      </c>
      <c r="P594" s="34">
        <v>11.310000000000009</v>
      </c>
      <c r="Q594" s="56">
        <v>100</v>
      </c>
      <c r="R594" s="56">
        <v>219</v>
      </c>
      <c r="S594" s="56">
        <v>104</v>
      </c>
      <c r="T594" s="35">
        <v>21</v>
      </c>
      <c r="U594" s="56">
        <v>104</v>
      </c>
      <c r="V594" s="56">
        <v>54</v>
      </c>
      <c r="W594" s="56">
        <v>104</v>
      </c>
      <c r="X594" s="14"/>
      <c r="AC594" s="14"/>
      <c r="AE594" s="14"/>
    </row>
    <row r="595" spans="1:31" s="133" customFormat="1">
      <c r="A595" s="14"/>
      <c r="B595" s="34">
        <v>11.909999999999993</v>
      </c>
      <c r="C595" s="56">
        <v>98</v>
      </c>
      <c r="D595" s="34">
        <v>10.51000000000001</v>
      </c>
      <c r="E595" s="56">
        <v>98</v>
      </c>
      <c r="F595" s="56">
        <v>271</v>
      </c>
      <c r="G595" s="56">
        <v>106</v>
      </c>
      <c r="H595" s="35">
        <v>19</v>
      </c>
      <c r="I595" s="56">
        <v>106</v>
      </c>
      <c r="J595" s="56">
        <v>60</v>
      </c>
      <c r="K595" s="56">
        <v>106</v>
      </c>
      <c r="L595" s="56"/>
      <c r="M595" s="56"/>
      <c r="N595" s="34">
        <v>13.51000000000001</v>
      </c>
      <c r="O595" s="56">
        <v>98</v>
      </c>
      <c r="P595" s="34">
        <v>11.51000000000001</v>
      </c>
      <c r="Q595" s="56">
        <v>98</v>
      </c>
      <c r="R595" s="56">
        <v>221</v>
      </c>
      <c r="S595" s="56">
        <v>106</v>
      </c>
      <c r="T595" s="35">
        <v>22</v>
      </c>
      <c r="U595" s="56">
        <v>106</v>
      </c>
      <c r="V595" s="56">
        <v>56</v>
      </c>
      <c r="W595" s="56">
        <v>106</v>
      </c>
      <c r="X595" s="14"/>
      <c r="AC595" s="14"/>
      <c r="AE595" s="14"/>
    </row>
    <row r="596" spans="1:31" s="133" customFormat="1">
      <c r="A596" s="14"/>
      <c r="B596" s="34">
        <v>12.109999999999992</v>
      </c>
      <c r="C596" s="56">
        <v>96</v>
      </c>
      <c r="D596" s="34">
        <v>10.710000000000012</v>
      </c>
      <c r="E596" s="56">
        <v>96</v>
      </c>
      <c r="F596" s="56">
        <v>273</v>
      </c>
      <c r="G596" s="56">
        <v>108</v>
      </c>
      <c r="H596" s="35">
        <v>20</v>
      </c>
      <c r="I596" s="56">
        <v>108</v>
      </c>
      <c r="J596" s="56">
        <v>62</v>
      </c>
      <c r="K596" s="56">
        <v>108</v>
      </c>
      <c r="L596" s="56"/>
      <c r="M596" s="56"/>
      <c r="N596" s="34">
        <v>13.710000000000012</v>
      </c>
      <c r="O596" s="56">
        <v>96</v>
      </c>
      <c r="P596" s="34">
        <v>11.710000000000012</v>
      </c>
      <c r="Q596" s="56">
        <v>96</v>
      </c>
      <c r="R596" s="56">
        <v>223</v>
      </c>
      <c r="S596" s="56">
        <v>108</v>
      </c>
      <c r="T596" s="35">
        <v>23</v>
      </c>
      <c r="U596" s="56">
        <v>108</v>
      </c>
      <c r="V596" s="56">
        <v>58</v>
      </c>
      <c r="W596" s="56">
        <v>108</v>
      </c>
      <c r="X596" s="14"/>
      <c r="AC596" s="14"/>
      <c r="AE596" s="14"/>
    </row>
    <row r="597" spans="1:31" s="133" customFormat="1">
      <c r="A597" s="14"/>
      <c r="B597" s="34">
        <v>12.309999999999992</v>
      </c>
      <c r="C597" s="56">
        <v>94</v>
      </c>
      <c r="D597" s="34">
        <v>10.910000000000013</v>
      </c>
      <c r="E597" s="56">
        <v>94</v>
      </c>
      <c r="F597" s="56">
        <v>275</v>
      </c>
      <c r="G597" s="56">
        <v>110</v>
      </c>
      <c r="H597" s="35">
        <v>21</v>
      </c>
      <c r="I597" s="56">
        <v>110</v>
      </c>
      <c r="J597" s="56">
        <v>64</v>
      </c>
      <c r="K597" s="56">
        <v>110</v>
      </c>
      <c r="L597" s="56"/>
      <c r="M597" s="56"/>
      <c r="N597" s="34">
        <v>13.910000000000013</v>
      </c>
      <c r="O597" s="56">
        <v>94</v>
      </c>
      <c r="P597" s="34">
        <v>11.910000000000013</v>
      </c>
      <c r="Q597" s="56">
        <v>94</v>
      </c>
      <c r="R597" s="56">
        <v>225</v>
      </c>
      <c r="S597" s="56">
        <v>110</v>
      </c>
      <c r="T597" s="35">
        <v>24</v>
      </c>
      <c r="U597" s="56">
        <v>110</v>
      </c>
      <c r="V597" s="56">
        <v>60</v>
      </c>
      <c r="W597" s="56">
        <v>110</v>
      </c>
      <c r="X597" s="14"/>
      <c r="AC597" s="14"/>
      <c r="AE597" s="14"/>
    </row>
    <row r="598" spans="1:31" s="133" customFormat="1">
      <c r="A598" s="14"/>
      <c r="B598" s="34">
        <v>12.509999999999991</v>
      </c>
      <c r="C598" s="56">
        <v>92</v>
      </c>
      <c r="D598" s="34">
        <v>11.110000000000014</v>
      </c>
      <c r="E598" s="56">
        <v>92</v>
      </c>
      <c r="F598" s="56">
        <v>277</v>
      </c>
      <c r="G598" s="56">
        <v>112</v>
      </c>
      <c r="H598" s="35">
        <v>22</v>
      </c>
      <c r="I598" s="56">
        <v>112</v>
      </c>
      <c r="J598" s="56">
        <v>66</v>
      </c>
      <c r="K598" s="56">
        <v>112</v>
      </c>
      <c r="L598" s="56"/>
      <c r="M598" s="56"/>
      <c r="N598" s="34">
        <v>14.110000000000014</v>
      </c>
      <c r="O598" s="56">
        <v>92</v>
      </c>
      <c r="P598" s="34">
        <v>12.110000000000014</v>
      </c>
      <c r="Q598" s="56">
        <v>92</v>
      </c>
      <c r="R598" s="56">
        <v>227</v>
      </c>
      <c r="S598" s="56">
        <v>112</v>
      </c>
      <c r="T598" s="35">
        <v>25</v>
      </c>
      <c r="U598" s="56">
        <v>112</v>
      </c>
      <c r="V598" s="56">
        <v>62</v>
      </c>
      <c r="W598" s="56">
        <v>112</v>
      </c>
      <c r="X598" s="14"/>
      <c r="AC598" s="14"/>
      <c r="AE598" s="14"/>
    </row>
    <row r="599" spans="1:31" s="133" customFormat="1">
      <c r="A599" s="14"/>
      <c r="B599" s="34">
        <v>12.70999999999999</v>
      </c>
      <c r="C599" s="56">
        <v>90</v>
      </c>
      <c r="D599" s="34">
        <v>11.310000000000015</v>
      </c>
      <c r="E599" s="56">
        <v>90</v>
      </c>
      <c r="F599" s="56">
        <v>279</v>
      </c>
      <c r="G599" s="56">
        <v>114</v>
      </c>
      <c r="H599" s="35">
        <v>23</v>
      </c>
      <c r="I599" s="56">
        <v>114</v>
      </c>
      <c r="J599" s="56">
        <v>68</v>
      </c>
      <c r="K599" s="56">
        <v>114</v>
      </c>
      <c r="L599" s="56"/>
      <c r="M599" s="56"/>
      <c r="N599" s="34">
        <v>14.310000000000015</v>
      </c>
      <c r="O599" s="56">
        <v>90</v>
      </c>
      <c r="P599" s="34">
        <v>12.310000000000015</v>
      </c>
      <c r="Q599" s="56">
        <v>90</v>
      </c>
      <c r="R599" s="56">
        <v>229</v>
      </c>
      <c r="S599" s="56">
        <v>114</v>
      </c>
      <c r="T599" s="35">
        <v>26</v>
      </c>
      <c r="U599" s="56">
        <v>114</v>
      </c>
      <c r="V599" s="56">
        <v>64</v>
      </c>
      <c r="W599" s="56">
        <v>114</v>
      </c>
      <c r="X599" s="14"/>
      <c r="AC599" s="14"/>
      <c r="AE599" s="14"/>
    </row>
    <row r="600" spans="1:31" s="133" customFormat="1">
      <c r="A600" s="14"/>
      <c r="B600" s="34">
        <v>12.909999999999989</v>
      </c>
      <c r="C600" s="56">
        <v>88</v>
      </c>
      <c r="D600" s="34">
        <v>11.510000000000016</v>
      </c>
      <c r="E600" s="56">
        <v>88</v>
      </c>
      <c r="F600" s="56">
        <v>281</v>
      </c>
      <c r="G600" s="56">
        <v>116</v>
      </c>
      <c r="H600" s="35">
        <v>24</v>
      </c>
      <c r="I600" s="56">
        <v>116</v>
      </c>
      <c r="J600" s="56">
        <v>70</v>
      </c>
      <c r="K600" s="56">
        <v>116</v>
      </c>
      <c r="L600" s="56"/>
      <c r="M600" s="56"/>
      <c r="N600" s="34">
        <v>14.510000000000016</v>
      </c>
      <c r="O600" s="56">
        <v>88</v>
      </c>
      <c r="P600" s="34">
        <v>12.510000000000016</v>
      </c>
      <c r="Q600" s="56">
        <v>88</v>
      </c>
      <c r="R600" s="56">
        <v>231</v>
      </c>
      <c r="S600" s="56">
        <v>116</v>
      </c>
      <c r="T600" s="35">
        <v>27</v>
      </c>
      <c r="U600" s="56">
        <v>116</v>
      </c>
      <c r="V600" s="56">
        <v>66</v>
      </c>
      <c r="W600" s="56">
        <v>116</v>
      </c>
      <c r="X600" s="14"/>
      <c r="AC600" s="14"/>
      <c r="AE600" s="14"/>
    </row>
    <row r="601" spans="1:31" s="133" customFormat="1">
      <c r="A601" s="14"/>
      <c r="B601" s="34">
        <v>13.109999999999989</v>
      </c>
      <c r="C601" s="56">
        <v>86</v>
      </c>
      <c r="D601" s="34">
        <v>11.710000000000017</v>
      </c>
      <c r="E601" s="56">
        <v>86</v>
      </c>
      <c r="F601" s="56">
        <v>283</v>
      </c>
      <c r="G601" s="56">
        <v>118</v>
      </c>
      <c r="H601" s="35">
        <v>25</v>
      </c>
      <c r="I601" s="56">
        <v>118</v>
      </c>
      <c r="J601" s="56">
        <v>72</v>
      </c>
      <c r="K601" s="56">
        <v>118</v>
      </c>
      <c r="L601" s="56"/>
      <c r="M601" s="56"/>
      <c r="N601" s="34">
        <v>14.710000000000017</v>
      </c>
      <c r="O601" s="56">
        <v>86</v>
      </c>
      <c r="P601" s="34">
        <v>12.710000000000017</v>
      </c>
      <c r="Q601" s="56">
        <v>86</v>
      </c>
      <c r="R601" s="56">
        <v>233</v>
      </c>
      <c r="S601" s="56">
        <v>118</v>
      </c>
      <c r="T601" s="35">
        <v>28</v>
      </c>
      <c r="U601" s="56">
        <v>118</v>
      </c>
      <c r="V601" s="56">
        <v>68</v>
      </c>
      <c r="W601" s="56">
        <v>118</v>
      </c>
      <c r="X601" s="14"/>
      <c r="AC601" s="14"/>
      <c r="AE601" s="14"/>
    </row>
    <row r="602" spans="1:31" s="133" customFormat="1">
      <c r="A602" s="14"/>
      <c r="B602" s="34">
        <v>13.309999999999988</v>
      </c>
      <c r="C602" s="56">
        <v>0</v>
      </c>
      <c r="D602" s="34">
        <v>11.910000000000018</v>
      </c>
      <c r="E602" s="56">
        <v>0</v>
      </c>
      <c r="F602" s="56">
        <v>285</v>
      </c>
      <c r="G602" s="56">
        <v>120</v>
      </c>
      <c r="H602" s="35">
        <v>26</v>
      </c>
      <c r="I602" s="56">
        <v>120</v>
      </c>
      <c r="J602" s="56">
        <v>74</v>
      </c>
      <c r="K602" s="56">
        <v>120</v>
      </c>
      <c r="L602" s="56"/>
      <c r="M602" s="56"/>
      <c r="N602" s="34">
        <v>14.910000000000018</v>
      </c>
      <c r="O602" s="56">
        <v>0</v>
      </c>
      <c r="P602" s="34">
        <v>12.910000000000018</v>
      </c>
      <c r="Q602" s="56">
        <v>0</v>
      </c>
      <c r="R602" s="56">
        <v>235</v>
      </c>
      <c r="S602" s="56">
        <v>120</v>
      </c>
      <c r="T602" s="35">
        <v>29</v>
      </c>
      <c r="U602" s="56">
        <v>120</v>
      </c>
      <c r="V602" s="56">
        <v>70</v>
      </c>
      <c r="W602" s="56">
        <v>120</v>
      </c>
      <c r="X602" s="14"/>
      <c r="AC602" s="14"/>
      <c r="AE602" s="14"/>
    </row>
    <row r="604" spans="1:31" s="14" customFormat="1">
      <c r="A604" s="95" t="s">
        <v>488</v>
      </c>
      <c r="B604" s="14" t="s">
        <v>305</v>
      </c>
      <c r="C604" s="14" t="s">
        <v>471</v>
      </c>
      <c r="D604" s="397" t="s">
        <v>670</v>
      </c>
      <c r="E604" s="14" t="s">
        <v>471</v>
      </c>
      <c r="F604" s="14" t="s">
        <v>448</v>
      </c>
      <c r="G604" s="14" t="s">
        <v>471</v>
      </c>
      <c r="J604" s="14" t="s">
        <v>426</v>
      </c>
      <c r="K604" s="125" t="s">
        <v>340</v>
      </c>
      <c r="L604" s="125" t="s">
        <v>314</v>
      </c>
      <c r="M604" s="125" t="s">
        <v>448</v>
      </c>
      <c r="N604" s="14" t="s">
        <v>305</v>
      </c>
      <c r="O604" s="14" t="s">
        <v>471</v>
      </c>
      <c r="P604" s="462" t="s">
        <v>670</v>
      </c>
      <c r="Q604" s="14" t="s">
        <v>471</v>
      </c>
      <c r="R604" s="14" t="s">
        <v>448</v>
      </c>
      <c r="S604" s="14" t="s">
        <v>471</v>
      </c>
      <c r="V604" s="14" t="s">
        <v>439</v>
      </c>
      <c r="X604" s="309" t="s">
        <v>461</v>
      </c>
      <c r="Y604" s="309" t="s">
        <v>471</v>
      </c>
      <c r="Z604" s="309" t="s">
        <v>449</v>
      </c>
      <c r="AA604" s="309" t="s">
        <v>471</v>
      </c>
    </row>
    <row r="605" spans="1:31" s="14" customFormat="1">
      <c r="A605" s="98" t="s">
        <v>594</v>
      </c>
      <c r="B605" s="14">
        <v>0</v>
      </c>
      <c r="C605" s="56">
        <v>270</v>
      </c>
      <c r="D605" s="34">
        <v>0</v>
      </c>
      <c r="E605" s="56">
        <v>0</v>
      </c>
      <c r="F605" s="56">
        <v>0</v>
      </c>
      <c r="G605" s="56">
        <v>0</v>
      </c>
      <c r="J605" s="56">
        <v>0</v>
      </c>
      <c r="K605" s="126">
        <v>0</v>
      </c>
      <c r="L605" s="126">
        <v>0</v>
      </c>
      <c r="M605" s="126">
        <v>0</v>
      </c>
      <c r="N605" s="124">
        <v>0</v>
      </c>
      <c r="O605" s="56">
        <v>270</v>
      </c>
      <c r="P605" s="34">
        <v>0</v>
      </c>
      <c r="Q605" s="56">
        <v>0</v>
      </c>
      <c r="R605" s="124">
        <v>0</v>
      </c>
      <c r="S605" s="56">
        <v>0</v>
      </c>
      <c r="V605" s="124">
        <v>0</v>
      </c>
      <c r="X605" s="310">
        <v>0</v>
      </c>
      <c r="Y605" s="310">
        <v>0</v>
      </c>
      <c r="Z605" s="311">
        <v>0</v>
      </c>
      <c r="AA605" s="310">
        <v>0</v>
      </c>
    </row>
    <row r="606" spans="1:31" s="14" customFormat="1">
      <c r="A606" s="98" t="s">
        <v>326</v>
      </c>
      <c r="B606" s="14">
        <v>14.01</v>
      </c>
      <c r="C606" s="56">
        <v>255</v>
      </c>
      <c r="D606" s="292">
        <v>14</v>
      </c>
      <c r="E606" s="56">
        <v>135</v>
      </c>
      <c r="F606" s="56">
        <v>240</v>
      </c>
      <c r="G606" s="56">
        <v>125</v>
      </c>
      <c r="J606" s="56">
        <v>22</v>
      </c>
      <c r="K606" s="126">
        <v>18</v>
      </c>
      <c r="L606" s="127">
        <v>17.010000000000002</v>
      </c>
      <c r="M606" s="126">
        <v>175</v>
      </c>
      <c r="N606" s="117">
        <v>16.510000000000002</v>
      </c>
      <c r="O606" s="56">
        <v>255</v>
      </c>
      <c r="P606" s="292">
        <v>4</v>
      </c>
      <c r="Q606" s="56">
        <v>135</v>
      </c>
      <c r="R606" s="124">
        <v>190</v>
      </c>
      <c r="S606" s="56">
        <v>125</v>
      </c>
      <c r="V606" s="124">
        <v>20</v>
      </c>
      <c r="X606" s="310">
        <v>21</v>
      </c>
      <c r="Y606" s="310">
        <v>10</v>
      </c>
      <c r="Z606" s="311">
        <v>21</v>
      </c>
      <c r="AA606" s="310">
        <v>10</v>
      </c>
    </row>
    <row r="607" spans="1:31" s="14" customFormat="1">
      <c r="B607" s="14">
        <v>14.51</v>
      </c>
      <c r="C607" s="56">
        <v>240</v>
      </c>
      <c r="D607" s="292">
        <v>16</v>
      </c>
      <c r="E607" s="56">
        <v>150</v>
      </c>
      <c r="F607" s="56">
        <v>245</v>
      </c>
      <c r="G607" s="56">
        <v>140</v>
      </c>
      <c r="J607" s="56">
        <v>24</v>
      </c>
      <c r="K607" s="126">
        <v>20</v>
      </c>
      <c r="L607" s="127">
        <v>17.510000000000002</v>
      </c>
      <c r="M607" s="126">
        <v>180</v>
      </c>
      <c r="N607" s="117">
        <v>17.010000000000002</v>
      </c>
      <c r="O607" s="56">
        <v>240</v>
      </c>
      <c r="P607" s="292">
        <v>6</v>
      </c>
      <c r="Q607" s="56">
        <v>150</v>
      </c>
      <c r="R607" s="124">
        <v>195</v>
      </c>
      <c r="S607" s="56">
        <v>140</v>
      </c>
      <c r="V607" s="124">
        <v>22</v>
      </c>
      <c r="X607" s="310">
        <v>26</v>
      </c>
      <c r="Y607" s="310">
        <v>20</v>
      </c>
      <c r="Z607" s="311">
        <v>22</v>
      </c>
      <c r="AA607" s="310">
        <v>20</v>
      </c>
    </row>
    <row r="608" spans="1:31" s="14" customFormat="1">
      <c r="A608" s="183" t="s">
        <v>529</v>
      </c>
      <c r="B608" s="31">
        <v>15.01</v>
      </c>
      <c r="C608" s="73">
        <v>225</v>
      </c>
      <c r="D608" s="292">
        <v>18</v>
      </c>
      <c r="E608" s="56">
        <v>165</v>
      </c>
      <c r="F608" s="56">
        <v>250</v>
      </c>
      <c r="G608" s="56">
        <v>155</v>
      </c>
      <c r="J608" s="56">
        <v>26</v>
      </c>
      <c r="K608" s="126">
        <v>22</v>
      </c>
      <c r="L608" s="127">
        <v>18.010000000000002</v>
      </c>
      <c r="M608" s="126">
        <v>185</v>
      </c>
      <c r="N608" s="117">
        <v>17.510000000000002</v>
      </c>
      <c r="O608" s="56">
        <v>225</v>
      </c>
      <c r="P608" s="292">
        <v>8</v>
      </c>
      <c r="Q608" s="56">
        <v>165</v>
      </c>
      <c r="R608" s="124">
        <v>200</v>
      </c>
      <c r="S608" s="56">
        <v>155</v>
      </c>
      <c r="V608" s="124">
        <v>24</v>
      </c>
      <c r="X608" s="310">
        <v>31</v>
      </c>
      <c r="Y608" s="310">
        <v>30</v>
      </c>
      <c r="Z608" s="311">
        <v>23</v>
      </c>
      <c r="AA608" s="310">
        <v>30</v>
      </c>
    </row>
    <row r="609" spans="1:27" s="14" customFormat="1">
      <c r="A609" s="183"/>
      <c r="B609" s="14">
        <v>15.51</v>
      </c>
      <c r="C609" s="56">
        <v>210</v>
      </c>
      <c r="D609" s="292">
        <v>20</v>
      </c>
      <c r="E609" s="56">
        <v>180</v>
      </c>
      <c r="F609" s="56">
        <v>255</v>
      </c>
      <c r="G609" s="56">
        <v>170</v>
      </c>
      <c r="J609" s="56">
        <v>28</v>
      </c>
      <c r="K609" s="126">
        <v>24</v>
      </c>
      <c r="L609" s="127">
        <v>18.510000000000002</v>
      </c>
      <c r="M609" s="126">
        <v>190</v>
      </c>
      <c r="N609" s="117">
        <v>18.010000000000002</v>
      </c>
      <c r="O609" s="56">
        <v>210</v>
      </c>
      <c r="P609" s="292">
        <v>10</v>
      </c>
      <c r="Q609" s="56">
        <v>180</v>
      </c>
      <c r="R609" s="124">
        <v>205</v>
      </c>
      <c r="S609" s="56">
        <v>170</v>
      </c>
      <c r="V609" s="124">
        <v>26</v>
      </c>
      <c r="X609" s="310">
        <v>36</v>
      </c>
      <c r="Y609" s="310">
        <v>40</v>
      </c>
      <c r="Z609" s="311">
        <v>24</v>
      </c>
      <c r="AA609" s="310">
        <v>40</v>
      </c>
    </row>
    <row r="610" spans="1:27" s="14" customFormat="1">
      <c r="A610" s="183"/>
      <c r="B610" s="14">
        <v>16.010000000000002</v>
      </c>
      <c r="C610" s="56">
        <v>195</v>
      </c>
      <c r="D610" s="292">
        <v>22</v>
      </c>
      <c r="E610" s="56">
        <v>195</v>
      </c>
      <c r="F610" s="56">
        <v>260</v>
      </c>
      <c r="G610" s="56">
        <v>185</v>
      </c>
      <c r="J610" s="56">
        <v>30</v>
      </c>
      <c r="K610" s="126">
        <v>26</v>
      </c>
      <c r="L610" s="127">
        <v>19.010000000000002</v>
      </c>
      <c r="M610" s="126">
        <v>195</v>
      </c>
      <c r="N610" s="117">
        <v>18.510000000000002</v>
      </c>
      <c r="O610" s="56">
        <v>195</v>
      </c>
      <c r="P610" s="292">
        <v>12</v>
      </c>
      <c r="Q610" s="56">
        <v>195</v>
      </c>
      <c r="R610" s="124">
        <v>210</v>
      </c>
      <c r="S610" s="56">
        <v>185</v>
      </c>
      <c r="V610" s="124">
        <v>28</v>
      </c>
      <c r="X610" s="310">
        <v>41</v>
      </c>
      <c r="Y610" s="310">
        <v>50</v>
      </c>
      <c r="Z610" s="311">
        <v>25</v>
      </c>
      <c r="AA610" s="310">
        <v>50</v>
      </c>
    </row>
    <row r="611" spans="1:27" s="14" customFormat="1">
      <c r="A611" s="183"/>
      <c r="B611" s="14">
        <v>16.510000000000002</v>
      </c>
      <c r="C611" s="56">
        <v>180</v>
      </c>
      <c r="D611" s="292">
        <v>24</v>
      </c>
      <c r="E611" s="56">
        <v>210</v>
      </c>
      <c r="F611" s="56">
        <v>265</v>
      </c>
      <c r="G611" s="56">
        <v>200</v>
      </c>
      <c r="J611" s="56">
        <v>32</v>
      </c>
      <c r="K611" s="126">
        <v>28</v>
      </c>
      <c r="L611" s="127">
        <v>19.510000000000002</v>
      </c>
      <c r="M611" s="126">
        <v>200</v>
      </c>
      <c r="N611" s="117">
        <v>19.010000000000002</v>
      </c>
      <c r="O611" s="56">
        <v>180</v>
      </c>
      <c r="P611" s="292">
        <v>14</v>
      </c>
      <c r="Q611" s="56">
        <v>210</v>
      </c>
      <c r="R611" s="124">
        <v>215</v>
      </c>
      <c r="S611" s="56">
        <v>200</v>
      </c>
      <c r="V611" s="124">
        <v>30</v>
      </c>
      <c r="X611" s="310">
        <v>46</v>
      </c>
      <c r="Y611" s="310">
        <v>60</v>
      </c>
      <c r="Z611" s="311">
        <v>26</v>
      </c>
      <c r="AA611" s="310">
        <v>60</v>
      </c>
    </row>
    <row r="612" spans="1:27" s="14" customFormat="1">
      <c r="B612" s="14">
        <v>17.010000000000002</v>
      </c>
      <c r="C612" s="56">
        <v>165</v>
      </c>
      <c r="D612" s="292">
        <v>26</v>
      </c>
      <c r="E612" s="56">
        <v>225</v>
      </c>
      <c r="F612" s="56">
        <v>270</v>
      </c>
      <c r="G612" s="56">
        <v>215</v>
      </c>
      <c r="J612" s="56">
        <v>34</v>
      </c>
      <c r="K612" s="126">
        <v>30</v>
      </c>
      <c r="L612" s="127">
        <v>20.010000000000002</v>
      </c>
      <c r="M612" s="126">
        <v>205</v>
      </c>
      <c r="N612" s="117">
        <v>19.510000000000002</v>
      </c>
      <c r="O612" s="56">
        <v>165</v>
      </c>
      <c r="P612" s="292">
        <v>16</v>
      </c>
      <c r="Q612" s="56">
        <v>225</v>
      </c>
      <c r="R612" s="124">
        <v>220</v>
      </c>
      <c r="S612" s="56">
        <v>215</v>
      </c>
      <c r="V612" s="124">
        <v>32</v>
      </c>
      <c r="X612" s="310">
        <v>51</v>
      </c>
      <c r="Y612" s="310">
        <v>70</v>
      </c>
      <c r="Z612" s="311">
        <v>27</v>
      </c>
      <c r="AA612" s="310">
        <v>70</v>
      </c>
    </row>
    <row r="613" spans="1:27" s="14" customFormat="1">
      <c r="B613" s="14">
        <v>17.510000000000002</v>
      </c>
      <c r="C613" s="56">
        <v>150</v>
      </c>
      <c r="D613" s="292">
        <v>28</v>
      </c>
      <c r="E613" s="56">
        <v>240</v>
      </c>
      <c r="F613" s="73">
        <v>275</v>
      </c>
      <c r="G613" s="73">
        <v>230</v>
      </c>
      <c r="J613" s="56">
        <v>36</v>
      </c>
      <c r="K613" s="126">
        <v>32</v>
      </c>
      <c r="L613" s="127">
        <v>21</v>
      </c>
      <c r="M613" s="126">
        <v>210</v>
      </c>
      <c r="N613" s="117">
        <v>20.5</v>
      </c>
      <c r="O613" s="56">
        <v>150</v>
      </c>
      <c r="P613" s="292">
        <v>18</v>
      </c>
      <c r="Q613" s="56">
        <v>240</v>
      </c>
      <c r="R613" s="124">
        <v>225</v>
      </c>
      <c r="S613" s="56">
        <v>230</v>
      </c>
      <c r="V613" s="124">
        <v>34</v>
      </c>
      <c r="X613" s="310">
        <v>56</v>
      </c>
      <c r="Y613" s="310">
        <v>80</v>
      </c>
      <c r="Z613" s="311">
        <v>28</v>
      </c>
      <c r="AA613" s="310">
        <v>80</v>
      </c>
    </row>
    <row r="614" spans="1:27" s="14" customFormat="1">
      <c r="B614" s="34">
        <v>18</v>
      </c>
      <c r="C614" s="56">
        <v>135</v>
      </c>
      <c r="D614" s="14">
        <v>30</v>
      </c>
      <c r="E614" s="56">
        <v>255</v>
      </c>
      <c r="F614" s="56">
        <v>280</v>
      </c>
      <c r="G614" s="56">
        <v>245</v>
      </c>
      <c r="J614" s="56">
        <v>38</v>
      </c>
      <c r="K614" s="126">
        <v>34</v>
      </c>
      <c r="L614" s="127">
        <v>22</v>
      </c>
      <c r="M614" s="126">
        <v>215</v>
      </c>
      <c r="N614" s="117">
        <v>21.5</v>
      </c>
      <c r="O614" s="56">
        <v>135</v>
      </c>
      <c r="P614" s="14">
        <v>20</v>
      </c>
      <c r="Q614" s="56">
        <v>255</v>
      </c>
      <c r="R614" s="124">
        <v>230</v>
      </c>
      <c r="S614" s="56">
        <v>245</v>
      </c>
      <c r="V614" s="124">
        <v>36</v>
      </c>
      <c r="X614" s="310">
        <v>58</v>
      </c>
      <c r="Y614" s="310">
        <v>90</v>
      </c>
      <c r="Z614" s="311">
        <v>29</v>
      </c>
      <c r="AA614" s="310">
        <v>90</v>
      </c>
    </row>
    <row r="615" spans="1:27" s="14" customFormat="1">
      <c r="B615" s="34">
        <v>19</v>
      </c>
      <c r="C615" s="56">
        <v>0</v>
      </c>
      <c r="D615" s="31">
        <v>32</v>
      </c>
      <c r="E615" s="73">
        <v>270</v>
      </c>
      <c r="F615" s="56">
        <v>285</v>
      </c>
      <c r="G615" s="56">
        <v>260</v>
      </c>
      <c r="J615" s="56">
        <v>40</v>
      </c>
      <c r="K615" s="126">
        <v>36</v>
      </c>
      <c r="L615" s="127">
        <v>23</v>
      </c>
      <c r="M615" s="126">
        <v>220</v>
      </c>
      <c r="N615" s="117">
        <v>22.5</v>
      </c>
      <c r="O615" s="56">
        <v>0</v>
      </c>
      <c r="P615" s="14">
        <v>22</v>
      </c>
      <c r="Q615" s="56">
        <v>270</v>
      </c>
      <c r="R615" s="124">
        <v>235</v>
      </c>
      <c r="S615" s="56">
        <v>260</v>
      </c>
      <c r="V615" s="124">
        <v>38</v>
      </c>
      <c r="X615" s="310">
        <v>60</v>
      </c>
      <c r="Y615" s="310">
        <v>100</v>
      </c>
      <c r="Z615" s="311">
        <v>30</v>
      </c>
      <c r="AA615" s="310">
        <v>100</v>
      </c>
    </row>
    <row r="616" spans="1:27" s="14" customFormat="1">
      <c r="B616" s="534"/>
      <c r="C616" s="534"/>
      <c r="D616" s="534"/>
      <c r="E616" s="534"/>
      <c r="F616" s="534"/>
      <c r="G616" s="534"/>
      <c r="H616" s="534"/>
      <c r="I616" s="534"/>
      <c r="J616" s="534"/>
      <c r="K616" s="534"/>
      <c r="L616" s="32"/>
      <c r="M616" s="32"/>
    </row>
    <row r="617" spans="1:27">
      <c r="R617" s="56"/>
      <c r="S617" s="56"/>
      <c r="T617" s="35"/>
      <c r="U617" s="56"/>
    </row>
    <row r="618" spans="1:27">
      <c r="A618" s="25" t="s">
        <v>479</v>
      </c>
      <c r="B618" s="25" t="s">
        <v>448</v>
      </c>
      <c r="C618" s="25" t="s">
        <v>471</v>
      </c>
      <c r="D618" s="25" t="s">
        <v>453</v>
      </c>
      <c r="E618" s="25" t="s">
        <v>471</v>
      </c>
      <c r="F618" s="31" t="s">
        <v>451</v>
      </c>
      <c r="G618" s="31" t="s">
        <v>471</v>
      </c>
      <c r="I618" s="25" t="s">
        <v>254</v>
      </c>
      <c r="N618" s="25" t="s">
        <v>448</v>
      </c>
      <c r="O618" s="25" t="s">
        <v>471</v>
      </c>
      <c r="P618" s="25" t="s">
        <v>453</v>
      </c>
      <c r="Q618" s="25" t="s">
        <v>471</v>
      </c>
      <c r="R618" s="31" t="s">
        <v>451</v>
      </c>
      <c r="S618" s="31" t="s">
        <v>471</v>
      </c>
    </row>
    <row r="619" spans="1:27">
      <c r="A619" s="25" t="s">
        <v>325</v>
      </c>
      <c r="B619" s="25">
        <v>0</v>
      </c>
      <c r="C619" s="56">
        <v>70</v>
      </c>
      <c r="D619" s="35">
        <v>0</v>
      </c>
      <c r="E619" s="56">
        <v>200</v>
      </c>
      <c r="F619" s="31">
        <v>0</v>
      </c>
      <c r="G619" s="56">
        <v>70</v>
      </c>
      <c r="I619" s="56">
        <v>70</v>
      </c>
      <c r="J619" s="56">
        <v>200</v>
      </c>
      <c r="K619" s="56"/>
      <c r="L619" s="56"/>
      <c r="M619" s="56"/>
      <c r="N619" s="25">
        <v>0</v>
      </c>
      <c r="O619" s="56">
        <v>70</v>
      </c>
      <c r="P619" s="35">
        <v>0</v>
      </c>
      <c r="Q619" s="56">
        <v>200</v>
      </c>
      <c r="R619" s="31">
        <v>0</v>
      </c>
      <c r="S619" s="56">
        <v>70</v>
      </c>
      <c r="T619" s="56"/>
      <c r="U619" s="56"/>
      <c r="V619" s="56"/>
    </row>
    <row r="620" spans="1:27">
      <c r="A620" s="128" t="s">
        <v>293</v>
      </c>
      <c r="B620" s="25">
        <v>228</v>
      </c>
      <c r="C620" s="56">
        <v>75</v>
      </c>
      <c r="D620" s="35">
        <v>11.7</v>
      </c>
      <c r="E620" s="56">
        <v>197</v>
      </c>
      <c r="F620" s="31">
        <v>105</v>
      </c>
      <c r="G620" s="56">
        <v>75</v>
      </c>
      <c r="I620" s="56">
        <v>75</v>
      </c>
      <c r="J620" s="56">
        <v>197</v>
      </c>
      <c r="K620" s="56"/>
      <c r="L620" s="56"/>
      <c r="M620" s="56"/>
      <c r="N620" s="25">
        <v>174</v>
      </c>
      <c r="O620" s="56">
        <v>75</v>
      </c>
      <c r="P620" s="35">
        <v>12.7</v>
      </c>
      <c r="Q620" s="56">
        <v>197</v>
      </c>
      <c r="R620" s="31">
        <v>35</v>
      </c>
      <c r="S620" s="56">
        <v>75</v>
      </c>
      <c r="T620" s="56"/>
      <c r="U620" s="35"/>
      <c r="V620" s="56"/>
    </row>
    <row r="621" spans="1:27">
      <c r="A621" s="128" t="s">
        <v>559</v>
      </c>
      <c r="B621" s="25">
        <v>231</v>
      </c>
      <c r="C621" s="56">
        <v>80</v>
      </c>
      <c r="D621" s="35">
        <v>11.8</v>
      </c>
      <c r="E621" s="56">
        <v>194</v>
      </c>
      <c r="F621" s="31">
        <v>110</v>
      </c>
      <c r="G621" s="56">
        <v>80</v>
      </c>
      <c r="I621" s="56">
        <v>80</v>
      </c>
      <c r="J621" s="56">
        <v>194</v>
      </c>
      <c r="K621" s="56"/>
      <c r="L621" s="56"/>
      <c r="M621" s="56"/>
      <c r="N621" s="25">
        <v>177</v>
      </c>
      <c r="O621" s="56">
        <v>80</v>
      </c>
      <c r="P621" s="35">
        <v>12.8</v>
      </c>
      <c r="Q621" s="56">
        <v>194</v>
      </c>
      <c r="R621" s="31">
        <v>40</v>
      </c>
      <c r="S621" s="56">
        <v>80</v>
      </c>
      <c r="T621" s="56"/>
      <c r="U621" s="35"/>
      <c r="V621" s="56"/>
    </row>
    <row r="622" spans="1:27">
      <c r="A622" s="128" t="s">
        <v>566</v>
      </c>
      <c r="B622" s="25">
        <v>234</v>
      </c>
      <c r="C622" s="56">
        <v>85</v>
      </c>
      <c r="D622" s="35">
        <v>11.900000000000002</v>
      </c>
      <c r="E622" s="56">
        <v>191</v>
      </c>
      <c r="F622" s="31">
        <v>115</v>
      </c>
      <c r="G622" s="56">
        <v>85</v>
      </c>
      <c r="I622" s="56">
        <v>85</v>
      </c>
      <c r="J622" s="56">
        <v>191</v>
      </c>
      <c r="K622" s="56"/>
      <c r="L622" s="56"/>
      <c r="M622" s="56"/>
      <c r="N622" s="25">
        <v>180</v>
      </c>
      <c r="O622" s="56">
        <v>85</v>
      </c>
      <c r="P622" s="35">
        <v>12.900000000000002</v>
      </c>
      <c r="Q622" s="56">
        <v>191</v>
      </c>
      <c r="R622" s="31">
        <v>45</v>
      </c>
      <c r="S622" s="56">
        <v>85</v>
      </c>
      <c r="T622" s="56"/>
      <c r="U622" s="35"/>
      <c r="V622" s="56"/>
    </row>
    <row r="623" spans="1:27">
      <c r="B623" s="25">
        <v>237</v>
      </c>
      <c r="C623" s="56">
        <v>90</v>
      </c>
      <c r="D623" s="35">
        <v>12.000000000000004</v>
      </c>
      <c r="E623" s="56">
        <v>188</v>
      </c>
      <c r="F623" s="31">
        <v>120</v>
      </c>
      <c r="G623" s="56">
        <v>90</v>
      </c>
      <c r="I623" s="56">
        <v>90</v>
      </c>
      <c r="J623" s="56">
        <v>188</v>
      </c>
      <c r="K623" s="56"/>
      <c r="L623" s="56"/>
      <c r="M623" s="56"/>
      <c r="N623" s="25">
        <v>183</v>
      </c>
      <c r="O623" s="56">
        <v>90</v>
      </c>
      <c r="P623" s="35">
        <v>13.000000000000004</v>
      </c>
      <c r="Q623" s="56">
        <v>188</v>
      </c>
      <c r="R623" s="31">
        <v>50</v>
      </c>
      <c r="S623" s="56">
        <v>90</v>
      </c>
      <c r="T623" s="56"/>
      <c r="U623" s="35"/>
      <c r="V623" s="56"/>
    </row>
    <row r="624" spans="1:27">
      <c r="A624" s="183" t="s">
        <v>367</v>
      </c>
      <c r="B624" s="25">
        <v>240</v>
      </c>
      <c r="C624" s="56">
        <v>95</v>
      </c>
      <c r="D624" s="35">
        <v>12.100000000000005</v>
      </c>
      <c r="E624" s="56">
        <v>185</v>
      </c>
      <c r="F624" s="31">
        <v>125</v>
      </c>
      <c r="G624" s="56">
        <v>95</v>
      </c>
      <c r="I624" s="56">
        <v>95</v>
      </c>
      <c r="J624" s="56">
        <v>185</v>
      </c>
      <c r="K624" s="56"/>
      <c r="L624" s="56"/>
      <c r="M624" s="56"/>
      <c r="N624" s="25">
        <v>186</v>
      </c>
      <c r="O624" s="56">
        <v>95</v>
      </c>
      <c r="P624" s="35">
        <v>13.100000000000005</v>
      </c>
      <c r="Q624" s="56">
        <v>185</v>
      </c>
      <c r="R624" s="31">
        <v>55</v>
      </c>
      <c r="S624" s="56">
        <v>95</v>
      </c>
      <c r="T624" s="56"/>
      <c r="U624" s="35"/>
      <c r="V624" s="56"/>
    </row>
    <row r="625" spans="1:22">
      <c r="A625" s="183" t="s">
        <v>105</v>
      </c>
      <c r="B625" s="25">
        <v>243</v>
      </c>
      <c r="C625" s="56">
        <v>100</v>
      </c>
      <c r="D625" s="186">
        <v>12.200000000000006</v>
      </c>
      <c r="E625" s="185">
        <v>181</v>
      </c>
      <c r="F625" s="31">
        <v>130</v>
      </c>
      <c r="G625" s="56">
        <v>100</v>
      </c>
      <c r="I625" s="56">
        <v>100</v>
      </c>
      <c r="J625" s="56">
        <v>181</v>
      </c>
      <c r="K625" s="56"/>
      <c r="L625" s="56"/>
      <c r="M625" s="56"/>
      <c r="N625" s="25">
        <v>189</v>
      </c>
      <c r="O625" s="56">
        <v>100</v>
      </c>
      <c r="P625" s="35">
        <v>13.200000000000006</v>
      </c>
      <c r="Q625" s="185">
        <v>181</v>
      </c>
      <c r="R625" s="31">
        <v>60</v>
      </c>
      <c r="S625" s="56">
        <v>100</v>
      </c>
      <c r="T625" s="56"/>
      <c r="U625" s="35"/>
      <c r="V625" s="56"/>
    </row>
    <row r="626" spans="1:22">
      <c r="A626" s="183" t="s">
        <v>354</v>
      </c>
      <c r="B626" s="25">
        <v>246</v>
      </c>
      <c r="C626" s="56">
        <v>105</v>
      </c>
      <c r="D626" s="35">
        <v>12.300000000000008</v>
      </c>
      <c r="E626" s="56">
        <v>177</v>
      </c>
      <c r="F626" s="31">
        <v>135</v>
      </c>
      <c r="G626" s="56">
        <v>105</v>
      </c>
      <c r="I626" s="56">
        <v>105</v>
      </c>
      <c r="J626" s="56">
        <v>177</v>
      </c>
      <c r="K626" s="56"/>
      <c r="L626" s="56"/>
      <c r="M626" s="56"/>
      <c r="N626" s="25">
        <v>192</v>
      </c>
      <c r="O626" s="56">
        <v>105</v>
      </c>
      <c r="P626" s="35">
        <v>13.300000000000008</v>
      </c>
      <c r="Q626" s="56">
        <v>177</v>
      </c>
      <c r="R626" s="31">
        <v>65</v>
      </c>
      <c r="S626" s="56">
        <v>105</v>
      </c>
      <c r="T626" s="56"/>
      <c r="U626" s="35"/>
      <c r="V626" s="56"/>
    </row>
    <row r="627" spans="1:22">
      <c r="B627" s="25">
        <v>249</v>
      </c>
      <c r="C627" s="56">
        <v>110</v>
      </c>
      <c r="D627" s="35">
        <v>12.400000000000009</v>
      </c>
      <c r="E627" s="56">
        <v>173</v>
      </c>
      <c r="F627" s="31">
        <v>140</v>
      </c>
      <c r="G627" s="56">
        <v>110</v>
      </c>
      <c r="I627" s="56">
        <v>110</v>
      </c>
      <c r="J627" s="56">
        <v>173</v>
      </c>
      <c r="K627" s="56"/>
      <c r="L627" s="56"/>
      <c r="M627" s="56"/>
      <c r="N627" s="25">
        <v>195</v>
      </c>
      <c r="O627" s="56">
        <v>110</v>
      </c>
      <c r="P627" s="35">
        <v>13.400000000000009</v>
      </c>
      <c r="Q627" s="56">
        <v>173</v>
      </c>
      <c r="R627" s="31">
        <v>70</v>
      </c>
      <c r="S627" s="56">
        <v>110</v>
      </c>
      <c r="T627" s="56"/>
      <c r="U627" s="35"/>
      <c r="V627" s="56"/>
    </row>
    <row r="628" spans="1:22">
      <c r="B628" s="25">
        <v>252</v>
      </c>
      <c r="C628" s="56">
        <v>115</v>
      </c>
      <c r="D628" s="35">
        <v>12.500000000000011</v>
      </c>
      <c r="E628" s="56">
        <v>169</v>
      </c>
      <c r="F628" s="31">
        <v>145</v>
      </c>
      <c r="G628" s="56">
        <v>115</v>
      </c>
      <c r="I628" s="56">
        <v>115</v>
      </c>
      <c r="J628" s="56">
        <v>169</v>
      </c>
      <c r="K628" s="56"/>
      <c r="L628" s="56"/>
      <c r="M628" s="56"/>
      <c r="N628" s="25">
        <v>198</v>
      </c>
      <c r="O628" s="56">
        <v>115</v>
      </c>
      <c r="P628" s="35">
        <v>13.500000000000011</v>
      </c>
      <c r="Q628" s="56">
        <v>169</v>
      </c>
      <c r="R628" s="31">
        <v>75</v>
      </c>
      <c r="S628" s="56">
        <v>115</v>
      </c>
      <c r="T628" s="56"/>
      <c r="U628" s="35"/>
      <c r="V628" s="56"/>
    </row>
    <row r="629" spans="1:22">
      <c r="B629" s="25">
        <v>255</v>
      </c>
      <c r="C629" s="56">
        <v>120</v>
      </c>
      <c r="D629" s="35">
        <v>12.600000000000012</v>
      </c>
      <c r="E629" s="56">
        <v>165</v>
      </c>
      <c r="F629" s="31">
        <v>150</v>
      </c>
      <c r="G629" s="56">
        <v>120</v>
      </c>
      <c r="I629" s="56">
        <v>120</v>
      </c>
      <c r="J629" s="56">
        <v>165</v>
      </c>
      <c r="K629" s="56"/>
      <c r="L629" s="56"/>
      <c r="M629" s="56"/>
      <c r="N629" s="25">
        <v>201</v>
      </c>
      <c r="O629" s="56">
        <v>120</v>
      </c>
      <c r="P629" s="35">
        <v>13.600000000000012</v>
      </c>
      <c r="Q629" s="56">
        <v>165</v>
      </c>
      <c r="R629" s="31">
        <v>80</v>
      </c>
      <c r="S629" s="56">
        <v>120</v>
      </c>
      <c r="T629" s="56"/>
      <c r="U629" s="35"/>
      <c r="V629" s="56"/>
    </row>
    <row r="630" spans="1:22">
      <c r="B630" s="25">
        <v>258</v>
      </c>
      <c r="C630" s="56">
        <v>125</v>
      </c>
      <c r="D630" s="35">
        <v>12.700000000000014</v>
      </c>
      <c r="E630" s="56">
        <v>161</v>
      </c>
      <c r="F630" s="31">
        <v>155</v>
      </c>
      <c r="G630" s="56">
        <v>125</v>
      </c>
      <c r="I630" s="56">
        <v>125</v>
      </c>
      <c r="J630" s="56">
        <v>161</v>
      </c>
      <c r="K630" s="56"/>
      <c r="L630" s="56"/>
      <c r="M630" s="56"/>
      <c r="N630" s="25">
        <v>204</v>
      </c>
      <c r="O630" s="56">
        <v>125</v>
      </c>
      <c r="P630" s="35">
        <v>13.700000000000014</v>
      </c>
      <c r="Q630" s="56">
        <v>161</v>
      </c>
      <c r="R630" s="31">
        <v>85</v>
      </c>
      <c r="S630" s="56">
        <v>125</v>
      </c>
      <c r="T630" s="56"/>
      <c r="U630" s="35"/>
      <c r="V630" s="56"/>
    </row>
    <row r="631" spans="1:22">
      <c r="B631" s="25">
        <v>261</v>
      </c>
      <c r="C631" s="56">
        <v>130</v>
      </c>
      <c r="D631" s="35">
        <v>12.800000000000015</v>
      </c>
      <c r="E631" s="56">
        <v>157</v>
      </c>
      <c r="F631" s="31">
        <v>160</v>
      </c>
      <c r="G631" s="56">
        <v>130</v>
      </c>
      <c r="I631" s="56">
        <v>130</v>
      </c>
      <c r="J631" s="56">
        <v>157</v>
      </c>
      <c r="K631" s="56"/>
      <c r="L631" s="56"/>
      <c r="M631" s="56"/>
      <c r="N631" s="25">
        <v>207</v>
      </c>
      <c r="O631" s="56">
        <v>130</v>
      </c>
      <c r="P631" s="35">
        <v>13.800000000000015</v>
      </c>
      <c r="Q631" s="56">
        <v>157</v>
      </c>
      <c r="R631" s="31">
        <v>90</v>
      </c>
      <c r="S631" s="56">
        <v>130</v>
      </c>
      <c r="T631" s="56"/>
      <c r="U631" s="35"/>
      <c r="V631" s="56"/>
    </row>
    <row r="632" spans="1:22">
      <c r="B632" s="25">
        <v>264</v>
      </c>
      <c r="C632" s="56">
        <v>135</v>
      </c>
      <c r="D632" s="35">
        <v>12.900000000000016</v>
      </c>
      <c r="E632" s="56">
        <v>153</v>
      </c>
      <c r="F632" s="31">
        <v>165</v>
      </c>
      <c r="G632" s="56">
        <v>135</v>
      </c>
      <c r="I632" s="56">
        <v>135</v>
      </c>
      <c r="J632" s="56">
        <v>153</v>
      </c>
      <c r="K632" s="56"/>
      <c r="L632" s="56"/>
      <c r="M632" s="56"/>
      <c r="N632" s="25">
        <v>210</v>
      </c>
      <c r="O632" s="56">
        <v>135</v>
      </c>
      <c r="P632" s="35">
        <v>13.900000000000016</v>
      </c>
      <c r="Q632" s="56">
        <v>153</v>
      </c>
      <c r="R632" s="31">
        <v>95</v>
      </c>
      <c r="S632" s="56">
        <v>135</v>
      </c>
      <c r="T632" s="56"/>
      <c r="U632" s="35"/>
      <c r="V632" s="56"/>
    </row>
    <row r="633" spans="1:22">
      <c r="B633" s="25">
        <v>267</v>
      </c>
      <c r="C633" s="56">
        <v>140</v>
      </c>
      <c r="D633" s="35">
        <v>13.000000000000018</v>
      </c>
      <c r="E633" s="56">
        <v>149</v>
      </c>
      <c r="F633" s="31">
        <v>170</v>
      </c>
      <c r="G633" s="56">
        <v>140</v>
      </c>
      <c r="I633" s="56">
        <v>140</v>
      </c>
      <c r="J633" s="56">
        <v>149</v>
      </c>
      <c r="K633" s="56"/>
      <c r="L633" s="56"/>
      <c r="M633" s="56"/>
      <c r="N633" s="25">
        <v>213</v>
      </c>
      <c r="O633" s="56">
        <v>140</v>
      </c>
      <c r="P633" s="35">
        <v>14.000000000000018</v>
      </c>
      <c r="Q633" s="56">
        <v>149</v>
      </c>
      <c r="R633" s="31">
        <v>100</v>
      </c>
      <c r="S633" s="56">
        <v>140</v>
      </c>
      <c r="T633" s="56"/>
      <c r="U633" s="35"/>
      <c r="V633" s="56"/>
    </row>
    <row r="634" spans="1:22">
      <c r="B634" s="184">
        <v>270</v>
      </c>
      <c r="C634" s="185">
        <v>145</v>
      </c>
      <c r="D634" s="186">
        <v>13.100000000000019</v>
      </c>
      <c r="E634" s="185">
        <v>145</v>
      </c>
      <c r="F634" s="31">
        <v>175</v>
      </c>
      <c r="G634" s="185">
        <v>145</v>
      </c>
      <c r="I634" s="56">
        <v>145</v>
      </c>
      <c r="J634" s="56">
        <v>145</v>
      </c>
      <c r="K634" s="56"/>
      <c r="L634" s="56"/>
      <c r="M634" s="56"/>
      <c r="N634" s="25">
        <v>216</v>
      </c>
      <c r="O634" s="185">
        <v>145</v>
      </c>
      <c r="P634" s="35">
        <v>14.100000000000019</v>
      </c>
      <c r="Q634" s="185">
        <v>145</v>
      </c>
      <c r="R634" s="31">
        <v>105</v>
      </c>
      <c r="S634" s="185">
        <v>145</v>
      </c>
      <c r="T634" s="56"/>
      <c r="U634" s="35"/>
      <c r="V634" s="56"/>
    </row>
    <row r="635" spans="1:22">
      <c r="B635" s="25">
        <v>272</v>
      </c>
      <c r="C635" s="56">
        <v>149</v>
      </c>
      <c r="D635" s="35">
        <v>13.200000000000021</v>
      </c>
      <c r="E635" s="56">
        <v>140</v>
      </c>
      <c r="F635" s="31">
        <v>178</v>
      </c>
      <c r="G635" s="56">
        <v>149</v>
      </c>
      <c r="I635" s="56">
        <v>149</v>
      </c>
      <c r="J635" s="56">
        <v>140</v>
      </c>
      <c r="K635" s="56"/>
      <c r="L635" s="56"/>
      <c r="M635" s="56"/>
      <c r="N635" s="25">
        <v>218</v>
      </c>
      <c r="O635" s="56">
        <v>149</v>
      </c>
      <c r="P635" s="35">
        <v>14.200000000000021</v>
      </c>
      <c r="Q635" s="56">
        <v>140</v>
      </c>
      <c r="R635" s="31">
        <v>108</v>
      </c>
      <c r="S635" s="56">
        <v>149</v>
      </c>
      <c r="T635" s="56"/>
      <c r="U635" s="35"/>
      <c r="V635" s="56"/>
    </row>
    <row r="636" spans="1:22">
      <c r="B636" s="25">
        <v>274</v>
      </c>
      <c r="C636" s="56">
        <v>153</v>
      </c>
      <c r="D636" s="35">
        <v>13.300000000000022</v>
      </c>
      <c r="E636" s="56">
        <v>135</v>
      </c>
      <c r="F636" s="31">
        <v>181</v>
      </c>
      <c r="G636" s="56">
        <v>153</v>
      </c>
      <c r="I636" s="56">
        <v>153</v>
      </c>
      <c r="J636" s="56">
        <v>135</v>
      </c>
      <c r="K636" s="56"/>
      <c r="L636" s="56"/>
      <c r="M636" s="56"/>
      <c r="N636" s="25">
        <v>220</v>
      </c>
      <c r="O636" s="56">
        <v>153</v>
      </c>
      <c r="P636" s="35">
        <v>14.300000000000022</v>
      </c>
      <c r="Q636" s="56">
        <v>135</v>
      </c>
      <c r="R636" s="31">
        <v>111</v>
      </c>
      <c r="S636" s="56">
        <v>153</v>
      </c>
      <c r="T636" s="56"/>
      <c r="U636" s="35"/>
      <c r="V636" s="56"/>
    </row>
    <row r="637" spans="1:22">
      <c r="B637" s="25">
        <v>276</v>
      </c>
      <c r="C637" s="56">
        <v>157</v>
      </c>
      <c r="D637" s="35">
        <v>13.400000000000023</v>
      </c>
      <c r="E637" s="56">
        <v>130</v>
      </c>
      <c r="F637" s="31">
        <v>184</v>
      </c>
      <c r="G637" s="56">
        <v>157</v>
      </c>
      <c r="I637" s="56">
        <v>157</v>
      </c>
      <c r="J637" s="56">
        <v>130</v>
      </c>
      <c r="K637" s="56"/>
      <c r="L637" s="56"/>
      <c r="M637" s="56"/>
      <c r="N637" s="25">
        <v>222</v>
      </c>
      <c r="O637" s="56">
        <v>157</v>
      </c>
      <c r="P637" s="35">
        <v>14.400000000000023</v>
      </c>
      <c r="Q637" s="56">
        <v>130</v>
      </c>
      <c r="R637" s="31">
        <v>114</v>
      </c>
      <c r="S637" s="56">
        <v>157</v>
      </c>
      <c r="T637" s="56"/>
      <c r="U637" s="35"/>
      <c r="V637" s="56"/>
    </row>
    <row r="638" spans="1:22">
      <c r="B638" s="25">
        <v>278</v>
      </c>
      <c r="C638" s="56">
        <v>161</v>
      </c>
      <c r="D638" s="35">
        <v>13.500000000000025</v>
      </c>
      <c r="E638" s="56">
        <v>125</v>
      </c>
      <c r="F638" s="31">
        <v>187</v>
      </c>
      <c r="G638" s="56">
        <v>161</v>
      </c>
      <c r="I638" s="56">
        <v>161</v>
      </c>
      <c r="J638" s="56">
        <v>125</v>
      </c>
      <c r="K638" s="56"/>
      <c r="L638" s="56"/>
      <c r="M638" s="56"/>
      <c r="N638" s="25">
        <v>224</v>
      </c>
      <c r="O638" s="56">
        <v>161</v>
      </c>
      <c r="P638" s="35">
        <v>14.500000000000025</v>
      </c>
      <c r="Q638" s="56">
        <v>125</v>
      </c>
      <c r="R638" s="31">
        <v>117</v>
      </c>
      <c r="S638" s="56">
        <v>161</v>
      </c>
      <c r="T638" s="56"/>
      <c r="U638" s="35"/>
      <c r="V638" s="56"/>
    </row>
    <row r="639" spans="1:22">
      <c r="B639" s="25">
        <v>280</v>
      </c>
      <c r="C639" s="56">
        <v>165</v>
      </c>
      <c r="D639" s="35">
        <v>13.600000000000026</v>
      </c>
      <c r="E639" s="56">
        <v>120</v>
      </c>
      <c r="F639" s="31">
        <v>190</v>
      </c>
      <c r="G639" s="56">
        <v>165</v>
      </c>
      <c r="I639" s="56">
        <v>165</v>
      </c>
      <c r="J639" s="56">
        <v>120</v>
      </c>
      <c r="K639" s="56"/>
      <c r="L639" s="56"/>
      <c r="M639" s="56"/>
      <c r="N639" s="25">
        <v>226</v>
      </c>
      <c r="O639" s="56">
        <v>165</v>
      </c>
      <c r="P639" s="35">
        <v>14.600000000000026</v>
      </c>
      <c r="Q639" s="56">
        <v>120</v>
      </c>
      <c r="R639" s="31">
        <v>120</v>
      </c>
      <c r="S639" s="56">
        <v>165</v>
      </c>
      <c r="T639" s="56"/>
      <c r="U639" s="35"/>
      <c r="V639" s="56"/>
    </row>
    <row r="640" spans="1:22">
      <c r="B640" s="25">
        <v>282</v>
      </c>
      <c r="C640" s="56">
        <v>169</v>
      </c>
      <c r="D640" s="35">
        <v>13.700000000000028</v>
      </c>
      <c r="E640" s="56">
        <v>115</v>
      </c>
      <c r="F640" s="31">
        <v>193</v>
      </c>
      <c r="G640" s="56">
        <v>169</v>
      </c>
      <c r="I640" s="56">
        <v>169</v>
      </c>
      <c r="J640" s="56">
        <v>115</v>
      </c>
      <c r="K640" s="56"/>
      <c r="L640" s="56"/>
      <c r="M640" s="56"/>
      <c r="N640" s="25">
        <v>228</v>
      </c>
      <c r="O640" s="56">
        <v>169</v>
      </c>
      <c r="P640" s="35">
        <v>14.700000000000028</v>
      </c>
      <c r="Q640" s="56">
        <v>115</v>
      </c>
      <c r="R640" s="31">
        <v>123</v>
      </c>
      <c r="S640" s="56">
        <v>169</v>
      </c>
      <c r="T640" s="56"/>
      <c r="U640" s="35"/>
      <c r="V640" s="56"/>
    </row>
    <row r="641" spans="1:22">
      <c r="B641" s="25">
        <v>284</v>
      </c>
      <c r="C641" s="56">
        <v>173</v>
      </c>
      <c r="D641" s="35">
        <v>13.800000000000029</v>
      </c>
      <c r="E641" s="56">
        <v>110</v>
      </c>
      <c r="F641" s="31">
        <v>196</v>
      </c>
      <c r="G641" s="56">
        <v>173</v>
      </c>
      <c r="I641" s="56">
        <v>173</v>
      </c>
      <c r="J641" s="56">
        <v>110</v>
      </c>
      <c r="K641" s="56"/>
      <c r="L641" s="56"/>
      <c r="M641" s="56"/>
      <c r="N641" s="25">
        <v>230</v>
      </c>
      <c r="O641" s="56">
        <v>173</v>
      </c>
      <c r="P641" s="35">
        <v>14.800000000000029</v>
      </c>
      <c r="Q641" s="56">
        <v>110</v>
      </c>
      <c r="R641" s="31">
        <v>126</v>
      </c>
      <c r="S641" s="56">
        <v>173</v>
      </c>
      <c r="T641" s="56"/>
      <c r="U641" s="35"/>
      <c r="V641" s="56"/>
    </row>
    <row r="642" spans="1:22">
      <c r="B642" s="25">
        <v>286</v>
      </c>
      <c r="C642" s="56">
        <v>177</v>
      </c>
      <c r="D642" s="35">
        <v>13.900000000000031</v>
      </c>
      <c r="E642" s="56">
        <v>105</v>
      </c>
      <c r="F642" s="31">
        <v>199</v>
      </c>
      <c r="G642" s="56">
        <v>177</v>
      </c>
      <c r="I642" s="56">
        <v>177</v>
      </c>
      <c r="J642" s="56">
        <v>105</v>
      </c>
      <c r="K642" s="56"/>
      <c r="L642" s="56"/>
      <c r="M642" s="56"/>
      <c r="N642" s="25">
        <v>232</v>
      </c>
      <c r="O642" s="56">
        <v>177</v>
      </c>
      <c r="P642" s="35">
        <v>14.900000000000031</v>
      </c>
      <c r="Q642" s="56">
        <v>105</v>
      </c>
      <c r="R642" s="31">
        <v>129</v>
      </c>
      <c r="S642" s="56">
        <v>177</v>
      </c>
      <c r="T642" s="56"/>
      <c r="U642" s="35"/>
      <c r="V642" s="56"/>
    </row>
    <row r="643" spans="1:22">
      <c r="B643" s="184">
        <v>288</v>
      </c>
      <c r="C643" s="185">
        <v>181</v>
      </c>
      <c r="D643" s="35">
        <v>14.000000000000032</v>
      </c>
      <c r="E643" s="56">
        <v>100</v>
      </c>
      <c r="F643" s="31">
        <v>202</v>
      </c>
      <c r="G643" s="185">
        <v>181</v>
      </c>
      <c r="I643" s="56">
        <v>181</v>
      </c>
      <c r="J643" s="56">
        <v>100</v>
      </c>
      <c r="K643" s="56"/>
      <c r="L643" s="56"/>
      <c r="M643" s="56"/>
      <c r="N643" s="25">
        <v>234</v>
      </c>
      <c r="O643" s="185">
        <v>181</v>
      </c>
      <c r="P643" s="35">
        <v>15.000000000000032</v>
      </c>
      <c r="Q643" s="56">
        <v>100</v>
      </c>
      <c r="R643" s="31">
        <v>132</v>
      </c>
      <c r="S643" s="185">
        <v>181</v>
      </c>
      <c r="T643" s="56"/>
      <c r="U643" s="35"/>
      <c r="V643" s="56"/>
    </row>
    <row r="644" spans="1:22">
      <c r="B644" s="25">
        <v>290</v>
      </c>
      <c r="C644" s="56">
        <v>185</v>
      </c>
      <c r="D644" s="35">
        <v>14.100000000000033</v>
      </c>
      <c r="E644" s="56">
        <v>95</v>
      </c>
      <c r="F644" s="31">
        <v>205</v>
      </c>
      <c r="G644" s="56">
        <v>185</v>
      </c>
      <c r="I644" s="56">
        <v>185</v>
      </c>
      <c r="J644" s="56">
        <v>95</v>
      </c>
      <c r="K644" s="56"/>
      <c r="L644" s="56"/>
      <c r="M644" s="56"/>
      <c r="N644" s="25">
        <v>236</v>
      </c>
      <c r="O644" s="56">
        <v>185</v>
      </c>
      <c r="P644" s="35">
        <v>15.100000000000033</v>
      </c>
      <c r="Q644" s="56">
        <v>95</v>
      </c>
      <c r="R644" s="31">
        <v>135</v>
      </c>
      <c r="S644" s="56">
        <v>185</v>
      </c>
      <c r="T644" s="56"/>
      <c r="U644" s="35"/>
      <c r="V644" s="56"/>
    </row>
    <row r="645" spans="1:22">
      <c r="B645" s="25">
        <v>292</v>
      </c>
      <c r="C645" s="56">
        <v>188</v>
      </c>
      <c r="D645" s="35">
        <v>14.200000000000035</v>
      </c>
      <c r="E645" s="56">
        <v>90</v>
      </c>
      <c r="F645" s="31">
        <v>208</v>
      </c>
      <c r="G645" s="56">
        <v>188</v>
      </c>
      <c r="I645" s="56">
        <v>188</v>
      </c>
      <c r="J645" s="56">
        <v>90</v>
      </c>
      <c r="K645" s="56"/>
      <c r="L645" s="56"/>
      <c r="M645" s="56"/>
      <c r="N645" s="25">
        <v>238</v>
      </c>
      <c r="O645" s="56">
        <v>188</v>
      </c>
      <c r="P645" s="35">
        <v>15.200000000000035</v>
      </c>
      <c r="Q645" s="56">
        <v>90</v>
      </c>
      <c r="R645" s="31">
        <v>138</v>
      </c>
      <c r="S645" s="56">
        <v>188</v>
      </c>
      <c r="T645" s="56"/>
      <c r="U645" s="35"/>
      <c r="V645" s="56"/>
    </row>
    <row r="646" spans="1:22">
      <c r="B646" s="25">
        <v>294</v>
      </c>
      <c r="C646" s="56">
        <v>191</v>
      </c>
      <c r="D646" s="35">
        <v>14.300000000000036</v>
      </c>
      <c r="E646" s="56">
        <v>85</v>
      </c>
      <c r="F646" s="31">
        <v>211</v>
      </c>
      <c r="G646" s="56">
        <v>191</v>
      </c>
      <c r="I646" s="56">
        <v>191</v>
      </c>
      <c r="J646" s="56">
        <v>85</v>
      </c>
      <c r="K646" s="56"/>
      <c r="L646" s="56"/>
      <c r="M646" s="56"/>
      <c r="N646" s="25">
        <v>240</v>
      </c>
      <c r="O646" s="56">
        <v>191</v>
      </c>
      <c r="P646" s="35">
        <v>15.300000000000036</v>
      </c>
      <c r="Q646" s="56">
        <v>85</v>
      </c>
      <c r="R646" s="31">
        <v>141</v>
      </c>
      <c r="S646" s="56">
        <v>191</v>
      </c>
      <c r="T646" s="56"/>
      <c r="U646" s="35"/>
      <c r="V646" s="56"/>
    </row>
    <row r="647" spans="1:22">
      <c r="B647" s="25">
        <v>296</v>
      </c>
      <c r="C647" s="56">
        <v>194</v>
      </c>
      <c r="D647" s="35">
        <v>14.400000000000038</v>
      </c>
      <c r="E647" s="56">
        <v>80</v>
      </c>
      <c r="F647" s="31">
        <v>214</v>
      </c>
      <c r="G647" s="56">
        <v>194</v>
      </c>
      <c r="I647" s="56">
        <v>194</v>
      </c>
      <c r="J647" s="56">
        <v>80</v>
      </c>
      <c r="K647" s="56"/>
      <c r="L647" s="56"/>
      <c r="M647" s="56"/>
      <c r="N647" s="25">
        <v>242</v>
      </c>
      <c r="O647" s="56">
        <v>194</v>
      </c>
      <c r="P647" s="35">
        <v>15.400000000000038</v>
      </c>
      <c r="Q647" s="56">
        <v>80</v>
      </c>
      <c r="R647" s="31">
        <v>144</v>
      </c>
      <c r="S647" s="56">
        <v>194</v>
      </c>
      <c r="T647" s="56"/>
      <c r="U647" s="35"/>
      <c r="V647" s="56"/>
    </row>
    <row r="648" spans="1:22">
      <c r="B648" s="25">
        <v>298</v>
      </c>
      <c r="C648" s="56">
        <v>197</v>
      </c>
      <c r="D648" s="35">
        <v>14.500000000000039</v>
      </c>
      <c r="E648" s="56">
        <v>75</v>
      </c>
      <c r="F648" s="31">
        <v>217</v>
      </c>
      <c r="G648" s="56">
        <v>197</v>
      </c>
      <c r="I648" s="56">
        <v>197</v>
      </c>
      <c r="J648" s="56">
        <v>75</v>
      </c>
      <c r="K648" s="56"/>
      <c r="L648" s="56"/>
      <c r="M648" s="56"/>
      <c r="N648" s="25">
        <v>244</v>
      </c>
      <c r="O648" s="56">
        <v>197</v>
      </c>
      <c r="P648" s="35">
        <v>15.500000000000039</v>
      </c>
      <c r="Q648" s="56">
        <v>75</v>
      </c>
      <c r="R648" s="31">
        <v>147</v>
      </c>
      <c r="S648" s="56">
        <v>197</v>
      </c>
      <c r="T648" s="56"/>
      <c r="U648" s="35"/>
      <c r="V648" s="56"/>
    </row>
    <row r="649" spans="1:22">
      <c r="B649" s="25">
        <v>300</v>
      </c>
      <c r="C649" s="56">
        <v>200</v>
      </c>
      <c r="D649" s="35">
        <v>14.600000000000041</v>
      </c>
      <c r="E649" s="56">
        <v>70</v>
      </c>
      <c r="F649" s="31">
        <v>220</v>
      </c>
      <c r="G649" s="56">
        <v>200</v>
      </c>
      <c r="I649" s="56">
        <v>200</v>
      </c>
      <c r="J649" s="56">
        <v>70</v>
      </c>
      <c r="K649" s="56"/>
      <c r="L649" s="56"/>
      <c r="M649" s="56"/>
      <c r="N649" s="25">
        <v>246</v>
      </c>
      <c r="O649" s="56">
        <v>200</v>
      </c>
      <c r="P649" s="35">
        <v>15.600000000000041</v>
      </c>
      <c r="Q649" s="56">
        <v>70</v>
      </c>
      <c r="R649" s="31">
        <v>150</v>
      </c>
      <c r="S649" s="56">
        <v>200</v>
      </c>
      <c r="T649" s="56"/>
      <c r="U649" s="35"/>
      <c r="V649" s="56"/>
    </row>
    <row r="650" spans="1:22" s="13" customFormat="1">
      <c r="C650" s="56"/>
      <c r="D650" s="35"/>
      <c r="E650" s="56"/>
      <c r="F650" s="97"/>
      <c r="G650" s="148"/>
      <c r="H650" s="97"/>
      <c r="I650" s="148"/>
      <c r="J650" s="148"/>
      <c r="K650" s="148"/>
      <c r="L650" s="148"/>
      <c r="M650" s="148"/>
      <c r="N650" s="97"/>
      <c r="O650" s="148"/>
      <c r="P650" s="149"/>
      <c r="Q650" s="148"/>
      <c r="R650" s="97"/>
      <c r="S650" s="148"/>
      <c r="T650" s="56"/>
      <c r="U650" s="35"/>
      <c r="V650" s="56"/>
    </row>
    <row r="651" spans="1:22" s="13" customFormat="1">
      <c r="A651" s="13" t="s">
        <v>323</v>
      </c>
      <c r="B651" s="13" t="s">
        <v>286</v>
      </c>
      <c r="C651" s="56" t="s">
        <v>471</v>
      </c>
      <c r="D651" s="35" t="s">
        <v>495</v>
      </c>
      <c r="E651" s="56" t="s">
        <v>471</v>
      </c>
      <c r="F651" s="97" t="s">
        <v>424</v>
      </c>
      <c r="G651" s="148" t="s">
        <v>471</v>
      </c>
      <c r="H651" s="97"/>
      <c r="I651" s="148"/>
      <c r="J651" s="148"/>
      <c r="K651" s="148"/>
      <c r="L651" s="148"/>
      <c r="M651" s="148"/>
      <c r="N651" s="97"/>
      <c r="O651" s="148"/>
      <c r="P651" s="149"/>
      <c r="Q651" s="148"/>
      <c r="R651" s="97"/>
      <c r="S651" s="148"/>
      <c r="T651" s="56"/>
      <c r="U651" s="35"/>
      <c r="V651" s="56"/>
    </row>
    <row r="652" spans="1:22" s="13" customFormat="1">
      <c r="B652" s="13">
        <v>0</v>
      </c>
      <c r="C652" s="56">
        <v>18</v>
      </c>
      <c r="D652" s="35" t="s">
        <v>500</v>
      </c>
      <c r="E652" s="56">
        <v>18</v>
      </c>
      <c r="F652" s="35" t="s">
        <v>500</v>
      </c>
      <c r="G652" s="56">
        <v>18</v>
      </c>
      <c r="H652" s="97"/>
      <c r="I652" s="148"/>
      <c r="J652" s="148"/>
      <c r="K652" s="148"/>
      <c r="L652" s="148"/>
      <c r="M652" s="148"/>
      <c r="N652" s="97"/>
      <c r="O652" s="148"/>
      <c r="P652" s="149"/>
      <c r="Q652" s="148"/>
      <c r="R652" s="97"/>
      <c r="S652" s="148"/>
      <c r="T652" s="56"/>
      <c r="U652" s="35"/>
      <c r="V652" s="56"/>
    </row>
    <row r="653" spans="1:22" s="13" customFormat="1">
      <c r="B653" s="13">
        <v>110</v>
      </c>
      <c r="C653" s="56">
        <v>50</v>
      </c>
      <c r="D653" s="35" t="s">
        <v>512</v>
      </c>
      <c r="E653" s="56">
        <v>50</v>
      </c>
      <c r="F653" s="35" t="s">
        <v>512</v>
      </c>
      <c r="G653" s="56">
        <v>50</v>
      </c>
      <c r="H653" s="97"/>
      <c r="I653" s="148"/>
      <c r="J653" s="148"/>
      <c r="K653" s="148"/>
      <c r="L653" s="148"/>
      <c r="M653" s="148"/>
      <c r="N653" s="97"/>
      <c r="O653" s="148"/>
      <c r="P653" s="149"/>
      <c r="Q653" s="148"/>
      <c r="R653" s="97"/>
      <c r="S653" s="148"/>
      <c r="T653" s="56"/>
      <c r="U653" s="35"/>
      <c r="V653" s="56"/>
    </row>
    <row r="654" spans="1:22" s="13" customFormat="1">
      <c r="B654" s="13">
        <v>115</v>
      </c>
      <c r="C654" s="56">
        <v>60</v>
      </c>
      <c r="D654" s="35" t="s">
        <v>494</v>
      </c>
      <c r="E654" s="56">
        <v>60</v>
      </c>
      <c r="F654" s="35" t="s">
        <v>494</v>
      </c>
      <c r="G654" s="56">
        <v>60</v>
      </c>
      <c r="H654" s="97"/>
      <c r="I654" s="148"/>
      <c r="J654" s="148"/>
      <c r="K654" s="148"/>
      <c r="L654" s="148"/>
      <c r="M654" s="148"/>
      <c r="N654" s="97"/>
      <c r="O654" s="148"/>
      <c r="P654" s="149"/>
      <c r="Q654" s="148"/>
      <c r="R654" s="97"/>
      <c r="S654" s="148"/>
      <c r="T654" s="56"/>
      <c r="U654" s="35"/>
      <c r="V654" s="56"/>
    </row>
    <row r="655" spans="1:22" s="13" customFormat="1">
      <c r="B655" s="13">
        <v>120</v>
      </c>
      <c r="C655" s="56">
        <v>70</v>
      </c>
      <c r="D655" s="35" t="s">
        <v>492</v>
      </c>
      <c r="E655" s="56">
        <v>70</v>
      </c>
      <c r="F655" s="35" t="s">
        <v>492</v>
      </c>
      <c r="G655" s="56">
        <v>70</v>
      </c>
      <c r="H655" s="97"/>
      <c r="I655" s="148"/>
      <c r="J655" s="148"/>
      <c r="K655" s="148"/>
      <c r="L655" s="148"/>
      <c r="M655" s="148"/>
      <c r="N655" s="97"/>
      <c r="O655" s="148"/>
      <c r="P655" s="149"/>
      <c r="Q655" s="148"/>
      <c r="R655" s="97"/>
      <c r="S655" s="148"/>
      <c r="T655" s="56"/>
      <c r="U655" s="35"/>
      <c r="V655" s="56"/>
    </row>
    <row r="656" spans="1:22" s="13" customFormat="1">
      <c r="B656" s="13">
        <v>125</v>
      </c>
      <c r="C656" s="56">
        <v>80</v>
      </c>
      <c r="D656" s="35" t="s">
        <v>499</v>
      </c>
      <c r="E656" s="56">
        <v>80</v>
      </c>
      <c r="F656" s="35" t="s">
        <v>499</v>
      </c>
      <c r="G656" s="56">
        <v>80</v>
      </c>
      <c r="H656" s="97"/>
      <c r="I656" s="148"/>
      <c r="J656" s="148"/>
      <c r="K656" s="148"/>
      <c r="L656" s="148"/>
      <c r="M656" s="148"/>
      <c r="N656" s="97"/>
      <c r="O656" s="148"/>
      <c r="P656" s="149"/>
      <c r="Q656" s="148"/>
      <c r="R656" s="97"/>
      <c r="S656" s="148"/>
      <c r="T656" s="56"/>
      <c r="U656" s="35"/>
      <c r="V656" s="56"/>
    </row>
    <row r="657" spans="1:31" s="13" customFormat="1">
      <c r="B657" s="13">
        <v>130</v>
      </c>
      <c r="C657" s="56">
        <v>90</v>
      </c>
      <c r="D657" s="35" t="s">
        <v>498</v>
      </c>
      <c r="E657" s="56">
        <v>90</v>
      </c>
      <c r="F657" s="35" t="s">
        <v>498</v>
      </c>
      <c r="G657" s="56">
        <v>90</v>
      </c>
      <c r="H657" s="97"/>
      <c r="I657" s="148"/>
      <c r="J657" s="148"/>
      <c r="K657" s="148"/>
      <c r="L657" s="148"/>
      <c r="M657" s="148"/>
      <c r="N657" s="97"/>
      <c r="O657" s="148"/>
      <c r="P657" s="149"/>
      <c r="Q657" s="148"/>
      <c r="R657" s="97"/>
      <c r="S657" s="148"/>
      <c r="T657" s="56"/>
      <c r="U657" s="35"/>
      <c r="V657" s="56"/>
    </row>
    <row r="658" spans="1:31" s="13" customFormat="1">
      <c r="C658" s="56"/>
      <c r="D658" s="35"/>
      <c r="E658" s="56"/>
      <c r="F658" s="97"/>
      <c r="G658" s="148"/>
      <c r="H658" s="97"/>
      <c r="I658" s="148"/>
      <c r="J658" s="148"/>
      <c r="K658" s="148"/>
      <c r="L658" s="148"/>
      <c r="M658" s="148"/>
      <c r="N658" s="97"/>
      <c r="O658" s="148"/>
      <c r="P658" s="149"/>
      <c r="Q658" s="148"/>
      <c r="R658" s="97"/>
      <c r="S658" s="148"/>
      <c r="T658" s="56"/>
      <c r="U658" s="35"/>
      <c r="V658" s="56"/>
    </row>
    <row r="660" spans="1:31" s="133" customFormat="1">
      <c r="A660" s="95" t="s">
        <v>150</v>
      </c>
      <c r="B660" s="14" t="s">
        <v>311</v>
      </c>
      <c r="C660" s="14" t="s">
        <v>471</v>
      </c>
      <c r="D660" s="308" t="s">
        <v>674</v>
      </c>
      <c r="E660" s="14" t="s">
        <v>471</v>
      </c>
      <c r="F660" s="14" t="s">
        <v>480</v>
      </c>
      <c r="G660" s="14" t="s">
        <v>471</v>
      </c>
      <c r="H660" s="14"/>
      <c r="I660" s="292" t="s">
        <v>315</v>
      </c>
      <c r="J660" s="292" t="s">
        <v>471</v>
      </c>
      <c r="K660" s="14"/>
      <c r="L660" s="375" t="s">
        <v>448</v>
      </c>
      <c r="M660" s="14"/>
      <c r="N660" s="14" t="s">
        <v>311</v>
      </c>
      <c r="O660" s="14" t="s">
        <v>471</v>
      </c>
      <c r="P660" s="446" t="s">
        <v>674</v>
      </c>
      <c r="Q660" s="14" t="s">
        <v>471</v>
      </c>
      <c r="R660" s="14" t="s">
        <v>480</v>
      </c>
      <c r="S660" s="14" t="s">
        <v>471</v>
      </c>
      <c r="T660" s="14"/>
      <c r="U660" s="14"/>
      <c r="V660" s="292" t="s">
        <v>315</v>
      </c>
      <c r="W660" s="292" t="s">
        <v>471</v>
      </c>
      <c r="X660" s="14"/>
      <c r="AC660" s="14"/>
      <c r="AE660" s="14"/>
    </row>
    <row r="661" spans="1:31" s="133" customFormat="1">
      <c r="A661" s="14"/>
      <c r="B661" s="14">
        <v>0</v>
      </c>
      <c r="C661" s="14">
        <v>80</v>
      </c>
      <c r="D661" s="308">
        <v>0</v>
      </c>
      <c r="E661" s="14">
        <v>80</v>
      </c>
      <c r="F661" s="14">
        <v>0</v>
      </c>
      <c r="G661" s="14">
        <v>80</v>
      </c>
      <c r="H661" s="14"/>
      <c r="I661" s="292">
        <v>0</v>
      </c>
      <c r="J661" s="292">
        <v>80</v>
      </c>
      <c r="K661" s="14"/>
      <c r="L661" s="292">
        <v>0</v>
      </c>
      <c r="M661" s="14"/>
      <c r="N661" s="14">
        <v>0</v>
      </c>
      <c r="O661" s="14">
        <v>80</v>
      </c>
      <c r="P661" s="14">
        <v>0</v>
      </c>
      <c r="Q661" s="14">
        <v>80</v>
      </c>
      <c r="R661" s="14">
        <v>0</v>
      </c>
      <c r="S661" s="14">
        <v>80</v>
      </c>
      <c r="T661" s="14"/>
      <c r="U661" s="14"/>
      <c r="V661" s="292">
        <v>0</v>
      </c>
      <c r="W661" s="292">
        <v>80</v>
      </c>
      <c r="X661" s="14"/>
      <c r="AC661" s="14"/>
      <c r="AE661" s="14"/>
    </row>
    <row r="662" spans="1:31" s="133" customFormat="1">
      <c r="A662" s="184" t="s">
        <v>24</v>
      </c>
      <c r="B662" s="35">
        <v>17.5</v>
      </c>
      <c r="C662" s="14">
        <v>90</v>
      </c>
      <c r="D662" s="308">
        <v>16</v>
      </c>
      <c r="E662" s="14">
        <v>90</v>
      </c>
      <c r="F662" s="14">
        <v>255</v>
      </c>
      <c r="G662" s="14">
        <v>90</v>
      </c>
      <c r="H662" s="14"/>
      <c r="I662" s="292">
        <v>49</v>
      </c>
      <c r="J662" s="292">
        <v>90</v>
      </c>
      <c r="K662" s="14"/>
      <c r="L662" s="292">
        <v>201</v>
      </c>
      <c r="M662" s="14"/>
      <c r="N662" s="35">
        <v>11.5</v>
      </c>
      <c r="O662" s="14">
        <v>90</v>
      </c>
      <c r="P662" s="308">
        <v>11</v>
      </c>
      <c r="Q662" s="14">
        <v>90</v>
      </c>
      <c r="R662" s="305">
        <v>207</v>
      </c>
      <c r="S662" s="14">
        <v>90</v>
      </c>
      <c r="T662" s="14"/>
      <c r="U662" s="14"/>
      <c r="V662" s="292">
        <v>45</v>
      </c>
      <c r="W662" s="292">
        <v>90</v>
      </c>
      <c r="X662" s="14"/>
      <c r="AC662" s="14"/>
      <c r="AE662" s="14"/>
    </row>
    <row r="663" spans="1:31" s="133" customFormat="1">
      <c r="A663" s="391" t="s">
        <v>27</v>
      </c>
      <c r="B663" s="35">
        <v>18</v>
      </c>
      <c r="C663" s="14">
        <v>100</v>
      </c>
      <c r="D663" s="308">
        <v>17</v>
      </c>
      <c r="E663" s="14">
        <v>100</v>
      </c>
      <c r="F663" s="14">
        <v>258</v>
      </c>
      <c r="G663" s="14">
        <v>100</v>
      </c>
      <c r="H663" s="14"/>
      <c r="I663" s="292">
        <v>51</v>
      </c>
      <c r="J663" s="292">
        <v>100</v>
      </c>
      <c r="K663" s="14"/>
      <c r="L663" s="292">
        <v>204</v>
      </c>
      <c r="M663" s="14"/>
      <c r="N663" s="35">
        <v>12</v>
      </c>
      <c r="O663" s="14">
        <v>100</v>
      </c>
      <c r="P663" s="308">
        <v>12</v>
      </c>
      <c r="Q663" s="14">
        <v>100</v>
      </c>
      <c r="R663" s="305">
        <v>210</v>
      </c>
      <c r="S663" s="14">
        <v>100</v>
      </c>
      <c r="T663" s="14"/>
      <c r="U663" s="14"/>
      <c r="V663" s="292">
        <v>47</v>
      </c>
      <c r="W663" s="292">
        <v>100</v>
      </c>
      <c r="X663" s="14"/>
      <c r="AC663" s="14"/>
      <c r="AE663" s="14"/>
    </row>
    <row r="664" spans="1:31" s="133" customFormat="1">
      <c r="A664" s="184" t="s">
        <v>597</v>
      </c>
      <c r="B664" s="35">
        <v>18.5</v>
      </c>
      <c r="C664" s="14">
        <v>110</v>
      </c>
      <c r="D664" s="308">
        <v>18</v>
      </c>
      <c r="E664" s="14">
        <v>110</v>
      </c>
      <c r="F664" s="14">
        <v>261</v>
      </c>
      <c r="G664" s="14">
        <v>110</v>
      </c>
      <c r="H664" s="14"/>
      <c r="I664" s="292">
        <v>53</v>
      </c>
      <c r="J664" s="292">
        <v>110</v>
      </c>
      <c r="K664" s="14"/>
      <c r="L664" s="292">
        <v>207</v>
      </c>
      <c r="M664" s="14"/>
      <c r="N664" s="35">
        <v>12.5</v>
      </c>
      <c r="O664" s="14">
        <v>110</v>
      </c>
      <c r="P664" s="308">
        <v>13</v>
      </c>
      <c r="Q664" s="14">
        <v>110</v>
      </c>
      <c r="R664" s="305">
        <v>213</v>
      </c>
      <c r="S664" s="14">
        <v>110</v>
      </c>
      <c r="T664" s="14"/>
      <c r="U664" s="14"/>
      <c r="V664" s="292">
        <v>49</v>
      </c>
      <c r="W664" s="292">
        <v>110</v>
      </c>
      <c r="X664" s="14"/>
      <c r="AC664" s="14"/>
      <c r="AE664" s="14"/>
    </row>
    <row r="665" spans="1:31" s="133" customFormat="1">
      <c r="A665" s="14"/>
      <c r="B665" s="35">
        <v>19</v>
      </c>
      <c r="C665" s="14">
        <v>120</v>
      </c>
      <c r="D665" s="308">
        <v>19</v>
      </c>
      <c r="E665" s="14">
        <v>120</v>
      </c>
      <c r="F665" s="14">
        <v>264</v>
      </c>
      <c r="G665" s="14">
        <v>120</v>
      </c>
      <c r="H665" s="14"/>
      <c r="I665" s="292">
        <v>55</v>
      </c>
      <c r="J665" s="292">
        <v>120</v>
      </c>
      <c r="K665" s="14"/>
      <c r="L665" s="292">
        <v>210</v>
      </c>
      <c r="M665" s="14"/>
      <c r="N665" s="35">
        <v>13</v>
      </c>
      <c r="O665" s="14">
        <v>120</v>
      </c>
      <c r="P665" s="308">
        <v>14</v>
      </c>
      <c r="Q665" s="14">
        <v>120</v>
      </c>
      <c r="R665" s="305">
        <v>216</v>
      </c>
      <c r="S665" s="14">
        <v>120</v>
      </c>
      <c r="T665" s="14"/>
      <c r="U665" s="14"/>
      <c r="V665" s="292">
        <v>51</v>
      </c>
      <c r="W665" s="292">
        <v>120</v>
      </c>
      <c r="X665" s="14"/>
      <c r="AC665" s="14"/>
      <c r="AE665" s="14"/>
    </row>
    <row r="666" spans="1:31" s="133" customFormat="1">
      <c r="A666" s="14"/>
      <c r="B666" s="35">
        <v>19.5</v>
      </c>
      <c r="C666" s="14">
        <v>130</v>
      </c>
      <c r="D666" s="308">
        <v>20</v>
      </c>
      <c r="E666" s="14">
        <v>130</v>
      </c>
      <c r="F666" s="14">
        <v>267</v>
      </c>
      <c r="G666" s="14">
        <v>130</v>
      </c>
      <c r="H666" s="14"/>
      <c r="I666" s="292">
        <v>57</v>
      </c>
      <c r="J666" s="292">
        <v>130</v>
      </c>
      <c r="K666" s="14"/>
      <c r="L666" s="292">
        <v>213</v>
      </c>
      <c r="M666" s="14"/>
      <c r="N666" s="35">
        <v>13.5</v>
      </c>
      <c r="O666" s="14">
        <v>130</v>
      </c>
      <c r="P666" s="308">
        <v>15</v>
      </c>
      <c r="Q666" s="14">
        <v>130</v>
      </c>
      <c r="R666" s="305">
        <v>219</v>
      </c>
      <c r="S666" s="14">
        <v>130</v>
      </c>
      <c r="T666" s="14"/>
      <c r="U666" s="14"/>
      <c r="V666" s="292">
        <v>53</v>
      </c>
      <c r="W666" s="292">
        <v>130</v>
      </c>
      <c r="X666" s="14"/>
      <c r="AC666" s="14"/>
      <c r="AE666" s="14"/>
    </row>
    <row r="667" spans="1:31" s="133" customFormat="1">
      <c r="A667" s="14"/>
      <c r="B667" s="35">
        <v>20</v>
      </c>
      <c r="C667" s="14">
        <v>140</v>
      </c>
      <c r="D667" s="308">
        <v>21</v>
      </c>
      <c r="E667" s="14">
        <v>140</v>
      </c>
      <c r="F667" s="14">
        <v>270</v>
      </c>
      <c r="G667" s="14">
        <v>140</v>
      </c>
      <c r="H667" s="14"/>
      <c r="I667" s="292">
        <v>59</v>
      </c>
      <c r="J667" s="292">
        <v>140</v>
      </c>
      <c r="K667" s="14"/>
      <c r="L667" s="292">
        <v>216</v>
      </c>
      <c r="M667" s="14"/>
      <c r="N667" s="35">
        <v>14</v>
      </c>
      <c r="O667" s="14">
        <v>140</v>
      </c>
      <c r="P667" s="308">
        <v>16</v>
      </c>
      <c r="Q667" s="14">
        <v>140</v>
      </c>
      <c r="R667" s="305">
        <v>222</v>
      </c>
      <c r="S667" s="14">
        <v>140</v>
      </c>
      <c r="T667" s="14"/>
      <c r="U667" s="14"/>
      <c r="V667" s="292">
        <v>55</v>
      </c>
      <c r="W667" s="292">
        <v>140</v>
      </c>
      <c r="X667" s="14"/>
      <c r="AC667" s="14"/>
      <c r="AE667" s="14"/>
    </row>
    <row r="668" spans="1:31" s="133" customFormat="1">
      <c r="A668" s="14"/>
      <c r="B668" s="35">
        <v>20.5</v>
      </c>
      <c r="C668" s="14">
        <v>150</v>
      </c>
      <c r="D668" s="308">
        <v>22</v>
      </c>
      <c r="E668" s="14">
        <v>150</v>
      </c>
      <c r="F668" s="14">
        <v>273</v>
      </c>
      <c r="G668" s="14">
        <v>150</v>
      </c>
      <c r="H668" s="14"/>
      <c r="I668" s="292">
        <v>61</v>
      </c>
      <c r="J668" s="292">
        <v>150</v>
      </c>
      <c r="K668" s="14"/>
      <c r="L668" s="292">
        <v>219</v>
      </c>
      <c r="M668" s="14"/>
      <c r="N668" s="35">
        <v>14.5</v>
      </c>
      <c r="O668" s="14">
        <v>150</v>
      </c>
      <c r="P668" s="308">
        <v>17</v>
      </c>
      <c r="Q668" s="14">
        <v>150</v>
      </c>
      <c r="R668" s="305">
        <v>225</v>
      </c>
      <c r="S668" s="14">
        <v>150</v>
      </c>
      <c r="T668" s="14"/>
      <c r="U668" s="14"/>
      <c r="V668" s="292">
        <v>57</v>
      </c>
      <c r="W668" s="292">
        <v>150</v>
      </c>
      <c r="X668" s="14"/>
      <c r="AC668" s="14"/>
      <c r="AE668" s="14"/>
    </row>
    <row r="669" spans="1:31" s="133" customFormat="1">
      <c r="A669" s="14"/>
      <c r="B669" s="35">
        <v>21</v>
      </c>
      <c r="C669" s="14">
        <v>160</v>
      </c>
      <c r="D669" s="308">
        <v>23</v>
      </c>
      <c r="E669" s="14">
        <v>160</v>
      </c>
      <c r="F669" s="14">
        <v>276</v>
      </c>
      <c r="G669" s="14">
        <v>160</v>
      </c>
      <c r="H669" s="14"/>
      <c r="I669" s="292">
        <v>63</v>
      </c>
      <c r="J669" s="292">
        <v>160</v>
      </c>
      <c r="K669" s="14"/>
      <c r="L669" s="292">
        <v>222</v>
      </c>
      <c r="M669" s="14"/>
      <c r="N669" s="35">
        <v>15</v>
      </c>
      <c r="O669" s="14">
        <v>160</v>
      </c>
      <c r="P669" s="308">
        <v>18</v>
      </c>
      <c r="Q669" s="14">
        <v>160</v>
      </c>
      <c r="R669" s="305">
        <v>228</v>
      </c>
      <c r="S669" s="14">
        <v>160</v>
      </c>
      <c r="T669" s="14"/>
      <c r="U669" s="14"/>
      <c r="V669" s="292">
        <v>59</v>
      </c>
      <c r="W669" s="292">
        <v>160</v>
      </c>
      <c r="X669" s="14"/>
      <c r="AC669" s="14"/>
      <c r="AE669" s="14"/>
    </row>
    <row r="670" spans="1:31" s="133" customFormat="1">
      <c r="A670" s="14"/>
      <c r="B670" s="35">
        <v>21.5</v>
      </c>
      <c r="C670" s="14">
        <v>170</v>
      </c>
      <c r="D670" s="308">
        <v>24</v>
      </c>
      <c r="E670" s="14">
        <v>170</v>
      </c>
      <c r="F670" s="14">
        <v>279</v>
      </c>
      <c r="G670" s="14">
        <v>170</v>
      </c>
      <c r="H670" s="14"/>
      <c r="I670" s="292">
        <v>65</v>
      </c>
      <c r="J670" s="292">
        <v>170</v>
      </c>
      <c r="K670" s="14"/>
      <c r="L670" s="292">
        <v>225</v>
      </c>
      <c r="M670" s="14"/>
      <c r="N670" s="35">
        <v>15.5</v>
      </c>
      <c r="O670" s="14">
        <v>170</v>
      </c>
      <c r="P670" s="308">
        <v>19</v>
      </c>
      <c r="Q670" s="14">
        <v>170</v>
      </c>
      <c r="R670" s="305">
        <v>231</v>
      </c>
      <c r="S670" s="14">
        <v>170</v>
      </c>
      <c r="T670" s="14"/>
      <c r="U670" s="14"/>
      <c r="V670" s="292">
        <v>61</v>
      </c>
      <c r="W670" s="292">
        <v>170</v>
      </c>
      <c r="X670" s="14"/>
      <c r="AC670" s="14"/>
      <c r="AE670" s="14"/>
    </row>
    <row r="671" spans="1:31" s="133" customFormat="1">
      <c r="A671" s="14"/>
      <c r="B671" s="35">
        <v>22</v>
      </c>
      <c r="C671" s="14">
        <v>180</v>
      </c>
      <c r="D671" s="308">
        <v>25</v>
      </c>
      <c r="E671" s="14">
        <v>180</v>
      </c>
      <c r="F671" s="14">
        <v>282</v>
      </c>
      <c r="G671" s="14">
        <v>180</v>
      </c>
      <c r="H671" s="14"/>
      <c r="I671" s="292">
        <v>67</v>
      </c>
      <c r="J671" s="292">
        <v>180</v>
      </c>
      <c r="K671" s="14"/>
      <c r="L671" s="292">
        <v>228</v>
      </c>
      <c r="M671" s="14"/>
      <c r="N671" s="35">
        <v>16</v>
      </c>
      <c r="O671" s="14">
        <v>180</v>
      </c>
      <c r="P671" s="308">
        <v>20</v>
      </c>
      <c r="Q671" s="14">
        <v>180</v>
      </c>
      <c r="R671" s="305">
        <v>234</v>
      </c>
      <c r="S671" s="14">
        <v>180</v>
      </c>
      <c r="T671" s="14"/>
      <c r="U671" s="14"/>
      <c r="V671" s="292">
        <v>63</v>
      </c>
      <c r="W671" s="292">
        <v>180</v>
      </c>
      <c r="X671" s="14"/>
      <c r="AC671" s="14"/>
      <c r="AE671" s="14"/>
    </row>
    <row r="672" spans="1:31" s="133" customFormat="1">
      <c r="A672" s="14"/>
      <c r="B672" s="35">
        <v>22.5</v>
      </c>
      <c r="C672" s="14">
        <v>190</v>
      </c>
      <c r="D672" s="308">
        <v>26</v>
      </c>
      <c r="E672" s="14">
        <v>190</v>
      </c>
      <c r="F672" s="14">
        <v>285</v>
      </c>
      <c r="G672" s="14">
        <v>190</v>
      </c>
      <c r="H672" s="14"/>
      <c r="I672" s="292">
        <v>69</v>
      </c>
      <c r="J672" s="292">
        <v>190</v>
      </c>
      <c r="K672" s="14"/>
      <c r="L672" s="292">
        <v>231</v>
      </c>
      <c r="M672" s="14"/>
      <c r="N672" s="35">
        <v>16.5</v>
      </c>
      <c r="O672" s="14">
        <v>190</v>
      </c>
      <c r="P672" s="308">
        <v>21</v>
      </c>
      <c r="Q672" s="14">
        <v>190</v>
      </c>
      <c r="R672" s="305">
        <v>237</v>
      </c>
      <c r="S672" s="14">
        <v>190</v>
      </c>
      <c r="T672" s="14"/>
      <c r="U672" s="14"/>
      <c r="V672" s="292">
        <v>65</v>
      </c>
      <c r="W672" s="292">
        <v>190</v>
      </c>
      <c r="X672" s="14"/>
      <c r="AC672" s="14"/>
      <c r="AE672" s="14"/>
    </row>
    <row r="673" spans="1:31" s="133" customFormat="1">
      <c r="A673" s="14"/>
      <c r="B673" s="35">
        <v>23</v>
      </c>
      <c r="C673" s="14">
        <v>200</v>
      </c>
      <c r="D673" s="308">
        <v>27</v>
      </c>
      <c r="E673" s="14">
        <v>200</v>
      </c>
      <c r="F673" s="14">
        <v>288</v>
      </c>
      <c r="G673" s="14">
        <v>200</v>
      </c>
      <c r="H673" s="14"/>
      <c r="I673" s="292">
        <v>71</v>
      </c>
      <c r="J673" s="292">
        <v>200</v>
      </c>
      <c r="K673" s="14"/>
      <c r="L673" s="292">
        <v>234</v>
      </c>
      <c r="M673" s="14"/>
      <c r="N673" s="35">
        <v>17</v>
      </c>
      <c r="O673" s="14">
        <v>200</v>
      </c>
      <c r="P673" s="308">
        <v>22</v>
      </c>
      <c r="Q673" s="14">
        <v>200</v>
      </c>
      <c r="R673" s="305">
        <v>240</v>
      </c>
      <c r="S673" s="14">
        <v>200</v>
      </c>
      <c r="T673" s="14"/>
      <c r="U673" s="14"/>
      <c r="V673" s="292">
        <v>67</v>
      </c>
      <c r="W673" s="292">
        <v>200</v>
      </c>
      <c r="X673" s="14"/>
      <c r="AC673" s="14"/>
      <c r="AE673" s="14"/>
    </row>
    <row r="674" spans="1:31" s="133" customFormat="1">
      <c r="A674" s="14"/>
      <c r="B674" s="34"/>
      <c r="C674" s="35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34"/>
      <c r="O674" s="35"/>
      <c r="P674" s="14"/>
      <c r="Q674" s="14"/>
      <c r="R674" s="14"/>
      <c r="S674" s="14"/>
      <c r="T674" s="14"/>
      <c r="U674" s="14"/>
      <c r="V674" s="14"/>
      <c r="W674" s="14"/>
      <c r="X674" s="14"/>
      <c r="AC674" s="14"/>
      <c r="AE674" s="14"/>
    </row>
    <row r="675" spans="1:31" s="133" customFormat="1">
      <c r="A675" s="14"/>
      <c r="B675" s="34"/>
      <c r="C675" s="35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34"/>
      <c r="O675" s="35"/>
      <c r="P675" s="14"/>
      <c r="Q675" s="14"/>
      <c r="R675" s="14"/>
      <c r="S675" s="14"/>
      <c r="T675" s="14"/>
      <c r="U675" s="14"/>
      <c r="V675" s="14"/>
      <c r="W675" s="14"/>
      <c r="X675" s="14"/>
      <c r="AC675" s="14"/>
      <c r="AE675" s="14"/>
    </row>
    <row r="676" spans="1:31" s="133" customFormat="1">
      <c r="A676" s="14" t="s">
        <v>147</v>
      </c>
      <c r="B676" s="34" t="s">
        <v>473</v>
      </c>
      <c r="C676" s="14" t="s">
        <v>471</v>
      </c>
      <c r="D676" s="313" t="s">
        <v>451</v>
      </c>
      <c r="E676" s="313" t="s">
        <v>471</v>
      </c>
      <c r="F676" s="14" t="s">
        <v>480</v>
      </c>
      <c r="G676" s="14" t="s">
        <v>471</v>
      </c>
      <c r="H676" s="14"/>
      <c r="I676" s="34" t="s">
        <v>473</v>
      </c>
      <c r="J676" s="14"/>
      <c r="K676" s="14"/>
      <c r="L676" s="34" t="s">
        <v>473</v>
      </c>
      <c r="M676" s="14"/>
      <c r="N676" s="34" t="s">
        <v>473</v>
      </c>
      <c r="O676" s="14" t="s">
        <v>471</v>
      </c>
      <c r="P676" s="313" t="s">
        <v>451</v>
      </c>
      <c r="Q676" s="313" t="s">
        <v>471</v>
      </c>
      <c r="R676" s="14" t="s">
        <v>480</v>
      </c>
      <c r="S676" s="14" t="s">
        <v>471</v>
      </c>
      <c r="T676" s="14"/>
      <c r="U676" s="14"/>
      <c r="V676" s="14"/>
      <c r="W676" s="14"/>
      <c r="X676" s="14"/>
      <c r="AC676" s="14"/>
      <c r="AE676" s="14"/>
    </row>
    <row r="677" spans="1:31" s="133" customFormat="1">
      <c r="A677" s="14"/>
      <c r="B677" s="34">
        <v>0</v>
      </c>
      <c r="C677" s="56">
        <v>200</v>
      </c>
      <c r="D677" s="313">
        <v>0</v>
      </c>
      <c r="E677" s="313">
        <v>80</v>
      </c>
      <c r="F677" s="14">
        <v>0</v>
      </c>
      <c r="G677" s="14">
        <v>80</v>
      </c>
      <c r="H677" s="14"/>
      <c r="I677" s="34">
        <v>0</v>
      </c>
      <c r="J677" s="14"/>
      <c r="K677" s="14"/>
      <c r="L677" s="34">
        <v>0</v>
      </c>
      <c r="M677" s="14"/>
      <c r="N677" s="34">
        <v>0</v>
      </c>
      <c r="O677" s="56">
        <v>200</v>
      </c>
      <c r="P677" s="313">
        <v>0</v>
      </c>
      <c r="Q677" s="313">
        <v>80</v>
      </c>
      <c r="R677" s="14">
        <v>0</v>
      </c>
      <c r="S677" s="14">
        <v>80</v>
      </c>
      <c r="T677" s="14"/>
      <c r="U677" s="14"/>
      <c r="V677" s="14"/>
      <c r="W677" s="14"/>
      <c r="X677" s="14"/>
      <c r="AC677" s="14"/>
      <c r="AE677" s="14"/>
    </row>
    <row r="678" spans="1:31" s="133" customFormat="1">
      <c r="A678" s="184" t="s">
        <v>133</v>
      </c>
      <c r="B678" s="116">
        <v>13.5</v>
      </c>
      <c r="C678" s="56">
        <v>190</v>
      </c>
      <c r="D678" s="313">
        <v>116</v>
      </c>
      <c r="E678" s="313">
        <v>90</v>
      </c>
      <c r="F678" s="14">
        <v>255</v>
      </c>
      <c r="G678" s="14">
        <v>90</v>
      </c>
      <c r="H678" s="14"/>
      <c r="I678" s="34">
        <v>14.2</v>
      </c>
      <c r="J678" s="14"/>
      <c r="K678" s="14"/>
      <c r="L678" s="34">
        <v>16</v>
      </c>
      <c r="M678" s="14"/>
      <c r="N678" s="116">
        <v>15.2</v>
      </c>
      <c r="O678" s="56">
        <v>190</v>
      </c>
      <c r="P678" s="313">
        <v>56</v>
      </c>
      <c r="Q678" s="313">
        <v>90</v>
      </c>
      <c r="R678" s="14">
        <v>201</v>
      </c>
      <c r="S678" s="14">
        <v>90</v>
      </c>
      <c r="T678" s="14"/>
      <c r="U678" s="14"/>
      <c r="V678" s="14"/>
      <c r="W678" s="14"/>
      <c r="X678" s="14"/>
      <c r="AC678" s="14"/>
      <c r="AE678" s="14"/>
    </row>
    <row r="679" spans="1:31" s="133" customFormat="1">
      <c r="A679" s="184" t="s">
        <v>10</v>
      </c>
      <c r="B679" s="116">
        <v>13.8</v>
      </c>
      <c r="C679" s="56">
        <v>180</v>
      </c>
      <c r="D679" s="313">
        <v>122</v>
      </c>
      <c r="E679" s="313">
        <v>100</v>
      </c>
      <c r="F679" s="14">
        <v>258</v>
      </c>
      <c r="G679" s="14">
        <v>100</v>
      </c>
      <c r="H679" s="14"/>
      <c r="I679" s="34">
        <v>14.5</v>
      </c>
      <c r="J679" s="14"/>
      <c r="K679" s="14"/>
      <c r="L679" s="34">
        <v>16.3</v>
      </c>
      <c r="M679" s="14"/>
      <c r="N679" s="116">
        <v>15.5</v>
      </c>
      <c r="O679" s="56">
        <v>180</v>
      </c>
      <c r="P679" s="313">
        <v>62</v>
      </c>
      <c r="Q679" s="313">
        <v>100</v>
      </c>
      <c r="R679" s="14">
        <v>204</v>
      </c>
      <c r="S679" s="14">
        <v>100</v>
      </c>
      <c r="T679" s="14"/>
      <c r="U679" s="14"/>
      <c r="V679" s="14"/>
      <c r="W679" s="14"/>
      <c r="X679" s="14"/>
      <c r="AC679" s="14"/>
      <c r="AE679" s="14"/>
    </row>
    <row r="680" spans="1:31" s="133" customFormat="1">
      <c r="A680" s="184" t="s">
        <v>31</v>
      </c>
      <c r="B680" s="116">
        <v>14.1</v>
      </c>
      <c r="C680" s="56">
        <v>170</v>
      </c>
      <c r="D680" s="313">
        <v>128</v>
      </c>
      <c r="E680" s="313">
        <v>110</v>
      </c>
      <c r="F680" s="14">
        <v>261</v>
      </c>
      <c r="G680" s="14">
        <v>110</v>
      </c>
      <c r="H680" s="14"/>
      <c r="I680" s="34">
        <v>14.8</v>
      </c>
      <c r="J680" s="14"/>
      <c r="K680" s="14"/>
      <c r="L680" s="34">
        <v>16.600000000000001</v>
      </c>
      <c r="M680" s="14"/>
      <c r="N680" s="116">
        <v>15.8</v>
      </c>
      <c r="O680" s="56">
        <v>170</v>
      </c>
      <c r="P680" s="313">
        <v>68</v>
      </c>
      <c r="Q680" s="313">
        <v>110</v>
      </c>
      <c r="R680" s="14">
        <v>207</v>
      </c>
      <c r="S680" s="14">
        <v>110</v>
      </c>
      <c r="T680" s="14"/>
      <c r="U680" s="14"/>
      <c r="V680" s="14"/>
      <c r="W680" s="14"/>
      <c r="X680" s="14"/>
      <c r="AC680" s="14"/>
      <c r="AE680" s="14"/>
    </row>
    <row r="681" spans="1:31" s="133" customFormat="1">
      <c r="A681" s="14"/>
      <c r="B681" s="116">
        <v>14.4</v>
      </c>
      <c r="C681" s="56">
        <v>160</v>
      </c>
      <c r="D681" s="313">
        <v>134</v>
      </c>
      <c r="E681" s="313">
        <v>120</v>
      </c>
      <c r="F681" s="14">
        <v>264</v>
      </c>
      <c r="G681" s="14">
        <v>120</v>
      </c>
      <c r="H681" s="14"/>
      <c r="I681" s="34">
        <v>15.1</v>
      </c>
      <c r="J681" s="14"/>
      <c r="K681" s="14"/>
      <c r="L681" s="34">
        <v>16.899999999999999</v>
      </c>
      <c r="M681" s="14"/>
      <c r="N681" s="116">
        <v>16.100000000000001</v>
      </c>
      <c r="O681" s="56">
        <v>160</v>
      </c>
      <c r="P681" s="313">
        <v>74</v>
      </c>
      <c r="Q681" s="313">
        <v>120</v>
      </c>
      <c r="R681" s="14">
        <v>210</v>
      </c>
      <c r="S681" s="14">
        <v>120</v>
      </c>
      <c r="T681" s="14"/>
      <c r="U681" s="14"/>
      <c r="V681" s="14"/>
      <c r="W681" s="14"/>
      <c r="X681" s="14"/>
      <c r="AC681" s="14"/>
      <c r="AE681" s="14"/>
    </row>
    <row r="682" spans="1:31" s="133" customFormat="1">
      <c r="A682" s="14"/>
      <c r="B682" s="116">
        <v>14.7</v>
      </c>
      <c r="C682" s="56">
        <v>150</v>
      </c>
      <c r="D682" s="313">
        <v>143</v>
      </c>
      <c r="E682" s="313">
        <v>130</v>
      </c>
      <c r="F682" s="14">
        <v>267</v>
      </c>
      <c r="G682" s="14">
        <v>130</v>
      </c>
      <c r="H682" s="14"/>
      <c r="I682" s="34">
        <v>15.4</v>
      </c>
      <c r="J682" s="14"/>
      <c r="K682" s="14"/>
      <c r="L682" s="34">
        <v>17.2</v>
      </c>
      <c r="M682" s="14"/>
      <c r="N682" s="116">
        <v>16.399999999999999</v>
      </c>
      <c r="O682" s="56">
        <v>150</v>
      </c>
      <c r="P682" s="313">
        <v>83</v>
      </c>
      <c r="Q682" s="313">
        <v>130</v>
      </c>
      <c r="R682" s="14">
        <v>213</v>
      </c>
      <c r="S682" s="14">
        <v>130</v>
      </c>
      <c r="T682" s="14"/>
      <c r="U682" s="14"/>
      <c r="V682" s="14"/>
      <c r="W682" s="14"/>
      <c r="X682" s="14"/>
      <c r="AC682" s="14"/>
      <c r="AE682" s="14"/>
    </row>
    <row r="683" spans="1:31" s="133" customFormat="1">
      <c r="A683" s="14"/>
      <c r="B683" s="116">
        <v>15</v>
      </c>
      <c r="C683" s="56">
        <v>140</v>
      </c>
      <c r="D683" s="313">
        <v>152</v>
      </c>
      <c r="E683" s="313">
        <v>140</v>
      </c>
      <c r="F683" s="14">
        <v>270</v>
      </c>
      <c r="G683" s="14">
        <v>140</v>
      </c>
      <c r="H683" s="14"/>
      <c r="I683" s="34">
        <v>15.7</v>
      </c>
      <c r="J683" s="14"/>
      <c r="K683" s="14"/>
      <c r="L683" s="34">
        <v>17.5</v>
      </c>
      <c r="M683" s="14"/>
      <c r="N683" s="116">
        <v>16.7</v>
      </c>
      <c r="O683" s="56">
        <v>140</v>
      </c>
      <c r="P683" s="313">
        <v>92</v>
      </c>
      <c r="Q683" s="313">
        <v>140</v>
      </c>
      <c r="R683" s="14">
        <v>216</v>
      </c>
      <c r="S683" s="14">
        <v>140</v>
      </c>
      <c r="T683" s="14"/>
      <c r="U683" s="14"/>
      <c r="V683" s="14"/>
      <c r="W683" s="14"/>
      <c r="X683" s="14"/>
      <c r="AC683" s="14"/>
      <c r="AE683" s="14"/>
    </row>
    <row r="684" spans="1:31" s="133" customFormat="1">
      <c r="A684" s="14"/>
      <c r="B684" s="116">
        <v>15.3</v>
      </c>
      <c r="C684" s="56">
        <v>130</v>
      </c>
      <c r="D684" s="313">
        <v>160</v>
      </c>
      <c r="E684" s="313">
        <v>150</v>
      </c>
      <c r="F684" s="14">
        <v>273</v>
      </c>
      <c r="G684" s="14">
        <v>150</v>
      </c>
      <c r="H684" s="14"/>
      <c r="I684" s="34">
        <v>16</v>
      </c>
      <c r="J684" s="14"/>
      <c r="K684" s="14"/>
      <c r="L684" s="34">
        <v>17.8</v>
      </c>
      <c r="M684" s="14"/>
      <c r="N684" s="116">
        <v>17</v>
      </c>
      <c r="O684" s="56">
        <v>130</v>
      </c>
      <c r="P684" s="313">
        <v>100</v>
      </c>
      <c r="Q684" s="313">
        <v>150</v>
      </c>
      <c r="R684" s="14">
        <v>219</v>
      </c>
      <c r="S684" s="14">
        <v>150</v>
      </c>
      <c r="T684" s="14"/>
      <c r="U684" s="14"/>
      <c r="V684" s="14"/>
      <c r="W684" s="14"/>
      <c r="X684" s="14"/>
      <c r="AC684" s="14"/>
      <c r="AE684" s="14"/>
    </row>
    <row r="685" spans="1:31" s="133" customFormat="1">
      <c r="A685" s="14"/>
      <c r="B685" s="116">
        <v>15.6</v>
      </c>
      <c r="C685" s="56">
        <v>120</v>
      </c>
      <c r="D685" s="313">
        <v>169</v>
      </c>
      <c r="E685" s="313">
        <v>160</v>
      </c>
      <c r="F685" s="14">
        <v>276</v>
      </c>
      <c r="G685" s="14">
        <v>160</v>
      </c>
      <c r="H685" s="14"/>
      <c r="I685" s="34">
        <v>16.3</v>
      </c>
      <c r="J685" s="14"/>
      <c r="K685" s="14"/>
      <c r="L685" s="34">
        <v>18.100000000000001</v>
      </c>
      <c r="M685" s="14"/>
      <c r="N685" s="116">
        <v>17.3</v>
      </c>
      <c r="O685" s="56">
        <v>120</v>
      </c>
      <c r="P685" s="313">
        <v>109</v>
      </c>
      <c r="Q685" s="313">
        <v>160</v>
      </c>
      <c r="R685" s="14">
        <v>222</v>
      </c>
      <c r="S685" s="14">
        <v>160</v>
      </c>
      <c r="T685" s="14"/>
      <c r="U685" s="14"/>
      <c r="V685" s="14"/>
      <c r="W685" s="14"/>
      <c r="X685" s="14"/>
      <c r="AC685" s="14"/>
      <c r="AE685" s="14"/>
    </row>
    <row r="686" spans="1:31" s="133" customFormat="1">
      <c r="A686" s="14"/>
      <c r="B686" s="116">
        <v>15.9</v>
      </c>
      <c r="C686" s="56">
        <v>110</v>
      </c>
      <c r="D686" s="313">
        <v>178</v>
      </c>
      <c r="E686" s="313">
        <v>170</v>
      </c>
      <c r="F686" s="14">
        <v>279</v>
      </c>
      <c r="G686" s="14">
        <v>170</v>
      </c>
      <c r="H686" s="14"/>
      <c r="I686" s="34">
        <v>16.600000000000001</v>
      </c>
      <c r="J686" s="14"/>
      <c r="K686" s="14"/>
      <c r="L686" s="34">
        <v>18.399999999999999</v>
      </c>
      <c r="M686" s="14"/>
      <c r="N686" s="116">
        <v>17.600000000000001</v>
      </c>
      <c r="O686" s="56">
        <v>110</v>
      </c>
      <c r="P686" s="313">
        <v>118</v>
      </c>
      <c r="Q686" s="313">
        <v>170</v>
      </c>
      <c r="R686" s="14">
        <v>225</v>
      </c>
      <c r="S686" s="14">
        <v>170</v>
      </c>
      <c r="T686" s="14"/>
      <c r="U686" s="14"/>
      <c r="V686" s="14"/>
      <c r="W686" s="14"/>
      <c r="X686" s="14"/>
      <c r="AC686" s="14"/>
      <c r="AE686" s="14"/>
    </row>
    <row r="687" spans="1:31" s="133" customFormat="1">
      <c r="A687" s="14"/>
      <c r="B687" s="116">
        <v>16.2</v>
      </c>
      <c r="C687" s="56">
        <v>100</v>
      </c>
      <c r="D687" s="313">
        <v>184</v>
      </c>
      <c r="E687" s="313">
        <v>180</v>
      </c>
      <c r="F687" s="14">
        <v>282</v>
      </c>
      <c r="G687" s="14">
        <v>180</v>
      </c>
      <c r="H687" s="14"/>
      <c r="I687" s="34">
        <v>16.899999999999999</v>
      </c>
      <c r="J687" s="14"/>
      <c r="K687" s="14"/>
      <c r="L687" s="34">
        <v>18.7</v>
      </c>
      <c r="M687" s="14"/>
      <c r="N687" s="116">
        <v>17.899999999999999</v>
      </c>
      <c r="O687" s="56">
        <v>100</v>
      </c>
      <c r="P687" s="313">
        <v>124</v>
      </c>
      <c r="Q687" s="313">
        <v>180</v>
      </c>
      <c r="R687" s="14">
        <v>228</v>
      </c>
      <c r="S687" s="14">
        <v>180</v>
      </c>
      <c r="T687" s="14"/>
      <c r="U687" s="14"/>
      <c r="V687" s="14"/>
      <c r="W687" s="14"/>
      <c r="X687" s="14"/>
      <c r="AC687" s="14"/>
      <c r="AE687" s="14"/>
    </row>
    <row r="688" spans="1:31" s="133" customFormat="1">
      <c r="A688" s="14"/>
      <c r="B688" s="116">
        <v>16.5</v>
      </c>
      <c r="C688" s="56">
        <v>90</v>
      </c>
      <c r="D688" s="313">
        <v>190</v>
      </c>
      <c r="E688" s="313">
        <v>190</v>
      </c>
      <c r="F688" s="14">
        <v>285</v>
      </c>
      <c r="G688" s="14">
        <v>190</v>
      </c>
      <c r="H688" s="14"/>
      <c r="I688" s="34">
        <v>17.2</v>
      </c>
      <c r="J688" s="14"/>
      <c r="K688" s="14"/>
      <c r="L688" s="34">
        <v>19</v>
      </c>
      <c r="M688" s="14"/>
      <c r="N688" s="116">
        <v>18.2</v>
      </c>
      <c r="O688" s="56">
        <v>90</v>
      </c>
      <c r="P688" s="313">
        <v>130</v>
      </c>
      <c r="Q688" s="313">
        <v>190</v>
      </c>
      <c r="R688" s="14">
        <v>231</v>
      </c>
      <c r="S688" s="14">
        <v>190</v>
      </c>
      <c r="T688" s="14"/>
      <c r="U688" s="14"/>
      <c r="V688" s="14"/>
      <c r="W688" s="14"/>
      <c r="X688" s="14"/>
      <c r="AC688" s="14"/>
      <c r="AE688" s="14"/>
    </row>
    <row r="689" spans="1:31" s="133" customFormat="1">
      <c r="A689" s="14"/>
      <c r="B689" s="116">
        <v>16.8</v>
      </c>
      <c r="C689" s="56">
        <v>80</v>
      </c>
      <c r="D689" s="313">
        <v>196</v>
      </c>
      <c r="E689" s="313">
        <v>200</v>
      </c>
      <c r="F689" s="14">
        <v>288</v>
      </c>
      <c r="G689" s="14">
        <v>200</v>
      </c>
      <c r="H689" s="14"/>
      <c r="I689" s="34">
        <v>17.5</v>
      </c>
      <c r="J689" s="14"/>
      <c r="K689" s="14"/>
      <c r="L689" s="34">
        <v>19.3</v>
      </c>
      <c r="M689" s="14"/>
      <c r="N689" s="116">
        <v>18.5</v>
      </c>
      <c r="O689" s="56">
        <v>80</v>
      </c>
      <c r="P689" s="313">
        <v>136</v>
      </c>
      <c r="Q689" s="313">
        <v>200</v>
      </c>
      <c r="R689" s="14">
        <v>234</v>
      </c>
      <c r="S689" s="14">
        <v>200</v>
      </c>
      <c r="T689" s="14"/>
      <c r="U689" s="14"/>
      <c r="V689" s="14"/>
      <c r="W689" s="14"/>
      <c r="X689" s="14"/>
      <c r="AC689" s="14"/>
      <c r="AE689" s="14"/>
    </row>
    <row r="690" spans="1:31" s="133" customFormat="1">
      <c r="A690" s="14"/>
      <c r="B690" s="34"/>
      <c r="C690" s="35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34"/>
      <c r="O690" s="35"/>
      <c r="P690" s="14"/>
      <c r="Q690" s="14"/>
      <c r="R690" s="14"/>
      <c r="S690" s="14"/>
      <c r="T690" s="14"/>
      <c r="U690" s="14"/>
      <c r="V690" s="14"/>
      <c r="W690" s="14"/>
      <c r="X690" s="14"/>
      <c r="AC690" s="14"/>
      <c r="AE690" s="14"/>
    </row>
    <row r="691" spans="1:31" s="133" customFormat="1">
      <c r="A691" s="14"/>
      <c r="B691" s="34"/>
      <c r="C691" s="35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34"/>
      <c r="O691" s="35"/>
      <c r="P691" s="14"/>
      <c r="Q691" s="14"/>
      <c r="R691" s="14"/>
      <c r="S691" s="14"/>
      <c r="T691" s="14"/>
      <c r="U691" s="14"/>
      <c r="V691" s="14"/>
      <c r="W691" s="14"/>
      <c r="X691" s="14"/>
      <c r="AC691" s="14"/>
      <c r="AE691" s="14"/>
    </row>
    <row r="692" spans="1:31" s="133" customFormat="1" ht="15" customHeight="1">
      <c r="A692" s="14" t="s">
        <v>197</v>
      </c>
      <c r="B692" s="34" t="s">
        <v>473</v>
      </c>
      <c r="C692" s="14" t="s">
        <v>471</v>
      </c>
      <c r="D692" s="14" t="s">
        <v>311</v>
      </c>
      <c r="E692" s="14" t="s">
        <v>471</v>
      </c>
      <c r="F692" s="14" t="s">
        <v>480</v>
      </c>
      <c r="G692" s="14" t="s">
        <v>471</v>
      </c>
      <c r="H692" s="14"/>
      <c r="I692" s="34" t="s">
        <v>473</v>
      </c>
      <c r="J692" s="14"/>
      <c r="K692" s="14"/>
      <c r="L692" s="34" t="s">
        <v>473</v>
      </c>
      <c r="M692" s="14"/>
      <c r="N692" s="34" t="s">
        <v>473</v>
      </c>
      <c r="O692" s="14" t="s">
        <v>471</v>
      </c>
      <c r="P692" s="14" t="s">
        <v>311</v>
      </c>
      <c r="Q692" s="14" t="s">
        <v>471</v>
      </c>
      <c r="R692" s="14" t="s">
        <v>480</v>
      </c>
      <c r="S692" s="14" t="s">
        <v>471</v>
      </c>
      <c r="T692" s="14"/>
      <c r="U692" s="14"/>
      <c r="V692" s="14"/>
      <c r="W692" s="14"/>
      <c r="X692" s="14"/>
      <c r="AC692" s="14"/>
      <c r="AE692" s="14"/>
    </row>
    <row r="693" spans="1:31" s="133" customFormat="1">
      <c r="A693" s="195" t="s">
        <v>673</v>
      </c>
      <c r="B693" s="34">
        <v>0</v>
      </c>
      <c r="C693" s="56">
        <v>200</v>
      </c>
      <c r="D693" s="14">
        <v>0</v>
      </c>
      <c r="E693" s="14">
        <v>80</v>
      </c>
      <c r="F693" s="14">
        <v>0</v>
      </c>
      <c r="G693" s="14">
        <v>80</v>
      </c>
      <c r="H693" s="14"/>
      <c r="I693" s="34">
        <v>0</v>
      </c>
      <c r="J693" s="14"/>
      <c r="K693" s="14"/>
      <c r="L693" s="34">
        <v>0</v>
      </c>
      <c r="M693" s="14"/>
      <c r="N693" s="116">
        <v>0</v>
      </c>
      <c r="O693" s="56">
        <v>200</v>
      </c>
      <c r="P693" s="14">
        <v>0</v>
      </c>
      <c r="Q693" s="14">
        <v>80</v>
      </c>
      <c r="R693" s="14">
        <v>0</v>
      </c>
      <c r="S693" s="14">
        <v>80</v>
      </c>
      <c r="T693" s="14"/>
      <c r="U693" s="14"/>
      <c r="V693" s="14"/>
      <c r="W693" s="14"/>
      <c r="X693" s="14"/>
      <c r="AC693" s="14"/>
      <c r="AE693" s="14"/>
    </row>
    <row r="694" spans="1:31" s="133" customFormat="1">
      <c r="A694" s="184" t="s">
        <v>133</v>
      </c>
      <c r="B694" s="116">
        <v>13.5</v>
      </c>
      <c r="C694" s="56">
        <v>190</v>
      </c>
      <c r="D694" s="35">
        <v>17.5</v>
      </c>
      <c r="E694" s="14">
        <v>90</v>
      </c>
      <c r="F694" s="14">
        <v>255</v>
      </c>
      <c r="G694" s="14">
        <v>90</v>
      </c>
      <c r="H694" s="14"/>
      <c r="I694" s="34">
        <v>14.2</v>
      </c>
      <c r="J694" s="14"/>
      <c r="K694" s="14"/>
      <c r="L694" s="34">
        <v>16</v>
      </c>
      <c r="M694" s="14"/>
      <c r="N694" s="116">
        <v>14.6</v>
      </c>
      <c r="O694" s="56">
        <v>190</v>
      </c>
      <c r="P694" s="35">
        <v>11.5</v>
      </c>
      <c r="Q694" s="14">
        <v>90</v>
      </c>
      <c r="R694" s="14">
        <v>201</v>
      </c>
      <c r="S694" s="14">
        <v>90</v>
      </c>
      <c r="T694" s="14"/>
      <c r="U694" s="14"/>
      <c r="V694" s="14"/>
      <c r="W694" s="14"/>
      <c r="X694" s="14"/>
      <c r="AC694" s="14"/>
      <c r="AE694" s="14"/>
    </row>
    <row r="695" spans="1:31" s="133" customFormat="1">
      <c r="A695" s="184" t="s">
        <v>10</v>
      </c>
      <c r="B695" s="116">
        <v>13.8</v>
      </c>
      <c r="C695" s="56">
        <v>180</v>
      </c>
      <c r="D695" s="35">
        <v>18</v>
      </c>
      <c r="E695" s="14">
        <v>100</v>
      </c>
      <c r="F695" s="14">
        <v>258</v>
      </c>
      <c r="G695" s="14">
        <v>100</v>
      </c>
      <c r="H695" s="14"/>
      <c r="I695" s="34">
        <v>14.5</v>
      </c>
      <c r="J695" s="14"/>
      <c r="K695" s="14"/>
      <c r="L695" s="34">
        <v>16.3</v>
      </c>
      <c r="M695" s="14"/>
      <c r="N695" s="116">
        <v>14.9</v>
      </c>
      <c r="O695" s="56">
        <v>180</v>
      </c>
      <c r="P695" s="35">
        <v>12</v>
      </c>
      <c r="Q695" s="14">
        <v>100</v>
      </c>
      <c r="R695" s="14">
        <v>204</v>
      </c>
      <c r="S695" s="14">
        <v>100</v>
      </c>
      <c r="T695" s="14"/>
      <c r="U695" s="14"/>
      <c r="V695" s="14"/>
      <c r="W695" s="14"/>
      <c r="X695" s="14"/>
      <c r="AC695" s="14"/>
      <c r="AE695" s="14"/>
    </row>
    <row r="696" spans="1:31" s="133" customFormat="1">
      <c r="A696" s="184" t="s">
        <v>29</v>
      </c>
      <c r="B696" s="116">
        <v>14.1</v>
      </c>
      <c r="C696" s="56">
        <v>170</v>
      </c>
      <c r="D696" s="35">
        <v>18.5</v>
      </c>
      <c r="E696" s="14">
        <v>110</v>
      </c>
      <c r="F696" s="14">
        <v>261</v>
      </c>
      <c r="G696" s="14">
        <v>110</v>
      </c>
      <c r="H696" s="14"/>
      <c r="I696" s="34">
        <v>14.8</v>
      </c>
      <c r="J696" s="14"/>
      <c r="K696" s="14"/>
      <c r="L696" s="34">
        <v>16.600000000000001</v>
      </c>
      <c r="M696" s="14"/>
      <c r="N696" s="116">
        <v>15.2</v>
      </c>
      <c r="O696" s="56">
        <v>170</v>
      </c>
      <c r="P696" s="35">
        <v>12.5</v>
      </c>
      <c r="Q696" s="14">
        <v>110</v>
      </c>
      <c r="R696" s="14">
        <v>207</v>
      </c>
      <c r="S696" s="14">
        <v>110</v>
      </c>
      <c r="T696" s="14"/>
      <c r="U696" s="14"/>
      <c r="V696" s="14"/>
      <c r="W696" s="14"/>
      <c r="X696" s="14"/>
      <c r="AC696" s="14"/>
      <c r="AE696" s="14"/>
    </row>
    <row r="697" spans="1:31" s="133" customFormat="1">
      <c r="A697" s="14"/>
      <c r="B697" s="116">
        <v>14.4</v>
      </c>
      <c r="C697" s="56">
        <v>160</v>
      </c>
      <c r="D697" s="35">
        <v>19</v>
      </c>
      <c r="E697" s="14">
        <v>120</v>
      </c>
      <c r="F697" s="14">
        <v>264</v>
      </c>
      <c r="G697" s="14">
        <v>120</v>
      </c>
      <c r="H697" s="14"/>
      <c r="I697" s="34">
        <v>15.1</v>
      </c>
      <c r="J697" s="14"/>
      <c r="K697" s="14"/>
      <c r="L697" s="34">
        <v>16.899999999999999</v>
      </c>
      <c r="M697" s="14"/>
      <c r="N697" s="116">
        <v>15.5</v>
      </c>
      <c r="O697" s="56">
        <v>160</v>
      </c>
      <c r="P697" s="35">
        <v>13</v>
      </c>
      <c r="Q697" s="14">
        <v>120</v>
      </c>
      <c r="R697" s="14">
        <v>210</v>
      </c>
      <c r="S697" s="14">
        <v>120</v>
      </c>
      <c r="T697" s="14"/>
      <c r="U697" s="14"/>
      <c r="V697" s="14"/>
      <c r="W697" s="14"/>
      <c r="X697" s="14"/>
      <c r="AC697" s="14"/>
      <c r="AE697" s="14"/>
    </row>
    <row r="698" spans="1:31" s="133" customFormat="1">
      <c r="A698" s="14"/>
      <c r="B698" s="116">
        <v>14.7</v>
      </c>
      <c r="C698" s="56">
        <v>150</v>
      </c>
      <c r="D698" s="35">
        <v>19.5</v>
      </c>
      <c r="E698" s="14">
        <v>130</v>
      </c>
      <c r="F698" s="14">
        <v>267</v>
      </c>
      <c r="G698" s="14">
        <v>130</v>
      </c>
      <c r="H698" s="14"/>
      <c r="I698" s="34">
        <v>15.4</v>
      </c>
      <c r="J698" s="14"/>
      <c r="K698" s="14"/>
      <c r="L698" s="34">
        <v>17.2</v>
      </c>
      <c r="M698" s="14"/>
      <c r="N698" s="116">
        <v>15.8</v>
      </c>
      <c r="O698" s="56">
        <v>150</v>
      </c>
      <c r="P698" s="35">
        <v>13.5</v>
      </c>
      <c r="Q698" s="14">
        <v>130</v>
      </c>
      <c r="R698" s="14">
        <v>213</v>
      </c>
      <c r="S698" s="14">
        <v>130</v>
      </c>
      <c r="T698" s="14"/>
      <c r="U698" s="14"/>
      <c r="V698" s="14"/>
      <c r="W698" s="14"/>
      <c r="X698" s="14"/>
      <c r="AC698" s="14"/>
      <c r="AE698" s="14"/>
    </row>
    <row r="699" spans="1:31" s="133" customFormat="1">
      <c r="A699" s="14"/>
      <c r="B699" s="116">
        <v>15</v>
      </c>
      <c r="C699" s="56">
        <v>140</v>
      </c>
      <c r="D699" s="35">
        <v>20</v>
      </c>
      <c r="E699" s="14">
        <v>140</v>
      </c>
      <c r="F699" s="14">
        <v>270</v>
      </c>
      <c r="G699" s="14">
        <v>140</v>
      </c>
      <c r="H699" s="14"/>
      <c r="I699" s="34">
        <v>15.7</v>
      </c>
      <c r="J699" s="14"/>
      <c r="K699" s="14"/>
      <c r="L699" s="34">
        <v>17.5</v>
      </c>
      <c r="M699" s="14"/>
      <c r="N699" s="116">
        <v>16.100000000000001</v>
      </c>
      <c r="O699" s="56">
        <v>140</v>
      </c>
      <c r="P699" s="35">
        <v>14</v>
      </c>
      <c r="Q699" s="14">
        <v>140</v>
      </c>
      <c r="R699" s="14">
        <v>216</v>
      </c>
      <c r="S699" s="14">
        <v>140</v>
      </c>
      <c r="T699" s="14"/>
      <c r="U699" s="14"/>
      <c r="V699" s="14"/>
      <c r="W699" s="14"/>
      <c r="X699" s="14"/>
      <c r="AC699" s="14"/>
      <c r="AE699" s="14"/>
    </row>
    <row r="700" spans="1:31" s="133" customFormat="1">
      <c r="A700" s="14"/>
      <c r="B700" s="116">
        <v>15.3</v>
      </c>
      <c r="C700" s="56">
        <v>130</v>
      </c>
      <c r="D700" s="35">
        <v>20.5</v>
      </c>
      <c r="E700" s="14">
        <v>150</v>
      </c>
      <c r="F700" s="14">
        <v>273</v>
      </c>
      <c r="G700" s="14">
        <v>150</v>
      </c>
      <c r="H700" s="14"/>
      <c r="I700" s="34">
        <v>16</v>
      </c>
      <c r="J700" s="14"/>
      <c r="K700" s="14"/>
      <c r="L700" s="34">
        <v>17.8</v>
      </c>
      <c r="M700" s="14"/>
      <c r="N700" s="116">
        <v>16.399999999999999</v>
      </c>
      <c r="O700" s="56">
        <v>130</v>
      </c>
      <c r="P700" s="35">
        <v>14.5</v>
      </c>
      <c r="Q700" s="14">
        <v>150</v>
      </c>
      <c r="R700" s="14">
        <v>219</v>
      </c>
      <c r="S700" s="14">
        <v>150</v>
      </c>
      <c r="T700" s="14"/>
      <c r="U700" s="14"/>
      <c r="V700" s="14"/>
      <c r="W700" s="14"/>
      <c r="X700" s="14"/>
      <c r="AC700" s="14"/>
      <c r="AE700" s="14"/>
    </row>
    <row r="701" spans="1:31" s="133" customFormat="1">
      <c r="A701" s="14"/>
      <c r="B701" s="116">
        <v>15.6</v>
      </c>
      <c r="C701" s="56">
        <v>120</v>
      </c>
      <c r="D701" s="35">
        <v>21</v>
      </c>
      <c r="E701" s="14">
        <v>160</v>
      </c>
      <c r="F701" s="14">
        <v>276</v>
      </c>
      <c r="G701" s="14">
        <v>160</v>
      </c>
      <c r="H701" s="14"/>
      <c r="I701" s="34">
        <v>16.3</v>
      </c>
      <c r="J701" s="14"/>
      <c r="K701" s="14"/>
      <c r="L701" s="34">
        <v>18.100000000000001</v>
      </c>
      <c r="M701" s="14"/>
      <c r="N701" s="116">
        <v>16.7</v>
      </c>
      <c r="O701" s="56">
        <v>120</v>
      </c>
      <c r="P701" s="35">
        <v>15</v>
      </c>
      <c r="Q701" s="14">
        <v>160</v>
      </c>
      <c r="R701" s="14">
        <v>222</v>
      </c>
      <c r="S701" s="14">
        <v>160</v>
      </c>
      <c r="T701" s="14"/>
      <c r="U701" s="14"/>
      <c r="V701" s="14"/>
      <c r="W701" s="14"/>
      <c r="X701" s="14"/>
      <c r="AC701" s="14"/>
      <c r="AE701" s="14"/>
    </row>
    <row r="702" spans="1:31" s="133" customFormat="1">
      <c r="A702" s="14"/>
      <c r="B702" s="116">
        <v>15.9</v>
      </c>
      <c r="C702" s="56">
        <v>110</v>
      </c>
      <c r="D702" s="35">
        <v>21.5</v>
      </c>
      <c r="E702" s="14">
        <v>170</v>
      </c>
      <c r="F702" s="14">
        <v>279</v>
      </c>
      <c r="G702" s="14">
        <v>170</v>
      </c>
      <c r="H702" s="14"/>
      <c r="I702" s="34">
        <v>16.600000000000001</v>
      </c>
      <c r="J702" s="14"/>
      <c r="K702" s="14"/>
      <c r="L702" s="34">
        <v>18.399999999999999</v>
      </c>
      <c r="M702" s="14"/>
      <c r="N702" s="116">
        <v>17</v>
      </c>
      <c r="O702" s="56">
        <v>110</v>
      </c>
      <c r="P702" s="35">
        <v>15.5</v>
      </c>
      <c r="Q702" s="14">
        <v>170</v>
      </c>
      <c r="R702" s="14">
        <v>225</v>
      </c>
      <c r="S702" s="14">
        <v>170</v>
      </c>
      <c r="T702" s="14"/>
      <c r="U702" s="14"/>
      <c r="V702" s="14"/>
      <c r="W702" s="14"/>
      <c r="X702" s="14"/>
      <c r="AC702" s="14"/>
      <c r="AE702" s="14"/>
    </row>
    <row r="703" spans="1:31" s="133" customFormat="1">
      <c r="A703" s="14"/>
      <c r="B703" s="116">
        <v>16.2</v>
      </c>
      <c r="C703" s="56">
        <v>100</v>
      </c>
      <c r="D703" s="35">
        <v>22</v>
      </c>
      <c r="E703" s="14">
        <v>180</v>
      </c>
      <c r="F703" s="14">
        <v>282</v>
      </c>
      <c r="G703" s="14">
        <v>180</v>
      </c>
      <c r="H703" s="14"/>
      <c r="I703" s="34">
        <v>16.899999999999999</v>
      </c>
      <c r="J703" s="14"/>
      <c r="K703" s="14"/>
      <c r="L703" s="34">
        <v>18.7</v>
      </c>
      <c r="M703" s="14"/>
      <c r="N703" s="116">
        <v>17.3</v>
      </c>
      <c r="O703" s="56">
        <v>100</v>
      </c>
      <c r="P703" s="35">
        <v>16</v>
      </c>
      <c r="Q703" s="14">
        <v>180</v>
      </c>
      <c r="R703" s="14">
        <v>228</v>
      </c>
      <c r="S703" s="14">
        <v>180</v>
      </c>
      <c r="T703" s="14"/>
      <c r="U703" s="14"/>
      <c r="V703" s="14"/>
      <c r="W703" s="14"/>
      <c r="X703" s="14"/>
      <c r="AC703" s="14"/>
      <c r="AE703" s="14"/>
    </row>
    <row r="704" spans="1:31" s="133" customFormat="1">
      <c r="A704" s="14"/>
      <c r="B704" s="116">
        <v>16.5</v>
      </c>
      <c r="C704" s="56">
        <v>90</v>
      </c>
      <c r="D704" s="35">
        <v>22.5</v>
      </c>
      <c r="E704" s="14">
        <v>190</v>
      </c>
      <c r="F704" s="14">
        <v>285</v>
      </c>
      <c r="G704" s="14">
        <v>190</v>
      </c>
      <c r="H704" s="14"/>
      <c r="I704" s="34">
        <v>17.2</v>
      </c>
      <c r="J704" s="14"/>
      <c r="K704" s="14"/>
      <c r="L704" s="34">
        <v>19</v>
      </c>
      <c r="M704" s="14"/>
      <c r="N704" s="116">
        <v>17.600000000000001</v>
      </c>
      <c r="O704" s="56">
        <v>90</v>
      </c>
      <c r="P704" s="35">
        <v>16.5</v>
      </c>
      <c r="Q704" s="14">
        <v>190</v>
      </c>
      <c r="R704" s="14">
        <v>231</v>
      </c>
      <c r="S704" s="14">
        <v>190</v>
      </c>
      <c r="T704" s="14"/>
      <c r="U704" s="14"/>
      <c r="V704" s="14"/>
      <c r="W704" s="14"/>
      <c r="X704" s="14"/>
      <c r="AC704" s="14"/>
      <c r="AE704" s="14"/>
    </row>
    <row r="705" spans="1:31" s="133" customFormat="1">
      <c r="A705" s="14"/>
      <c r="B705" s="116">
        <v>16.8</v>
      </c>
      <c r="C705" s="56">
        <v>80</v>
      </c>
      <c r="D705" s="35">
        <v>23</v>
      </c>
      <c r="E705" s="14">
        <v>200</v>
      </c>
      <c r="F705" s="14">
        <v>288</v>
      </c>
      <c r="G705" s="14">
        <v>200</v>
      </c>
      <c r="H705" s="14"/>
      <c r="I705" s="34">
        <v>17.5</v>
      </c>
      <c r="J705" s="14"/>
      <c r="K705" s="14"/>
      <c r="L705" s="34">
        <v>19.3</v>
      </c>
      <c r="M705" s="14"/>
      <c r="N705" s="116">
        <v>17.899999999999999</v>
      </c>
      <c r="O705" s="56">
        <v>80</v>
      </c>
      <c r="P705" s="35">
        <v>17</v>
      </c>
      <c r="Q705" s="14">
        <v>200</v>
      </c>
      <c r="R705" s="14">
        <v>234</v>
      </c>
      <c r="S705" s="14">
        <v>200</v>
      </c>
      <c r="T705" s="14"/>
      <c r="U705" s="14"/>
      <c r="V705" s="14"/>
      <c r="W705" s="14"/>
      <c r="X705" s="14"/>
      <c r="AC705" s="14"/>
      <c r="AE705" s="14"/>
    </row>
    <row r="706" spans="1:31" s="10" customFormat="1">
      <c r="B706" s="34"/>
      <c r="C706" s="56"/>
      <c r="D706" s="35"/>
      <c r="N706" s="34"/>
      <c r="O706" s="56"/>
      <c r="P706" s="35"/>
    </row>
    <row r="707" spans="1:31" s="10" customFormat="1">
      <c r="A707" s="10" t="s">
        <v>62</v>
      </c>
      <c r="B707" s="34" t="s">
        <v>314</v>
      </c>
      <c r="C707" s="56" t="s">
        <v>471</v>
      </c>
      <c r="D707" s="35" t="s">
        <v>448</v>
      </c>
      <c r="E707" s="10" t="s">
        <v>471</v>
      </c>
      <c r="F707" s="312" t="s">
        <v>451</v>
      </c>
      <c r="G707" s="312" t="s">
        <v>471</v>
      </c>
      <c r="N707" s="34" t="s">
        <v>314</v>
      </c>
      <c r="O707" s="56" t="s">
        <v>471</v>
      </c>
      <c r="P707" s="35" t="s">
        <v>448</v>
      </c>
      <c r="Q707" s="10" t="s">
        <v>471</v>
      </c>
      <c r="R707" s="312" t="s">
        <v>451</v>
      </c>
      <c r="S707" s="312" t="s">
        <v>471</v>
      </c>
    </row>
    <row r="708" spans="1:31" s="10" customFormat="1">
      <c r="B708" s="34">
        <v>0</v>
      </c>
      <c r="C708" s="56">
        <v>100</v>
      </c>
      <c r="D708" s="56">
        <v>0</v>
      </c>
      <c r="E708" s="6">
        <v>50</v>
      </c>
      <c r="F708" s="312">
        <v>0</v>
      </c>
      <c r="G708" s="312">
        <v>50</v>
      </c>
      <c r="N708" s="34">
        <v>0</v>
      </c>
      <c r="O708" s="56">
        <v>100</v>
      </c>
      <c r="P708" s="56">
        <v>0</v>
      </c>
      <c r="Q708" s="6">
        <v>50</v>
      </c>
      <c r="R708" s="312">
        <v>0</v>
      </c>
      <c r="S708" s="312">
        <v>50</v>
      </c>
    </row>
    <row r="709" spans="1:31" s="10" customFormat="1">
      <c r="A709" s="10" t="s">
        <v>531</v>
      </c>
      <c r="B709" s="34">
        <v>15.01</v>
      </c>
      <c r="C709" s="56">
        <v>98</v>
      </c>
      <c r="D709" s="56">
        <v>242</v>
      </c>
      <c r="E709" s="6">
        <v>52</v>
      </c>
      <c r="F709" s="312">
        <v>138</v>
      </c>
      <c r="G709" s="312">
        <v>52</v>
      </c>
      <c r="N709" s="34">
        <v>16.809999999999999</v>
      </c>
      <c r="O709" s="56">
        <v>98</v>
      </c>
      <c r="P709" s="56">
        <v>172</v>
      </c>
      <c r="Q709" s="6">
        <v>52</v>
      </c>
      <c r="R709" s="312">
        <v>48</v>
      </c>
      <c r="S709" s="312">
        <v>52</v>
      </c>
    </row>
    <row r="710" spans="1:31" s="10" customFormat="1">
      <c r="A710" s="10" t="s">
        <v>525</v>
      </c>
      <c r="B710" s="34">
        <v>15.21</v>
      </c>
      <c r="C710" s="56">
        <v>96</v>
      </c>
      <c r="D710" s="56">
        <v>244</v>
      </c>
      <c r="E710" s="6">
        <v>54</v>
      </c>
      <c r="F710" s="312">
        <v>141</v>
      </c>
      <c r="G710" s="312">
        <v>54</v>
      </c>
      <c r="N710" s="34">
        <v>17.010000000000002</v>
      </c>
      <c r="O710" s="56">
        <v>96</v>
      </c>
      <c r="P710" s="56">
        <v>174</v>
      </c>
      <c r="Q710" s="6">
        <v>54</v>
      </c>
      <c r="R710" s="312">
        <v>51</v>
      </c>
      <c r="S710" s="312">
        <v>54</v>
      </c>
    </row>
    <row r="711" spans="1:31" s="10" customFormat="1">
      <c r="A711" s="10" t="s">
        <v>239</v>
      </c>
      <c r="B711" s="34">
        <v>15.410000000000002</v>
      </c>
      <c r="C711" s="56">
        <v>94</v>
      </c>
      <c r="D711" s="56">
        <v>246</v>
      </c>
      <c r="E711" s="6">
        <v>56</v>
      </c>
      <c r="F711" s="312">
        <v>144</v>
      </c>
      <c r="G711" s="312">
        <v>56</v>
      </c>
      <c r="N711" s="34">
        <v>17.210000000000004</v>
      </c>
      <c r="O711" s="56">
        <v>94</v>
      </c>
      <c r="P711" s="56">
        <v>176</v>
      </c>
      <c r="Q711" s="6">
        <v>56</v>
      </c>
      <c r="R711" s="312">
        <v>54</v>
      </c>
      <c r="S711" s="312">
        <v>56</v>
      </c>
    </row>
    <row r="712" spans="1:31" s="10" customFormat="1">
      <c r="B712" s="34">
        <v>15.610000000000003</v>
      </c>
      <c r="C712" s="56">
        <v>92</v>
      </c>
      <c r="D712" s="56">
        <v>248</v>
      </c>
      <c r="E712" s="6">
        <v>58</v>
      </c>
      <c r="F712" s="312">
        <v>147</v>
      </c>
      <c r="G712" s="312">
        <v>58</v>
      </c>
      <c r="N712" s="34">
        <v>17.410000000000007</v>
      </c>
      <c r="O712" s="56">
        <v>92</v>
      </c>
      <c r="P712" s="56">
        <v>178</v>
      </c>
      <c r="Q712" s="6">
        <v>58</v>
      </c>
      <c r="R712" s="312">
        <v>57</v>
      </c>
      <c r="S712" s="312">
        <v>58</v>
      </c>
    </row>
    <row r="713" spans="1:31" s="10" customFormat="1">
      <c r="A713" s="10" t="s">
        <v>523</v>
      </c>
      <c r="B713" s="34">
        <v>15.810000000000004</v>
      </c>
      <c r="C713" s="56">
        <v>90</v>
      </c>
      <c r="D713" s="56">
        <v>250</v>
      </c>
      <c r="E713" s="6">
        <v>60</v>
      </c>
      <c r="F713" s="312">
        <v>150</v>
      </c>
      <c r="G713" s="312">
        <v>60</v>
      </c>
      <c r="N713" s="34">
        <v>17.61000000000001</v>
      </c>
      <c r="O713" s="56">
        <v>90</v>
      </c>
      <c r="P713" s="56">
        <v>180</v>
      </c>
      <c r="Q713" s="6">
        <v>60</v>
      </c>
      <c r="R713" s="312">
        <v>60</v>
      </c>
      <c r="S713" s="312">
        <v>60</v>
      </c>
    </row>
    <row r="714" spans="1:31" s="10" customFormat="1">
      <c r="A714" s="10" t="s">
        <v>353</v>
      </c>
      <c r="B714" s="34">
        <v>16.010000000000005</v>
      </c>
      <c r="C714" s="56">
        <v>88</v>
      </c>
      <c r="D714" s="56">
        <v>252</v>
      </c>
      <c r="E714" s="6">
        <v>62</v>
      </c>
      <c r="F714" s="312">
        <v>153</v>
      </c>
      <c r="G714" s="312">
        <v>62</v>
      </c>
      <c r="N714" s="34">
        <v>17.810000000000013</v>
      </c>
      <c r="O714" s="56">
        <v>88</v>
      </c>
      <c r="P714" s="56">
        <v>182</v>
      </c>
      <c r="Q714" s="6">
        <v>62</v>
      </c>
      <c r="R714" s="312">
        <v>63</v>
      </c>
      <c r="S714" s="312">
        <v>62</v>
      </c>
    </row>
    <row r="715" spans="1:31" s="10" customFormat="1">
      <c r="B715" s="34">
        <v>16.210000000000008</v>
      </c>
      <c r="C715" s="56">
        <v>86</v>
      </c>
      <c r="D715" s="56">
        <v>254</v>
      </c>
      <c r="E715" s="6">
        <v>64</v>
      </c>
      <c r="F715" s="312">
        <v>156</v>
      </c>
      <c r="G715" s="312">
        <v>64</v>
      </c>
      <c r="N715" s="34">
        <v>18.010000000000016</v>
      </c>
      <c r="O715" s="56">
        <v>86</v>
      </c>
      <c r="P715" s="56">
        <v>184</v>
      </c>
      <c r="Q715" s="6">
        <v>64</v>
      </c>
      <c r="R715" s="312">
        <v>66</v>
      </c>
      <c r="S715" s="312">
        <v>64</v>
      </c>
    </row>
    <row r="716" spans="1:31" s="10" customFormat="1">
      <c r="A716" s="104" t="s">
        <v>217</v>
      </c>
      <c r="B716" s="34">
        <v>16.410000000000007</v>
      </c>
      <c r="C716" s="56">
        <v>84</v>
      </c>
      <c r="D716" s="56">
        <v>256</v>
      </c>
      <c r="E716" s="6">
        <v>66</v>
      </c>
      <c r="F716" s="312">
        <v>159</v>
      </c>
      <c r="G716" s="312">
        <v>66</v>
      </c>
      <c r="N716" s="34">
        <v>18.210000000000019</v>
      </c>
      <c r="O716" s="56">
        <v>84</v>
      </c>
      <c r="P716" s="56">
        <v>186</v>
      </c>
      <c r="Q716" s="6">
        <v>66</v>
      </c>
      <c r="R716" s="312">
        <v>69</v>
      </c>
      <c r="S716" s="312">
        <v>66</v>
      </c>
    </row>
    <row r="717" spans="1:31" s="10" customFormat="1">
      <c r="A717" s="104" t="s">
        <v>216</v>
      </c>
      <c r="B717" s="34">
        <v>16.610000000000007</v>
      </c>
      <c r="C717" s="56">
        <v>82</v>
      </c>
      <c r="D717" s="56">
        <v>258</v>
      </c>
      <c r="E717" s="6">
        <v>68</v>
      </c>
      <c r="F717" s="312">
        <v>162</v>
      </c>
      <c r="G717" s="312">
        <v>68</v>
      </c>
      <c r="N717" s="34">
        <v>18.410000000000021</v>
      </c>
      <c r="O717" s="56">
        <v>80</v>
      </c>
      <c r="P717" s="56">
        <v>188</v>
      </c>
      <c r="Q717" s="6">
        <v>68</v>
      </c>
      <c r="R717" s="312">
        <v>72</v>
      </c>
      <c r="S717" s="312">
        <v>68</v>
      </c>
    </row>
    <row r="718" spans="1:31" s="10" customFormat="1">
      <c r="B718" s="34">
        <v>16.810000000000009</v>
      </c>
      <c r="C718" s="56">
        <v>80</v>
      </c>
      <c r="D718" s="56">
        <v>260</v>
      </c>
      <c r="E718" s="6">
        <v>70</v>
      </c>
      <c r="F718" s="312">
        <v>165</v>
      </c>
      <c r="G718" s="312">
        <v>70</v>
      </c>
      <c r="N718" s="34">
        <v>18.610000000000024</v>
      </c>
      <c r="O718" s="56">
        <v>76</v>
      </c>
      <c r="P718" s="56">
        <v>190</v>
      </c>
      <c r="Q718" s="6">
        <v>70</v>
      </c>
      <c r="R718" s="312">
        <v>75</v>
      </c>
      <c r="S718" s="312">
        <v>70</v>
      </c>
    </row>
    <row r="719" spans="1:31" s="10" customFormat="1">
      <c r="B719" s="34">
        <v>17.010000000000012</v>
      </c>
      <c r="C719" s="56">
        <v>78</v>
      </c>
      <c r="D719" s="56">
        <v>262</v>
      </c>
      <c r="E719" s="6">
        <v>72</v>
      </c>
      <c r="F719" s="312">
        <v>168</v>
      </c>
      <c r="G719" s="312">
        <v>72</v>
      </c>
      <c r="N719" s="34">
        <v>18.810000000000027</v>
      </c>
      <c r="O719" s="56">
        <v>73</v>
      </c>
      <c r="P719" s="56">
        <v>192</v>
      </c>
      <c r="Q719" s="6">
        <v>72</v>
      </c>
      <c r="R719" s="312">
        <v>78</v>
      </c>
      <c r="S719" s="312">
        <v>72</v>
      </c>
    </row>
    <row r="720" spans="1:31" s="10" customFormat="1">
      <c r="B720" s="34">
        <v>17.210000000000012</v>
      </c>
      <c r="C720" s="56">
        <v>74</v>
      </c>
      <c r="D720" s="56">
        <v>264</v>
      </c>
      <c r="E720" s="6">
        <v>74</v>
      </c>
      <c r="F720" s="312">
        <v>171</v>
      </c>
      <c r="G720" s="312">
        <v>74</v>
      </c>
      <c r="N720" s="34">
        <v>19.01000000000003</v>
      </c>
      <c r="O720" s="56">
        <v>71</v>
      </c>
      <c r="P720" s="56">
        <v>194</v>
      </c>
      <c r="Q720" s="6">
        <v>74</v>
      </c>
      <c r="R720" s="312">
        <v>81</v>
      </c>
      <c r="S720" s="312">
        <v>74</v>
      </c>
    </row>
    <row r="721" spans="2:19" s="10" customFormat="1">
      <c r="B721" s="34">
        <v>17.410000000000011</v>
      </c>
      <c r="C721" s="56">
        <v>72</v>
      </c>
      <c r="D721" s="56">
        <v>266</v>
      </c>
      <c r="E721" s="6">
        <v>76</v>
      </c>
      <c r="F721" s="312">
        <v>174</v>
      </c>
      <c r="G721" s="312">
        <v>76</v>
      </c>
      <c r="N721" s="34">
        <v>19.210000000000033</v>
      </c>
      <c r="O721" s="56">
        <v>69</v>
      </c>
      <c r="P721" s="56">
        <v>196</v>
      </c>
      <c r="Q721" s="6">
        <v>76</v>
      </c>
      <c r="R721" s="312">
        <v>84</v>
      </c>
      <c r="S721" s="312">
        <v>76</v>
      </c>
    </row>
    <row r="722" spans="2:19" s="10" customFormat="1">
      <c r="B722" s="34">
        <v>17.610000000000014</v>
      </c>
      <c r="C722" s="56">
        <v>70</v>
      </c>
      <c r="D722" s="56">
        <v>268</v>
      </c>
      <c r="E722" s="6">
        <v>78</v>
      </c>
      <c r="F722" s="312">
        <v>177</v>
      </c>
      <c r="G722" s="312">
        <v>78</v>
      </c>
      <c r="N722" s="34">
        <v>19.410000000000036</v>
      </c>
      <c r="O722" s="56">
        <v>67</v>
      </c>
      <c r="P722" s="56">
        <v>198</v>
      </c>
      <c r="Q722" s="6">
        <v>78</v>
      </c>
      <c r="R722" s="312">
        <v>87</v>
      </c>
      <c r="S722" s="312">
        <v>78</v>
      </c>
    </row>
    <row r="723" spans="2:19" s="10" customFormat="1">
      <c r="B723" s="34">
        <v>17.810000000000016</v>
      </c>
      <c r="C723" s="56">
        <v>68</v>
      </c>
      <c r="D723" s="56">
        <v>270</v>
      </c>
      <c r="E723" s="6">
        <v>80</v>
      </c>
      <c r="F723" s="312">
        <v>180</v>
      </c>
      <c r="G723" s="312">
        <v>80</v>
      </c>
      <c r="N723" s="34">
        <v>19.610000000000039</v>
      </c>
      <c r="O723" s="56">
        <v>65</v>
      </c>
      <c r="P723" s="56">
        <v>200</v>
      </c>
      <c r="Q723" s="6">
        <v>80</v>
      </c>
      <c r="R723" s="312">
        <v>90</v>
      </c>
      <c r="S723" s="312">
        <v>80</v>
      </c>
    </row>
    <row r="724" spans="2:19" s="10" customFormat="1">
      <c r="B724" s="34">
        <v>18.010000000000016</v>
      </c>
      <c r="C724" s="56">
        <v>66</v>
      </c>
      <c r="D724" s="56">
        <v>272</v>
      </c>
      <c r="E724" s="6">
        <v>82</v>
      </c>
      <c r="F724" s="312">
        <v>183</v>
      </c>
      <c r="G724" s="312">
        <v>82</v>
      </c>
      <c r="N724" s="34">
        <v>19.810000000000041</v>
      </c>
      <c r="O724" s="56">
        <v>63</v>
      </c>
      <c r="P724" s="56">
        <v>202</v>
      </c>
      <c r="Q724" s="6">
        <v>82</v>
      </c>
      <c r="R724" s="312">
        <v>93</v>
      </c>
      <c r="S724" s="312">
        <v>82</v>
      </c>
    </row>
    <row r="725" spans="2:19" s="10" customFormat="1">
      <c r="B725" s="34">
        <v>18.210000000000015</v>
      </c>
      <c r="C725" s="56">
        <v>64</v>
      </c>
      <c r="D725" s="56">
        <v>274</v>
      </c>
      <c r="E725" s="6">
        <v>84</v>
      </c>
      <c r="F725" s="312">
        <v>186</v>
      </c>
      <c r="G725" s="312">
        <v>84</v>
      </c>
      <c r="N725" s="34">
        <v>20.010000000000044</v>
      </c>
      <c r="O725" s="56">
        <v>62</v>
      </c>
      <c r="P725" s="56">
        <v>204</v>
      </c>
      <c r="Q725" s="6">
        <v>84</v>
      </c>
      <c r="R725" s="312">
        <v>96</v>
      </c>
      <c r="S725" s="312">
        <v>84</v>
      </c>
    </row>
    <row r="726" spans="2:19" s="10" customFormat="1">
      <c r="B726" s="34">
        <v>18.410000000000018</v>
      </c>
      <c r="C726" s="56">
        <v>62</v>
      </c>
      <c r="D726" s="56">
        <v>276</v>
      </c>
      <c r="E726" s="6">
        <v>86</v>
      </c>
      <c r="F726" s="312">
        <v>189</v>
      </c>
      <c r="G726" s="312">
        <v>86</v>
      </c>
      <c r="N726" s="34">
        <v>20.210000000000047</v>
      </c>
      <c r="O726" s="56">
        <v>61</v>
      </c>
      <c r="P726" s="56">
        <v>206</v>
      </c>
      <c r="Q726" s="6">
        <v>86</v>
      </c>
      <c r="R726" s="312">
        <v>99</v>
      </c>
      <c r="S726" s="312">
        <v>86</v>
      </c>
    </row>
    <row r="727" spans="2:19" s="10" customFormat="1">
      <c r="B727" s="34">
        <v>18.610000000000021</v>
      </c>
      <c r="C727" s="56">
        <v>60</v>
      </c>
      <c r="D727" s="56">
        <v>278</v>
      </c>
      <c r="E727" s="6">
        <v>88</v>
      </c>
      <c r="F727" s="312">
        <v>192</v>
      </c>
      <c r="G727" s="312">
        <v>88</v>
      </c>
      <c r="N727" s="34">
        <v>20.41000000000005</v>
      </c>
      <c r="O727" s="56">
        <v>60</v>
      </c>
      <c r="P727" s="56">
        <v>208</v>
      </c>
      <c r="Q727" s="6">
        <v>88</v>
      </c>
      <c r="R727" s="312">
        <v>102</v>
      </c>
      <c r="S727" s="312">
        <v>88</v>
      </c>
    </row>
    <row r="728" spans="2:19" s="10" customFormat="1">
      <c r="B728" s="34">
        <v>18.810000000000024</v>
      </c>
      <c r="C728" s="56">
        <v>59</v>
      </c>
      <c r="D728" s="56">
        <v>280</v>
      </c>
      <c r="E728" s="6">
        <v>90</v>
      </c>
      <c r="F728" s="312">
        <v>195</v>
      </c>
      <c r="G728" s="312">
        <v>90</v>
      </c>
      <c r="N728" s="34">
        <v>20.610000000000053</v>
      </c>
      <c r="O728" s="56">
        <v>59</v>
      </c>
      <c r="P728" s="56">
        <v>210</v>
      </c>
      <c r="Q728" s="6">
        <v>90</v>
      </c>
      <c r="R728" s="312">
        <v>105</v>
      </c>
      <c r="S728" s="312">
        <v>90</v>
      </c>
    </row>
    <row r="729" spans="2:19" s="10" customFormat="1">
      <c r="B729" s="34">
        <v>19.010000000000026</v>
      </c>
      <c r="C729" s="56">
        <v>58</v>
      </c>
      <c r="D729" s="56">
        <v>282</v>
      </c>
      <c r="E729" s="6">
        <v>92</v>
      </c>
      <c r="F729" s="312">
        <v>198</v>
      </c>
      <c r="G729" s="312">
        <v>92</v>
      </c>
      <c r="N729" s="34">
        <v>20.810000000000056</v>
      </c>
      <c r="O729" s="56">
        <v>58</v>
      </c>
      <c r="P729" s="56">
        <v>212</v>
      </c>
      <c r="Q729" s="6">
        <v>92</v>
      </c>
      <c r="R729" s="312">
        <v>108</v>
      </c>
      <c r="S729" s="312">
        <v>92</v>
      </c>
    </row>
    <row r="730" spans="2:19" s="10" customFormat="1">
      <c r="B730" s="34">
        <v>19.210000000000029</v>
      </c>
      <c r="C730" s="56">
        <v>57</v>
      </c>
      <c r="D730" s="56">
        <v>284</v>
      </c>
      <c r="E730" s="6">
        <v>94</v>
      </c>
      <c r="F730" s="312">
        <v>201</v>
      </c>
      <c r="G730" s="312">
        <v>94</v>
      </c>
      <c r="N730" s="34">
        <v>21.010000000000058</v>
      </c>
      <c r="O730" s="56">
        <v>57</v>
      </c>
      <c r="P730" s="56">
        <v>214</v>
      </c>
      <c r="Q730" s="6">
        <v>94</v>
      </c>
      <c r="R730" s="312">
        <v>111</v>
      </c>
      <c r="S730" s="312">
        <v>94</v>
      </c>
    </row>
    <row r="731" spans="2:19" s="10" customFormat="1">
      <c r="B731" s="34">
        <v>19.410000000000032</v>
      </c>
      <c r="C731" s="56">
        <v>56</v>
      </c>
      <c r="D731" s="56">
        <v>286</v>
      </c>
      <c r="E731" s="6">
        <v>96</v>
      </c>
      <c r="F731" s="312">
        <v>204</v>
      </c>
      <c r="G731" s="312">
        <v>96</v>
      </c>
      <c r="N731" s="34">
        <v>21.210000000000061</v>
      </c>
      <c r="O731" s="56">
        <v>56</v>
      </c>
      <c r="P731" s="56">
        <v>216</v>
      </c>
      <c r="Q731" s="6">
        <v>96</v>
      </c>
      <c r="R731" s="312">
        <v>114</v>
      </c>
      <c r="S731" s="312">
        <v>96</v>
      </c>
    </row>
    <row r="732" spans="2:19" s="10" customFormat="1">
      <c r="B732" s="34">
        <v>19.610000000000035</v>
      </c>
      <c r="C732" s="56">
        <v>54</v>
      </c>
      <c r="D732" s="56">
        <v>288</v>
      </c>
      <c r="E732" s="6">
        <v>98</v>
      </c>
      <c r="F732" s="312">
        <v>207</v>
      </c>
      <c r="G732" s="312">
        <v>98</v>
      </c>
      <c r="N732" s="34">
        <v>21.410000000000064</v>
      </c>
      <c r="O732" s="56">
        <v>54</v>
      </c>
      <c r="P732" s="56">
        <v>218</v>
      </c>
      <c r="Q732" s="6">
        <v>98</v>
      </c>
      <c r="R732" s="312">
        <v>117</v>
      </c>
      <c r="S732" s="312">
        <v>98</v>
      </c>
    </row>
    <row r="733" spans="2:19" s="10" customFormat="1">
      <c r="B733" s="34">
        <v>19.810000000000038</v>
      </c>
      <c r="C733" s="56">
        <v>52</v>
      </c>
      <c r="D733" s="56">
        <v>290</v>
      </c>
      <c r="E733" s="6">
        <v>100</v>
      </c>
      <c r="F733" s="312">
        <v>210</v>
      </c>
      <c r="G733" s="312">
        <v>100</v>
      </c>
      <c r="N733" s="34">
        <v>21.610000000000067</v>
      </c>
      <c r="O733" s="56">
        <v>52</v>
      </c>
      <c r="P733" s="56">
        <v>220</v>
      </c>
      <c r="Q733" s="6">
        <v>100</v>
      </c>
      <c r="R733" s="312">
        <v>120</v>
      </c>
      <c r="S733" s="312">
        <v>100</v>
      </c>
    </row>
    <row r="734" spans="2:19" s="10" customFormat="1">
      <c r="B734" s="34">
        <v>20.010000000000041</v>
      </c>
      <c r="C734" s="56">
        <v>50</v>
      </c>
      <c r="N734" s="34">
        <v>21.81000000000007</v>
      </c>
      <c r="O734" s="56">
        <v>50</v>
      </c>
    </row>
    <row r="735" spans="2:19" s="10" customFormat="1">
      <c r="B735" s="34"/>
      <c r="C735" s="56"/>
      <c r="N735" s="34"/>
      <c r="O735" s="56"/>
    </row>
    <row r="736" spans="2:19" s="10" customFormat="1">
      <c r="B736" s="34"/>
      <c r="C736" s="56"/>
      <c r="N736" s="34"/>
      <c r="O736" s="56"/>
    </row>
    <row r="737" spans="1:31" s="10" customFormat="1">
      <c r="B737" s="34"/>
      <c r="C737" s="56"/>
      <c r="N737" s="34"/>
      <c r="O737" s="56"/>
    </row>
    <row r="738" spans="1:31" s="10" customFormat="1">
      <c r="B738" s="34"/>
      <c r="C738" s="56"/>
      <c r="N738" s="34"/>
      <c r="O738" s="56"/>
    </row>
    <row r="739" spans="1:31" s="10" customFormat="1">
      <c r="B739" s="34"/>
      <c r="C739" s="56"/>
      <c r="N739" s="34"/>
      <c r="O739" s="56"/>
    </row>
    <row r="740" spans="1:31" s="10" customFormat="1">
      <c r="B740" s="34"/>
      <c r="C740" s="56"/>
      <c r="N740" s="34"/>
      <c r="O740" s="56"/>
    </row>
    <row r="741" spans="1:31" s="10" customFormat="1">
      <c r="B741" s="34"/>
      <c r="C741" s="56"/>
      <c r="N741" s="34"/>
      <c r="O741" s="56"/>
    </row>
    <row r="742" spans="1:31" s="10" customFormat="1">
      <c r="B742" s="34"/>
      <c r="C742" s="56"/>
      <c r="N742" s="34"/>
      <c r="O742" s="56"/>
    </row>
    <row r="743" spans="1:31" s="133" customFormat="1">
      <c r="A743" s="14"/>
      <c r="B743" s="34"/>
      <c r="C743" s="35"/>
      <c r="D743" s="14"/>
      <c r="E743" s="14"/>
      <c r="F743" s="14"/>
      <c r="G743" s="14"/>
      <c r="H743" s="14" t="s">
        <v>445</v>
      </c>
      <c r="I743" s="14"/>
      <c r="J743" s="14"/>
      <c r="K743" s="14"/>
      <c r="L743" s="14" t="s">
        <v>445</v>
      </c>
      <c r="M743" s="14"/>
      <c r="N743" s="34"/>
      <c r="O743" s="35"/>
      <c r="P743" s="14"/>
      <c r="Q743" s="14"/>
      <c r="R743" s="14"/>
      <c r="S743" s="14"/>
      <c r="T743" s="14" t="s">
        <v>445</v>
      </c>
      <c r="U743" s="14"/>
      <c r="V743" s="14"/>
      <c r="W743" s="14"/>
      <c r="X743" s="14"/>
      <c r="AC743" s="14"/>
      <c r="AE743" s="14"/>
    </row>
    <row r="744" spans="1:31" s="133" customFormat="1">
      <c r="A744" s="14" t="s">
        <v>462</v>
      </c>
      <c r="B744" s="14" t="s">
        <v>457</v>
      </c>
      <c r="C744" s="14" t="s">
        <v>471</v>
      </c>
      <c r="D744" s="14" t="s">
        <v>448</v>
      </c>
      <c r="E744" s="14" t="s">
        <v>471</v>
      </c>
      <c r="F744" s="14" t="s">
        <v>446</v>
      </c>
      <c r="G744" s="14" t="s">
        <v>471</v>
      </c>
      <c r="H744" s="129" t="s">
        <v>448</v>
      </c>
      <c r="I744" s="133" t="s">
        <v>471</v>
      </c>
      <c r="J744" s="182" t="s">
        <v>457</v>
      </c>
      <c r="K744" s="133" t="s">
        <v>471</v>
      </c>
      <c r="L744" s="182" t="s">
        <v>457</v>
      </c>
      <c r="M744" s="133" t="s">
        <v>471</v>
      </c>
      <c r="N744" s="14" t="s">
        <v>457</v>
      </c>
      <c r="O744" s="14" t="s">
        <v>471</v>
      </c>
      <c r="P744" s="14" t="s">
        <v>448</v>
      </c>
      <c r="Q744" s="14" t="s">
        <v>471</v>
      </c>
      <c r="R744" s="14" t="s">
        <v>446</v>
      </c>
      <c r="S744" s="14" t="s">
        <v>471</v>
      </c>
      <c r="T744" s="133" t="s">
        <v>448</v>
      </c>
      <c r="U744" s="133" t="s">
        <v>516</v>
      </c>
      <c r="AC744" s="14"/>
      <c r="AE744" s="14"/>
    </row>
    <row r="745" spans="1:31" s="133" customFormat="1">
      <c r="A745" s="74" t="s">
        <v>265</v>
      </c>
      <c r="B745" s="56">
        <v>0</v>
      </c>
      <c r="C745" s="56">
        <v>175</v>
      </c>
      <c r="D745" s="14">
        <v>0</v>
      </c>
      <c r="E745" s="56">
        <v>0</v>
      </c>
      <c r="F745" s="14">
        <v>0</v>
      </c>
      <c r="G745" s="56">
        <v>15</v>
      </c>
      <c r="H745" s="73">
        <v>100</v>
      </c>
      <c r="J745" s="187">
        <v>0</v>
      </c>
      <c r="K745" s="56">
        <v>150</v>
      </c>
      <c r="L745" s="187">
        <v>0</v>
      </c>
      <c r="M745" s="56">
        <v>150</v>
      </c>
      <c r="N745" s="56">
        <v>0</v>
      </c>
      <c r="O745" s="56">
        <v>175</v>
      </c>
      <c r="P745" s="292">
        <v>0</v>
      </c>
      <c r="Q745" s="56">
        <v>0</v>
      </c>
      <c r="R745" s="14">
        <v>0</v>
      </c>
      <c r="S745" s="56">
        <v>15</v>
      </c>
      <c r="AC745" s="14"/>
      <c r="AE745" s="14"/>
    </row>
    <row r="746" spans="1:31" s="133" customFormat="1">
      <c r="A746" s="74" t="s">
        <v>192</v>
      </c>
      <c r="B746" s="35">
        <v>19.399999999999999</v>
      </c>
      <c r="C746" s="56">
        <v>165</v>
      </c>
      <c r="D746" s="56">
        <v>250</v>
      </c>
      <c r="E746" s="56">
        <v>75</v>
      </c>
      <c r="F746" s="14">
        <v>45</v>
      </c>
      <c r="G746" s="56">
        <v>18</v>
      </c>
      <c r="H746" s="73">
        <v>97</v>
      </c>
      <c r="J746" s="188">
        <v>19.899999999999999</v>
      </c>
      <c r="K746" s="56">
        <v>145</v>
      </c>
      <c r="L746" s="188">
        <v>22.1</v>
      </c>
      <c r="M746" s="56">
        <v>145</v>
      </c>
      <c r="N746" s="35">
        <v>21.6</v>
      </c>
      <c r="O746" s="56">
        <v>165</v>
      </c>
      <c r="P746" s="56">
        <v>200</v>
      </c>
      <c r="Q746" s="56">
        <v>75</v>
      </c>
      <c r="R746" s="14">
        <v>30</v>
      </c>
      <c r="S746" s="56">
        <v>18</v>
      </c>
      <c r="AC746" s="14"/>
      <c r="AE746" s="14"/>
    </row>
    <row r="747" spans="1:31" s="133" customFormat="1">
      <c r="A747" s="74" t="s">
        <v>269</v>
      </c>
      <c r="B747" s="35">
        <v>19.899999999999999</v>
      </c>
      <c r="C747" s="56">
        <v>155</v>
      </c>
      <c r="D747" s="56">
        <v>255</v>
      </c>
      <c r="E747" s="56">
        <v>85</v>
      </c>
      <c r="F747" s="14">
        <v>47</v>
      </c>
      <c r="G747" s="56">
        <v>21</v>
      </c>
      <c r="H747" s="73">
        <v>94</v>
      </c>
      <c r="J747" s="188">
        <v>20.3</v>
      </c>
      <c r="K747" s="56">
        <v>140</v>
      </c>
      <c r="L747" s="188">
        <v>22.5</v>
      </c>
      <c r="M747" s="56">
        <v>140</v>
      </c>
      <c r="N747" s="35">
        <v>22.1</v>
      </c>
      <c r="O747" s="56">
        <v>155</v>
      </c>
      <c r="P747" s="56">
        <v>205</v>
      </c>
      <c r="Q747" s="56">
        <v>85</v>
      </c>
      <c r="R747" s="14">
        <v>32</v>
      </c>
      <c r="S747" s="56">
        <v>21</v>
      </c>
      <c r="AC747" s="14"/>
      <c r="AE747" s="14"/>
    </row>
    <row r="748" spans="1:31" s="133" customFormat="1">
      <c r="A748" s="74" t="s">
        <v>308</v>
      </c>
      <c r="B748" s="35">
        <v>20.399999999999999</v>
      </c>
      <c r="C748" s="56">
        <v>145</v>
      </c>
      <c r="D748" s="56">
        <v>260</v>
      </c>
      <c r="E748" s="56">
        <v>95</v>
      </c>
      <c r="F748" s="14">
        <v>49</v>
      </c>
      <c r="G748" s="56">
        <v>24</v>
      </c>
      <c r="H748" s="73">
        <v>91</v>
      </c>
      <c r="J748" s="188">
        <v>20.7</v>
      </c>
      <c r="K748" s="56">
        <v>135</v>
      </c>
      <c r="L748" s="188">
        <v>22.9</v>
      </c>
      <c r="M748" s="56">
        <v>135</v>
      </c>
      <c r="N748" s="35">
        <v>22.6</v>
      </c>
      <c r="O748" s="56">
        <v>145</v>
      </c>
      <c r="P748" s="56">
        <v>210</v>
      </c>
      <c r="Q748" s="56">
        <v>95</v>
      </c>
      <c r="R748" s="14">
        <v>34</v>
      </c>
      <c r="S748" s="56">
        <v>24</v>
      </c>
      <c r="AC748" s="14"/>
      <c r="AE748" s="14"/>
    </row>
    <row r="749" spans="1:31" s="133" customFormat="1">
      <c r="A749" s="28"/>
      <c r="B749" s="35">
        <v>20.9</v>
      </c>
      <c r="C749" s="56">
        <v>135</v>
      </c>
      <c r="D749" s="56">
        <v>265</v>
      </c>
      <c r="E749" s="56">
        <v>105</v>
      </c>
      <c r="F749" s="14">
        <v>51</v>
      </c>
      <c r="G749" s="56">
        <v>27</v>
      </c>
      <c r="H749" s="73">
        <v>88</v>
      </c>
      <c r="J749" s="188">
        <v>21.099999999999984</v>
      </c>
      <c r="K749" s="56">
        <v>130</v>
      </c>
      <c r="L749" s="188">
        <v>23.299999999999997</v>
      </c>
      <c r="M749" s="56">
        <v>130</v>
      </c>
      <c r="N749" s="35">
        <v>23.1</v>
      </c>
      <c r="O749" s="56">
        <v>135</v>
      </c>
      <c r="P749" s="56">
        <v>215</v>
      </c>
      <c r="Q749" s="56">
        <v>105</v>
      </c>
      <c r="R749" s="14">
        <v>36</v>
      </c>
      <c r="S749" s="56">
        <v>27</v>
      </c>
      <c r="AC749" s="14"/>
      <c r="AE749" s="14"/>
    </row>
    <row r="750" spans="1:31" s="133" customFormat="1">
      <c r="A750" s="98"/>
      <c r="B750" s="35">
        <v>21.4</v>
      </c>
      <c r="C750" s="56">
        <v>125</v>
      </c>
      <c r="D750" s="56">
        <v>270</v>
      </c>
      <c r="E750" s="56">
        <v>115</v>
      </c>
      <c r="F750" s="14">
        <v>53</v>
      </c>
      <c r="G750" s="56">
        <v>30</v>
      </c>
      <c r="H750" s="73">
        <v>85</v>
      </c>
      <c r="J750" s="188">
        <v>21.499999999999975</v>
      </c>
      <c r="K750" s="56">
        <v>125</v>
      </c>
      <c r="L750" s="188">
        <v>23.699999999999996</v>
      </c>
      <c r="M750" s="56">
        <v>125</v>
      </c>
      <c r="N750" s="35">
        <v>23.6</v>
      </c>
      <c r="O750" s="56">
        <v>125</v>
      </c>
      <c r="P750" s="56">
        <v>220</v>
      </c>
      <c r="Q750" s="56">
        <v>115</v>
      </c>
      <c r="R750" s="14">
        <v>38</v>
      </c>
      <c r="S750" s="56">
        <v>30</v>
      </c>
      <c r="AC750" s="14"/>
      <c r="AE750" s="14"/>
    </row>
    <row r="751" spans="1:31" s="133" customFormat="1">
      <c r="A751" s="98"/>
      <c r="B751" s="35">
        <v>21.9</v>
      </c>
      <c r="C751" s="56">
        <v>115</v>
      </c>
      <c r="D751" s="56">
        <v>275</v>
      </c>
      <c r="E751" s="56">
        <v>125</v>
      </c>
      <c r="F751" s="14">
        <v>55</v>
      </c>
      <c r="G751" s="56">
        <v>33</v>
      </c>
      <c r="H751" s="73">
        <v>82</v>
      </c>
      <c r="J751" s="188">
        <v>21.899999999999967</v>
      </c>
      <c r="K751" s="56">
        <v>120</v>
      </c>
      <c r="L751" s="188">
        <v>24.099999999999994</v>
      </c>
      <c r="M751" s="56">
        <v>120</v>
      </c>
      <c r="N751" s="35">
        <v>24.1</v>
      </c>
      <c r="O751" s="56">
        <v>115</v>
      </c>
      <c r="P751" s="56">
        <v>225</v>
      </c>
      <c r="Q751" s="56">
        <v>125</v>
      </c>
      <c r="R751" s="14">
        <v>40</v>
      </c>
      <c r="S751" s="56">
        <v>33</v>
      </c>
      <c r="AC751" s="14"/>
      <c r="AE751" s="14"/>
    </row>
    <row r="752" spans="1:31" s="133" customFormat="1">
      <c r="A752" s="98"/>
      <c r="B752" s="35">
        <v>22.4</v>
      </c>
      <c r="C752" s="56">
        <v>105</v>
      </c>
      <c r="D752" s="56">
        <v>280</v>
      </c>
      <c r="E752" s="56">
        <v>135</v>
      </c>
      <c r="F752" s="14">
        <v>57</v>
      </c>
      <c r="G752" s="56">
        <v>36</v>
      </c>
      <c r="H752" s="73">
        <v>79</v>
      </c>
      <c r="J752" s="188">
        <v>22.299999999999958</v>
      </c>
      <c r="K752" s="56">
        <v>115</v>
      </c>
      <c r="L752" s="188">
        <v>24.499999999999993</v>
      </c>
      <c r="M752" s="56">
        <v>115</v>
      </c>
      <c r="N752" s="35">
        <v>24.6</v>
      </c>
      <c r="O752" s="56">
        <v>105</v>
      </c>
      <c r="P752" s="56">
        <v>230</v>
      </c>
      <c r="Q752" s="56">
        <v>135</v>
      </c>
      <c r="R752" s="14">
        <v>42</v>
      </c>
      <c r="S752" s="56">
        <v>36</v>
      </c>
      <c r="AC752" s="14"/>
      <c r="AE752" s="14"/>
    </row>
    <row r="753" spans="1:31" s="133" customFormat="1">
      <c r="A753" s="28"/>
      <c r="B753" s="35">
        <v>22.9</v>
      </c>
      <c r="C753" s="56">
        <v>95</v>
      </c>
      <c r="D753" s="56">
        <v>285</v>
      </c>
      <c r="E753" s="56">
        <v>145</v>
      </c>
      <c r="F753" s="14">
        <v>59</v>
      </c>
      <c r="G753" s="56">
        <v>39</v>
      </c>
      <c r="H753" s="73">
        <v>76</v>
      </c>
      <c r="J753" s="188">
        <v>22.69999999999995</v>
      </c>
      <c r="K753" s="56">
        <v>110</v>
      </c>
      <c r="L753" s="188">
        <v>24.899999999999991</v>
      </c>
      <c r="M753" s="56">
        <v>110</v>
      </c>
      <c r="N753" s="35">
        <v>25.1</v>
      </c>
      <c r="O753" s="56">
        <v>95</v>
      </c>
      <c r="P753" s="56">
        <v>235</v>
      </c>
      <c r="Q753" s="56">
        <v>145</v>
      </c>
      <c r="R753" s="14">
        <v>44</v>
      </c>
      <c r="S753" s="56">
        <v>39</v>
      </c>
      <c r="AC753" s="14"/>
      <c r="AE753" s="14"/>
    </row>
    <row r="754" spans="1:31" s="133" customFormat="1">
      <c r="A754" s="183" t="s">
        <v>30</v>
      </c>
      <c r="B754" s="35">
        <v>23.4</v>
      </c>
      <c r="C754" s="56">
        <v>85</v>
      </c>
      <c r="D754" s="56">
        <v>290</v>
      </c>
      <c r="E754" s="56">
        <v>155</v>
      </c>
      <c r="F754" s="14">
        <v>61</v>
      </c>
      <c r="G754" s="56">
        <v>42</v>
      </c>
      <c r="H754" s="73">
        <v>196</v>
      </c>
      <c r="J754" s="188">
        <v>23.099999999999941</v>
      </c>
      <c r="K754" s="56">
        <v>105</v>
      </c>
      <c r="L754" s="188">
        <v>25.29999999999999</v>
      </c>
      <c r="M754" s="56">
        <v>105</v>
      </c>
      <c r="N754" s="35">
        <v>25.6</v>
      </c>
      <c r="O754" s="56">
        <v>85</v>
      </c>
      <c r="P754" s="56">
        <v>240</v>
      </c>
      <c r="Q754" s="56">
        <v>155</v>
      </c>
      <c r="R754" s="14">
        <v>46</v>
      </c>
      <c r="S754" s="56">
        <v>42</v>
      </c>
      <c r="AC754" s="14"/>
      <c r="AE754" s="14"/>
    </row>
    <row r="755" spans="1:31" s="133" customFormat="1">
      <c r="A755" s="183" t="s">
        <v>134</v>
      </c>
      <c r="B755" s="35">
        <v>23.9</v>
      </c>
      <c r="C755" s="56">
        <v>75</v>
      </c>
      <c r="D755" s="56">
        <v>295</v>
      </c>
      <c r="E755" s="56">
        <v>165</v>
      </c>
      <c r="F755" s="14">
        <v>63</v>
      </c>
      <c r="G755" s="56">
        <v>45</v>
      </c>
      <c r="H755" s="73">
        <v>204</v>
      </c>
      <c r="I755" s="73"/>
      <c r="J755" s="188">
        <v>23.499999999999932</v>
      </c>
      <c r="K755" s="56">
        <v>100</v>
      </c>
      <c r="L755" s="188">
        <v>25.699999999999989</v>
      </c>
      <c r="M755" s="56">
        <v>100</v>
      </c>
      <c r="N755" s="35">
        <v>26.1</v>
      </c>
      <c r="O755" s="56">
        <v>75</v>
      </c>
      <c r="P755" s="56">
        <v>245</v>
      </c>
      <c r="Q755" s="56">
        <v>165</v>
      </c>
      <c r="R755" s="14">
        <v>48</v>
      </c>
      <c r="S755" s="56">
        <v>45</v>
      </c>
      <c r="T755" s="14"/>
      <c r="U755" s="14"/>
      <c r="V755" s="14"/>
      <c r="W755" s="14"/>
      <c r="X755" s="14"/>
      <c r="AC755" s="14"/>
      <c r="AE755" s="14"/>
    </row>
    <row r="756" spans="1:31" s="133" customFormat="1">
      <c r="A756" s="183"/>
      <c r="B756" s="35">
        <v>24.4</v>
      </c>
      <c r="C756" s="56">
        <v>0</v>
      </c>
      <c r="D756" s="56">
        <v>300</v>
      </c>
      <c r="E756" s="56">
        <v>175</v>
      </c>
      <c r="F756" s="14">
        <v>65</v>
      </c>
      <c r="G756" s="56">
        <v>48</v>
      </c>
      <c r="H756" s="73">
        <v>212</v>
      </c>
      <c r="I756" s="73"/>
      <c r="J756" s="188">
        <v>23.899999999999924</v>
      </c>
      <c r="K756" s="56">
        <v>95</v>
      </c>
      <c r="L756" s="188">
        <v>26.099999999999987</v>
      </c>
      <c r="M756" s="56">
        <v>95</v>
      </c>
      <c r="N756" s="35">
        <v>26.6</v>
      </c>
      <c r="O756" s="56">
        <v>0</v>
      </c>
      <c r="P756" s="56">
        <v>250</v>
      </c>
      <c r="Q756" s="56">
        <v>175</v>
      </c>
      <c r="R756" s="14">
        <v>50</v>
      </c>
      <c r="S756" s="56">
        <v>48</v>
      </c>
      <c r="T756" s="14"/>
      <c r="U756" s="14"/>
      <c r="V756" s="14"/>
      <c r="W756" s="14"/>
      <c r="X756" s="14"/>
      <c r="AC756" s="14"/>
      <c r="AE756" s="14"/>
    </row>
    <row r="757" spans="1:31" s="133" customFormat="1">
      <c r="A757" s="183"/>
      <c r="B757" s="35"/>
      <c r="C757" s="56"/>
      <c r="D757" s="56"/>
      <c r="E757" s="56"/>
      <c r="F757" s="14">
        <v>67</v>
      </c>
      <c r="G757" s="56">
        <v>51</v>
      </c>
      <c r="H757" s="73">
        <v>220</v>
      </c>
      <c r="I757" s="73"/>
      <c r="J757" s="188">
        <v>24.299999999999915</v>
      </c>
      <c r="K757" s="56">
        <v>90</v>
      </c>
      <c r="L757" s="188">
        <v>26.499999999999986</v>
      </c>
      <c r="M757" s="56">
        <v>90</v>
      </c>
      <c r="N757" s="35"/>
      <c r="O757" s="56"/>
      <c r="P757" s="56"/>
      <c r="Q757" s="56"/>
      <c r="R757" s="14">
        <v>52</v>
      </c>
      <c r="S757" s="56">
        <v>51</v>
      </c>
      <c r="T757" s="14"/>
      <c r="U757" s="14"/>
      <c r="V757" s="14"/>
      <c r="W757" s="14"/>
      <c r="X757" s="14"/>
      <c r="AC757" s="14"/>
      <c r="AE757" s="14"/>
    </row>
    <row r="758" spans="1:31" s="133" customFormat="1">
      <c r="A758" s="28"/>
      <c r="B758" s="35"/>
      <c r="C758" s="56"/>
      <c r="D758" s="56"/>
      <c r="E758" s="56"/>
      <c r="F758" s="14">
        <v>69</v>
      </c>
      <c r="G758" s="56">
        <v>54</v>
      </c>
      <c r="H758" s="73">
        <v>228</v>
      </c>
      <c r="I758" s="73"/>
      <c r="J758" s="188">
        <v>24.699999999999907</v>
      </c>
      <c r="K758" s="56">
        <v>85</v>
      </c>
      <c r="L758" s="188">
        <v>26.899999999999984</v>
      </c>
      <c r="M758" s="56">
        <v>85</v>
      </c>
      <c r="N758" s="35"/>
      <c r="O758" s="56"/>
      <c r="P758" s="56"/>
      <c r="Q758" s="56"/>
      <c r="R758" s="14">
        <v>54</v>
      </c>
      <c r="S758" s="56">
        <v>54</v>
      </c>
      <c r="T758" s="14"/>
      <c r="U758" s="14"/>
      <c r="V758" s="14"/>
      <c r="W758" s="14"/>
      <c r="X758" s="14"/>
      <c r="AC758" s="14"/>
      <c r="AE758" s="14"/>
    </row>
    <row r="759" spans="1:31" s="133" customFormat="1">
      <c r="A759" s="28"/>
      <c r="B759" s="35"/>
      <c r="C759" s="56"/>
      <c r="D759" s="56"/>
      <c r="E759" s="56"/>
      <c r="F759" s="14">
        <v>71</v>
      </c>
      <c r="G759" s="56">
        <v>57</v>
      </c>
      <c r="H759" s="73">
        <v>236</v>
      </c>
      <c r="I759" s="73"/>
      <c r="J759" s="188">
        <v>25.099999999999898</v>
      </c>
      <c r="K759" s="56">
        <v>80</v>
      </c>
      <c r="L759" s="188">
        <v>27.299999999999983</v>
      </c>
      <c r="M759" s="56">
        <v>80</v>
      </c>
      <c r="N759" s="35"/>
      <c r="O759" s="56"/>
      <c r="P759" s="56"/>
      <c r="Q759" s="56"/>
      <c r="R759" s="14">
        <v>56</v>
      </c>
      <c r="S759" s="56">
        <v>57</v>
      </c>
      <c r="T759" s="14"/>
      <c r="U759" s="14"/>
      <c r="V759" s="14"/>
      <c r="W759" s="14"/>
      <c r="X759" s="14"/>
      <c r="AC759" s="14"/>
      <c r="AE759" s="14"/>
    </row>
    <row r="760" spans="1:31" s="133" customFormat="1">
      <c r="A760" s="28"/>
      <c r="B760" s="35"/>
      <c r="C760" s="56"/>
      <c r="D760" s="56"/>
      <c r="E760" s="56"/>
      <c r="F760" s="14">
        <v>73</v>
      </c>
      <c r="G760" s="56">
        <v>60</v>
      </c>
      <c r="H760" s="73">
        <v>244</v>
      </c>
      <c r="I760" s="73"/>
      <c r="J760" s="188">
        <v>25.49999999999989</v>
      </c>
      <c r="K760" s="56">
        <v>75</v>
      </c>
      <c r="L760" s="188">
        <v>27.699999999999982</v>
      </c>
      <c r="M760" s="56">
        <v>75</v>
      </c>
      <c r="N760" s="35"/>
      <c r="O760" s="56"/>
      <c r="P760" s="56"/>
      <c r="Q760" s="56"/>
      <c r="R760" s="14">
        <v>58</v>
      </c>
      <c r="S760" s="56">
        <v>60</v>
      </c>
      <c r="T760" s="14"/>
      <c r="U760" s="14"/>
      <c r="V760" s="14"/>
      <c r="W760" s="14"/>
      <c r="X760" s="14"/>
      <c r="AC760" s="14"/>
      <c r="AE760" s="14"/>
    </row>
    <row r="761" spans="1:31" s="133" customFormat="1">
      <c r="A761" s="28"/>
      <c r="B761" s="35"/>
      <c r="C761" s="56"/>
      <c r="D761" s="56"/>
      <c r="E761" s="56"/>
      <c r="F761" s="14">
        <v>75</v>
      </c>
      <c r="G761" s="56">
        <v>63</v>
      </c>
      <c r="H761" s="73">
        <v>252</v>
      </c>
      <c r="I761" s="73"/>
      <c r="J761" s="188">
        <v>25.899999999999881</v>
      </c>
      <c r="K761" s="56">
        <v>70</v>
      </c>
      <c r="L761" s="188">
        <v>28.09999999999998</v>
      </c>
      <c r="M761" s="56">
        <v>70</v>
      </c>
      <c r="N761" s="35"/>
      <c r="O761" s="56"/>
      <c r="P761" s="56"/>
      <c r="Q761" s="56"/>
      <c r="R761" s="14">
        <v>60</v>
      </c>
      <c r="S761" s="56">
        <v>63</v>
      </c>
      <c r="T761" s="14"/>
      <c r="U761" s="14"/>
      <c r="V761" s="14"/>
      <c r="W761" s="14"/>
      <c r="X761" s="14"/>
      <c r="AC761" s="14"/>
      <c r="AE761" s="14"/>
    </row>
    <row r="762" spans="1:31" s="133" customFormat="1">
      <c r="A762" s="28"/>
      <c r="B762" s="35"/>
      <c r="C762" s="56"/>
      <c r="D762" s="56"/>
      <c r="E762" s="56"/>
      <c r="F762" s="14">
        <v>77</v>
      </c>
      <c r="G762" s="56">
        <v>66</v>
      </c>
      <c r="H762" s="73">
        <v>260</v>
      </c>
      <c r="I762" s="73"/>
      <c r="J762" s="188">
        <v>26.299999999999873</v>
      </c>
      <c r="K762" s="56">
        <v>65</v>
      </c>
      <c r="L762" s="188">
        <v>28.499999999999979</v>
      </c>
      <c r="M762" s="56">
        <v>65</v>
      </c>
      <c r="N762" s="35"/>
      <c r="O762" s="56"/>
      <c r="P762" s="56"/>
      <c r="Q762" s="56"/>
      <c r="R762" s="14">
        <v>62</v>
      </c>
      <c r="S762" s="56">
        <v>66</v>
      </c>
      <c r="T762" s="14"/>
      <c r="U762" s="14"/>
      <c r="V762" s="14"/>
      <c r="W762" s="14"/>
      <c r="X762" s="14"/>
      <c r="AC762" s="14"/>
      <c r="AE762" s="14"/>
    </row>
    <row r="763" spans="1:31" s="133" customFormat="1">
      <c r="A763" s="28"/>
      <c r="B763" s="35"/>
      <c r="C763" s="56"/>
      <c r="D763" s="56"/>
      <c r="E763" s="56"/>
      <c r="F763" s="14">
        <v>79</v>
      </c>
      <c r="G763" s="56">
        <v>69</v>
      </c>
      <c r="H763" s="73">
        <v>268</v>
      </c>
      <c r="I763" s="73"/>
      <c r="J763" s="188">
        <v>26.699999999999864</v>
      </c>
      <c r="K763" s="56">
        <v>60</v>
      </c>
      <c r="L763" s="188">
        <v>28.899999999999977</v>
      </c>
      <c r="M763" s="56">
        <v>60</v>
      </c>
      <c r="N763" s="35"/>
      <c r="O763" s="56"/>
      <c r="P763" s="56"/>
      <c r="Q763" s="56"/>
      <c r="R763" s="14">
        <v>64</v>
      </c>
      <c r="S763" s="56">
        <v>69</v>
      </c>
      <c r="T763" s="14"/>
      <c r="U763" s="14"/>
      <c r="V763" s="14"/>
      <c r="W763" s="14"/>
      <c r="X763" s="14"/>
      <c r="AC763" s="14"/>
      <c r="AE763" s="14"/>
    </row>
    <row r="764" spans="1:31" s="133" customFormat="1">
      <c r="A764" s="28"/>
      <c r="B764" s="35"/>
      <c r="C764" s="56"/>
      <c r="D764" s="56"/>
      <c r="E764" s="56"/>
      <c r="F764" s="14">
        <v>81</v>
      </c>
      <c r="G764" s="56">
        <v>72</v>
      </c>
      <c r="H764" s="73">
        <v>276</v>
      </c>
      <c r="I764" s="73"/>
      <c r="J764" s="188">
        <v>27.099999999999856</v>
      </c>
      <c r="K764" s="56">
        <v>55</v>
      </c>
      <c r="L764" s="188">
        <v>29.299999999999976</v>
      </c>
      <c r="M764" s="56">
        <v>55</v>
      </c>
      <c r="N764" s="35"/>
      <c r="O764" s="56"/>
      <c r="P764" s="56"/>
      <c r="Q764" s="56"/>
      <c r="R764" s="14">
        <v>66</v>
      </c>
      <c r="S764" s="56">
        <v>72</v>
      </c>
      <c r="T764" s="14"/>
      <c r="U764" s="14"/>
      <c r="V764" s="14"/>
      <c r="W764" s="14"/>
      <c r="X764" s="14"/>
      <c r="AC764" s="14"/>
      <c r="AE764" s="14"/>
    </row>
    <row r="765" spans="1:31" s="133" customFormat="1">
      <c r="A765" s="28"/>
      <c r="B765" s="35"/>
      <c r="C765" s="56"/>
      <c r="D765" s="56"/>
      <c r="E765" s="56"/>
      <c r="F765" s="14">
        <v>83</v>
      </c>
      <c r="G765" s="56">
        <v>75</v>
      </c>
      <c r="H765" s="73">
        <v>284</v>
      </c>
      <c r="I765" s="73"/>
      <c r="J765" s="188">
        <v>27.499999999999847</v>
      </c>
      <c r="K765" s="56">
        <v>50</v>
      </c>
      <c r="L765" s="188">
        <v>29.699999999999974</v>
      </c>
      <c r="M765" s="56">
        <v>50</v>
      </c>
      <c r="N765" s="35"/>
      <c r="O765" s="56"/>
      <c r="P765" s="56"/>
      <c r="Q765" s="56"/>
      <c r="R765" s="14">
        <v>68</v>
      </c>
      <c r="S765" s="56">
        <v>75</v>
      </c>
      <c r="T765" s="14"/>
      <c r="U765" s="14"/>
      <c r="V765" s="14"/>
      <c r="W765" s="14"/>
      <c r="X765" s="14"/>
      <c r="AC765" s="14"/>
      <c r="AE765" s="14"/>
    </row>
    <row r="766" spans="1:31">
      <c r="H766" s="22"/>
      <c r="I766" s="22"/>
      <c r="J766" s="22"/>
      <c r="K766" s="22"/>
    </row>
    <row r="768" spans="1:31">
      <c r="A768" s="236" t="s">
        <v>33</v>
      </c>
      <c r="B768" s="130" t="s">
        <v>476</v>
      </c>
      <c r="C768" s="31" t="s">
        <v>448</v>
      </c>
      <c r="D768" s="31" t="s">
        <v>471</v>
      </c>
      <c r="E768" s="31" t="s">
        <v>457</v>
      </c>
      <c r="F768" s="31" t="s">
        <v>471</v>
      </c>
      <c r="N768" s="130" t="s">
        <v>441</v>
      </c>
      <c r="O768" s="31" t="s">
        <v>448</v>
      </c>
      <c r="P768" s="31" t="s">
        <v>471</v>
      </c>
      <c r="Q768" s="31" t="s">
        <v>457</v>
      </c>
      <c r="R768" s="31" t="s">
        <v>471</v>
      </c>
    </row>
    <row r="769" spans="1:31">
      <c r="A769" s="236"/>
      <c r="B769" s="73"/>
      <c r="C769" s="73">
        <v>0</v>
      </c>
      <c r="D769" s="73">
        <v>0</v>
      </c>
      <c r="E769" s="31">
        <v>0</v>
      </c>
      <c r="F769" s="73">
        <v>175</v>
      </c>
      <c r="N769" s="73"/>
      <c r="O769" s="73">
        <v>0</v>
      </c>
      <c r="P769" s="73">
        <v>0</v>
      </c>
      <c r="Q769" s="31">
        <v>0</v>
      </c>
      <c r="R769" s="73">
        <v>175</v>
      </c>
    </row>
    <row r="770" spans="1:31">
      <c r="B770" s="73"/>
      <c r="C770" s="73">
        <v>215</v>
      </c>
      <c r="D770" s="73">
        <v>20</v>
      </c>
      <c r="E770" s="31">
        <v>20.3</v>
      </c>
      <c r="F770" s="73">
        <v>165</v>
      </c>
      <c r="N770" s="73"/>
      <c r="O770" s="73">
        <v>146</v>
      </c>
      <c r="P770" s="73">
        <v>20</v>
      </c>
      <c r="Q770" s="31">
        <v>22.5</v>
      </c>
      <c r="R770" s="73">
        <v>165</v>
      </c>
    </row>
    <row r="771" spans="1:31">
      <c r="B771" s="73"/>
      <c r="C771" s="73">
        <v>223</v>
      </c>
      <c r="D771" s="73">
        <v>50</v>
      </c>
      <c r="E771" s="31">
        <v>20.7</v>
      </c>
      <c r="F771" s="73">
        <v>155</v>
      </c>
      <c r="N771" s="73"/>
      <c r="O771" s="73">
        <v>155</v>
      </c>
      <c r="P771" s="73">
        <v>50</v>
      </c>
      <c r="Q771" s="31">
        <v>22.9</v>
      </c>
      <c r="R771" s="73">
        <v>155</v>
      </c>
    </row>
    <row r="772" spans="1:31">
      <c r="B772" s="73"/>
      <c r="C772" s="73">
        <v>230</v>
      </c>
      <c r="D772" s="73">
        <v>80</v>
      </c>
      <c r="E772" s="31">
        <v>21.099999999999998</v>
      </c>
      <c r="F772" s="73">
        <v>145</v>
      </c>
      <c r="N772" s="73"/>
      <c r="O772" s="73">
        <v>165</v>
      </c>
      <c r="P772" s="73">
        <v>80</v>
      </c>
      <c r="Q772" s="31">
        <v>23.300000000000026</v>
      </c>
      <c r="R772" s="73">
        <v>145</v>
      </c>
    </row>
    <row r="773" spans="1:31">
      <c r="B773" s="73"/>
      <c r="C773" s="73">
        <v>238</v>
      </c>
      <c r="D773" s="73">
        <v>110</v>
      </c>
      <c r="E773" s="31">
        <v>21.499999999999996</v>
      </c>
      <c r="F773" s="73">
        <v>130</v>
      </c>
      <c r="N773" s="73"/>
      <c r="O773" s="73">
        <v>174</v>
      </c>
      <c r="P773" s="73">
        <v>110</v>
      </c>
      <c r="Q773" s="31">
        <v>23.700000000000042</v>
      </c>
      <c r="R773" s="73">
        <v>130</v>
      </c>
    </row>
    <row r="774" spans="1:31">
      <c r="B774" s="73"/>
      <c r="C774" s="73">
        <v>246</v>
      </c>
      <c r="D774" s="73">
        <v>115</v>
      </c>
      <c r="E774" s="31">
        <v>21.9</v>
      </c>
      <c r="F774" s="73">
        <v>115</v>
      </c>
      <c r="N774" s="73"/>
      <c r="O774" s="73">
        <v>184</v>
      </c>
      <c r="P774" s="73">
        <v>115</v>
      </c>
      <c r="Q774" s="31">
        <v>24.100000000000058</v>
      </c>
      <c r="R774" s="73">
        <v>115</v>
      </c>
    </row>
    <row r="775" spans="1:31">
      <c r="B775" s="73"/>
      <c r="C775" s="73">
        <v>253</v>
      </c>
      <c r="D775" s="73">
        <v>130</v>
      </c>
      <c r="E775" s="31">
        <v>22.299999999999997</v>
      </c>
      <c r="F775" s="73">
        <v>110</v>
      </c>
      <c r="N775" s="73"/>
      <c r="O775" s="73">
        <v>193</v>
      </c>
      <c r="P775" s="73">
        <v>130</v>
      </c>
      <c r="Q775" s="31">
        <v>24.500000000000071</v>
      </c>
      <c r="R775" s="73">
        <v>110</v>
      </c>
    </row>
    <row r="776" spans="1:31">
      <c r="B776" s="73"/>
      <c r="C776" s="73">
        <v>261</v>
      </c>
      <c r="D776" s="73">
        <v>145</v>
      </c>
      <c r="E776" s="31">
        <v>22.699999999999996</v>
      </c>
      <c r="F776" s="73">
        <v>80</v>
      </c>
      <c r="N776" s="73"/>
      <c r="O776" s="73">
        <v>203</v>
      </c>
      <c r="P776" s="73">
        <v>145</v>
      </c>
      <c r="Q776" s="31">
        <v>24.900000000000091</v>
      </c>
      <c r="R776" s="73">
        <v>80</v>
      </c>
    </row>
    <row r="777" spans="1:31">
      <c r="B777" s="73"/>
      <c r="C777" s="73">
        <v>269</v>
      </c>
      <c r="D777" s="73">
        <v>155</v>
      </c>
      <c r="E777" s="31">
        <v>23.099999999999998</v>
      </c>
      <c r="F777" s="73">
        <v>50</v>
      </c>
      <c r="N777" s="73"/>
      <c r="O777" s="73">
        <v>212</v>
      </c>
      <c r="P777" s="73">
        <v>155</v>
      </c>
      <c r="Q777" s="31">
        <v>25.300000000000104</v>
      </c>
      <c r="R777" s="73">
        <v>50</v>
      </c>
    </row>
    <row r="778" spans="1:31">
      <c r="B778" s="73"/>
      <c r="C778" s="73">
        <v>276</v>
      </c>
      <c r="D778" s="73">
        <v>165</v>
      </c>
      <c r="E778" s="31">
        <v>23.499999999999996</v>
      </c>
      <c r="F778" s="73">
        <v>20</v>
      </c>
      <c r="N778" s="73"/>
      <c r="O778" s="73">
        <v>222</v>
      </c>
      <c r="P778" s="73">
        <v>165</v>
      </c>
      <c r="Q778" s="31">
        <v>25.70000000000012</v>
      </c>
      <c r="R778" s="73">
        <v>20</v>
      </c>
    </row>
    <row r="779" spans="1:31">
      <c r="C779" s="73">
        <v>284</v>
      </c>
      <c r="D779" s="73">
        <v>175</v>
      </c>
      <c r="E779" s="31">
        <v>23.9</v>
      </c>
      <c r="F779" s="73">
        <v>0</v>
      </c>
      <c r="O779" s="73">
        <v>231</v>
      </c>
      <c r="P779" s="73">
        <v>175</v>
      </c>
      <c r="Q779" s="31">
        <v>26.100000000000136</v>
      </c>
      <c r="R779" s="73">
        <v>0</v>
      </c>
    </row>
    <row r="780" spans="1:31" s="5" customFormat="1">
      <c r="A780" s="292"/>
      <c r="B780" s="292"/>
      <c r="C780" s="73"/>
      <c r="D780" s="73"/>
      <c r="E780" s="31"/>
      <c r="F780" s="73"/>
      <c r="G780" s="292"/>
      <c r="H780" s="292"/>
      <c r="I780" s="292"/>
      <c r="J780" s="292"/>
      <c r="K780" s="292"/>
      <c r="L780" s="292"/>
      <c r="M780" s="292"/>
      <c r="N780" s="292"/>
      <c r="O780" s="73"/>
      <c r="P780" s="73"/>
      <c r="Q780" s="31"/>
      <c r="R780" s="73"/>
      <c r="S780" s="292"/>
      <c r="T780" s="292"/>
      <c r="U780" s="292"/>
      <c r="V780" s="292"/>
      <c r="W780" s="292"/>
      <c r="X780" s="292"/>
      <c r="AC780" s="292"/>
      <c r="AE780" s="292"/>
    </row>
    <row r="781" spans="1:31" s="5" customFormat="1">
      <c r="A781" s="292"/>
      <c r="B781" s="292"/>
      <c r="C781" s="73"/>
      <c r="D781" s="73"/>
      <c r="E781" s="31"/>
      <c r="F781" s="73"/>
      <c r="G781" s="292"/>
      <c r="H781" s="292"/>
      <c r="I781" s="292"/>
      <c r="J781" s="292"/>
      <c r="K781" s="292"/>
      <c r="L781" s="292"/>
      <c r="Q781" s="31"/>
      <c r="R781" s="73"/>
      <c r="S781" s="292"/>
      <c r="T781" s="292"/>
      <c r="U781" s="292"/>
      <c r="V781" s="292"/>
      <c r="W781" s="292"/>
      <c r="X781" s="292"/>
      <c r="AC781" s="292"/>
      <c r="AE781" s="292"/>
    </row>
    <row r="782" spans="1:31" s="5" customFormat="1">
      <c r="A782" s="375" t="s">
        <v>6</v>
      </c>
      <c r="B782" s="292" t="s">
        <v>457</v>
      </c>
      <c r="C782" s="292" t="s">
        <v>471</v>
      </c>
      <c r="D782" s="292" t="s">
        <v>448</v>
      </c>
      <c r="E782" s="292" t="s">
        <v>471</v>
      </c>
      <c r="F782" s="73"/>
      <c r="G782" s="292"/>
      <c r="H782" s="292"/>
      <c r="I782" s="292"/>
      <c r="J782" s="292"/>
      <c r="K782" s="292"/>
      <c r="L782" s="292"/>
      <c r="M782" s="292" t="s">
        <v>457</v>
      </c>
      <c r="N782" s="292" t="s">
        <v>471</v>
      </c>
      <c r="O782" s="292" t="s">
        <v>448</v>
      </c>
      <c r="P782" s="292" t="s">
        <v>471</v>
      </c>
      <c r="Q782" s="31"/>
      <c r="R782" s="73"/>
      <c r="S782" s="292"/>
      <c r="T782" s="292"/>
      <c r="U782" s="292"/>
      <c r="V782" s="292"/>
      <c r="W782" s="292"/>
      <c r="X782" s="292"/>
      <c r="AC782" s="292"/>
      <c r="AE782" s="292"/>
    </row>
    <row r="783" spans="1:31" s="5" customFormat="1">
      <c r="A783" s="292"/>
      <c r="B783" s="73">
        <v>0</v>
      </c>
      <c r="C783" s="73">
        <v>175</v>
      </c>
      <c r="D783" s="31">
        <v>0</v>
      </c>
      <c r="E783" s="73">
        <v>0</v>
      </c>
      <c r="F783" s="73"/>
      <c r="G783" s="292"/>
      <c r="H783" s="292"/>
      <c r="I783" s="292"/>
      <c r="J783" s="292"/>
      <c r="K783" s="292"/>
      <c r="L783" s="292"/>
      <c r="M783" s="73">
        <v>0</v>
      </c>
      <c r="N783" s="73">
        <v>175</v>
      </c>
      <c r="O783" s="31">
        <v>0</v>
      </c>
      <c r="P783" s="73">
        <v>0</v>
      </c>
      <c r="Q783" s="31"/>
      <c r="R783" s="73"/>
      <c r="S783" s="292"/>
      <c r="T783" s="292"/>
      <c r="U783" s="292"/>
      <c r="V783" s="292"/>
      <c r="W783" s="292"/>
      <c r="X783" s="292"/>
      <c r="AC783" s="292"/>
      <c r="AE783" s="292"/>
    </row>
    <row r="784" spans="1:31" s="5" customFormat="1">
      <c r="A784" s="236" t="s">
        <v>28</v>
      </c>
      <c r="B784" s="54">
        <v>19.899999999999999</v>
      </c>
      <c r="C784" s="73">
        <v>170</v>
      </c>
      <c r="D784" s="73">
        <v>257</v>
      </c>
      <c r="E784" s="73">
        <v>80</v>
      </c>
      <c r="F784" s="73"/>
      <c r="G784" s="292"/>
      <c r="H784" s="292"/>
      <c r="I784" s="292"/>
      <c r="J784" s="292"/>
      <c r="K784" s="292"/>
      <c r="L784" s="292"/>
      <c r="M784" s="54">
        <v>22.1</v>
      </c>
      <c r="N784" s="73">
        <v>170</v>
      </c>
      <c r="O784" s="73">
        <v>207</v>
      </c>
      <c r="P784" s="73">
        <v>80</v>
      </c>
      <c r="Q784" s="31"/>
      <c r="R784" s="73"/>
      <c r="S784" s="292"/>
      <c r="T784" s="292"/>
      <c r="U784" s="292"/>
      <c r="V784" s="292"/>
      <c r="W784" s="292"/>
      <c r="X784" s="292"/>
      <c r="AC784" s="292"/>
      <c r="AE784" s="292"/>
    </row>
    <row r="785" spans="1:31" s="5" customFormat="1">
      <c r="A785" s="292"/>
      <c r="B785" s="54">
        <v>20.3</v>
      </c>
      <c r="C785" s="73">
        <v>165</v>
      </c>
      <c r="D785" s="73">
        <v>259</v>
      </c>
      <c r="E785" s="31">
        <v>85</v>
      </c>
      <c r="F785" s="73"/>
      <c r="G785" s="292"/>
      <c r="H785" s="292"/>
      <c r="I785" s="292"/>
      <c r="J785" s="292"/>
      <c r="K785" s="292"/>
      <c r="L785" s="292"/>
      <c r="M785" s="54">
        <v>22.5</v>
      </c>
      <c r="N785" s="73">
        <v>165</v>
      </c>
      <c r="O785" s="73">
        <v>209</v>
      </c>
      <c r="P785" s="31">
        <v>85</v>
      </c>
      <c r="Q785" s="31"/>
      <c r="R785" s="73"/>
      <c r="S785" s="292"/>
      <c r="T785" s="292"/>
      <c r="U785" s="292"/>
      <c r="V785" s="292"/>
      <c r="W785" s="292"/>
      <c r="X785" s="292"/>
      <c r="AC785" s="292"/>
      <c r="AE785" s="292"/>
    </row>
    <row r="786" spans="1:31" s="5" customFormat="1">
      <c r="A786" s="292"/>
      <c r="B786" s="54">
        <v>20.7</v>
      </c>
      <c r="C786" s="73">
        <v>160</v>
      </c>
      <c r="D786" s="73">
        <v>261</v>
      </c>
      <c r="E786" s="73">
        <v>90</v>
      </c>
      <c r="F786" s="73"/>
      <c r="G786" s="292"/>
      <c r="H786" s="292"/>
      <c r="I786" s="292"/>
      <c r="J786" s="292"/>
      <c r="K786" s="292"/>
      <c r="L786" s="292"/>
      <c r="M786" s="54">
        <v>22.9</v>
      </c>
      <c r="N786" s="73">
        <v>160</v>
      </c>
      <c r="O786" s="73">
        <v>211</v>
      </c>
      <c r="P786" s="73">
        <v>90</v>
      </c>
      <c r="Q786" s="31"/>
      <c r="R786" s="73"/>
      <c r="S786" s="292"/>
      <c r="T786" s="292"/>
      <c r="U786" s="292"/>
      <c r="V786" s="292"/>
      <c r="W786" s="292"/>
      <c r="X786" s="292"/>
      <c r="AC786" s="292"/>
      <c r="AE786" s="292"/>
    </row>
    <row r="787" spans="1:31" s="5" customFormat="1">
      <c r="A787" s="292"/>
      <c r="B787" s="54">
        <v>21.1</v>
      </c>
      <c r="C787" s="73">
        <v>155</v>
      </c>
      <c r="D787" s="73">
        <v>263</v>
      </c>
      <c r="E787" s="31">
        <v>95</v>
      </c>
      <c r="F787" s="73"/>
      <c r="G787" s="292"/>
      <c r="H787" s="292"/>
      <c r="I787" s="292"/>
      <c r="J787" s="292"/>
      <c r="K787" s="292"/>
      <c r="L787" s="292"/>
      <c r="M787" s="54">
        <v>23.3</v>
      </c>
      <c r="N787" s="73">
        <v>155</v>
      </c>
      <c r="O787" s="73">
        <v>213</v>
      </c>
      <c r="P787" s="31">
        <v>95</v>
      </c>
      <c r="Q787" s="31"/>
      <c r="R787" s="73"/>
      <c r="S787" s="292"/>
      <c r="T787" s="292"/>
      <c r="U787" s="292"/>
      <c r="V787" s="292"/>
      <c r="W787" s="292"/>
      <c r="X787" s="292"/>
      <c r="AC787" s="292"/>
      <c r="AE787" s="292"/>
    </row>
    <row r="788" spans="1:31" s="5" customFormat="1">
      <c r="A788" s="292"/>
      <c r="B788" s="54">
        <v>21.5</v>
      </c>
      <c r="C788" s="73">
        <v>150</v>
      </c>
      <c r="D788" s="73">
        <v>265</v>
      </c>
      <c r="E788" s="73">
        <v>100</v>
      </c>
      <c r="F788" s="73"/>
      <c r="G788" s="292"/>
      <c r="H788" s="292"/>
      <c r="I788" s="292"/>
      <c r="J788" s="292"/>
      <c r="K788" s="292"/>
      <c r="L788" s="292"/>
      <c r="M788" s="54">
        <v>23.7</v>
      </c>
      <c r="N788" s="73">
        <v>150</v>
      </c>
      <c r="O788" s="73">
        <v>215</v>
      </c>
      <c r="P788" s="73">
        <v>100</v>
      </c>
      <c r="Q788" s="31"/>
      <c r="R788" s="73"/>
      <c r="S788" s="292"/>
      <c r="T788" s="292"/>
      <c r="U788" s="292"/>
      <c r="V788" s="292"/>
      <c r="W788" s="292"/>
      <c r="X788" s="292"/>
      <c r="AC788" s="292"/>
      <c r="AE788" s="292"/>
    </row>
    <row r="789" spans="1:31" s="5" customFormat="1">
      <c r="A789" s="292"/>
      <c r="B789" s="54">
        <v>21.9</v>
      </c>
      <c r="C789" s="73">
        <v>145</v>
      </c>
      <c r="D789" s="73">
        <v>267</v>
      </c>
      <c r="E789" s="31">
        <v>105</v>
      </c>
      <c r="F789" s="73"/>
      <c r="G789" s="292"/>
      <c r="H789" s="292"/>
      <c r="I789" s="292"/>
      <c r="J789" s="292"/>
      <c r="K789" s="292"/>
      <c r="L789" s="292"/>
      <c r="M789" s="54">
        <v>24.1</v>
      </c>
      <c r="N789" s="73">
        <v>145</v>
      </c>
      <c r="O789" s="73">
        <v>217</v>
      </c>
      <c r="P789" s="31">
        <v>105</v>
      </c>
      <c r="Q789" s="31"/>
      <c r="R789" s="73"/>
      <c r="S789" s="292"/>
      <c r="T789" s="292"/>
      <c r="U789" s="292"/>
      <c r="V789" s="292"/>
      <c r="W789" s="292"/>
      <c r="X789" s="292"/>
      <c r="AC789" s="292"/>
      <c r="AE789" s="292"/>
    </row>
    <row r="790" spans="1:31" s="5" customFormat="1">
      <c r="A790" s="292"/>
      <c r="B790" s="54">
        <v>22.3</v>
      </c>
      <c r="C790" s="73">
        <v>140</v>
      </c>
      <c r="D790" s="73">
        <v>269</v>
      </c>
      <c r="E790" s="73">
        <v>110</v>
      </c>
      <c r="F790" s="73"/>
      <c r="G790" s="292"/>
      <c r="H790" s="292"/>
      <c r="I790" s="292"/>
      <c r="J790" s="292"/>
      <c r="K790" s="292"/>
      <c r="L790" s="292"/>
      <c r="M790" s="54">
        <v>24.5</v>
      </c>
      <c r="N790" s="73">
        <v>140</v>
      </c>
      <c r="O790" s="73">
        <v>219</v>
      </c>
      <c r="P790" s="73">
        <v>110</v>
      </c>
      <c r="Q790" s="31"/>
      <c r="R790" s="73"/>
      <c r="S790" s="292"/>
      <c r="T790" s="292"/>
      <c r="U790" s="292"/>
      <c r="V790" s="292"/>
      <c r="W790" s="292"/>
      <c r="X790" s="292"/>
      <c r="AC790" s="292"/>
      <c r="AE790" s="292"/>
    </row>
    <row r="791" spans="1:31" s="5" customFormat="1">
      <c r="A791" s="292"/>
      <c r="B791" s="54">
        <v>22.7</v>
      </c>
      <c r="C791" s="73">
        <v>135</v>
      </c>
      <c r="D791" s="73">
        <v>271</v>
      </c>
      <c r="E791" s="31">
        <v>115</v>
      </c>
      <c r="F791" s="73"/>
      <c r="G791" s="292"/>
      <c r="H791" s="292"/>
      <c r="I791" s="292"/>
      <c r="J791" s="292"/>
      <c r="K791" s="292"/>
      <c r="L791" s="292"/>
      <c r="M791" s="54">
        <v>24.9</v>
      </c>
      <c r="N791" s="73">
        <v>135</v>
      </c>
      <c r="O791" s="73">
        <v>221</v>
      </c>
      <c r="P791" s="31">
        <v>115</v>
      </c>
      <c r="Q791" s="31"/>
      <c r="R791" s="73"/>
      <c r="S791" s="292"/>
      <c r="T791" s="292"/>
      <c r="U791" s="292"/>
      <c r="V791" s="292"/>
      <c r="W791" s="292"/>
      <c r="X791" s="292"/>
      <c r="AC791" s="292"/>
      <c r="AE791" s="292"/>
    </row>
    <row r="792" spans="1:31" s="5" customFormat="1">
      <c r="A792" s="292"/>
      <c r="B792" s="54">
        <v>23.1</v>
      </c>
      <c r="C792" s="73">
        <v>130</v>
      </c>
      <c r="D792" s="73">
        <v>273</v>
      </c>
      <c r="E792" s="73">
        <v>120</v>
      </c>
      <c r="F792" s="73"/>
      <c r="G792" s="292"/>
      <c r="H792" s="292"/>
      <c r="I792" s="292"/>
      <c r="J792" s="292"/>
      <c r="K792" s="292"/>
      <c r="L792" s="292"/>
      <c r="M792" s="54">
        <v>25.3</v>
      </c>
      <c r="N792" s="73">
        <v>130</v>
      </c>
      <c r="O792" s="73">
        <v>223</v>
      </c>
      <c r="P792" s="73">
        <v>120</v>
      </c>
      <c r="Q792" s="31"/>
      <c r="R792" s="73"/>
      <c r="S792" s="292"/>
      <c r="T792" s="292"/>
      <c r="U792" s="292"/>
      <c r="V792" s="292"/>
      <c r="W792" s="292"/>
      <c r="X792" s="292"/>
      <c r="AC792" s="292"/>
      <c r="AE792" s="292"/>
    </row>
    <row r="793" spans="1:31" s="5" customFormat="1">
      <c r="A793" s="292"/>
      <c r="B793" s="54">
        <v>23.5</v>
      </c>
      <c r="C793" s="73">
        <v>125</v>
      </c>
      <c r="D793" s="73">
        <v>275</v>
      </c>
      <c r="E793" s="31">
        <v>125</v>
      </c>
      <c r="F793" s="73"/>
      <c r="G793" s="292"/>
      <c r="H793" s="292"/>
      <c r="I793" s="292"/>
      <c r="J793" s="292"/>
      <c r="K793" s="292"/>
      <c r="L793" s="292"/>
      <c r="M793" s="54">
        <v>25.7</v>
      </c>
      <c r="N793" s="73">
        <v>125</v>
      </c>
      <c r="O793" s="73">
        <v>225</v>
      </c>
      <c r="P793" s="31">
        <v>125</v>
      </c>
      <c r="Q793" s="31"/>
      <c r="R793" s="73"/>
      <c r="S793" s="292"/>
      <c r="T793" s="292"/>
      <c r="U793" s="292"/>
      <c r="V793" s="292"/>
      <c r="W793" s="292"/>
      <c r="X793" s="292"/>
      <c r="AC793" s="292"/>
      <c r="AE793" s="292"/>
    </row>
    <row r="794" spans="1:31" s="5" customFormat="1">
      <c r="A794" s="292"/>
      <c r="B794" s="54">
        <v>23.9</v>
      </c>
      <c r="C794" s="73">
        <v>120</v>
      </c>
      <c r="D794" s="73">
        <v>277</v>
      </c>
      <c r="E794" s="73">
        <v>130</v>
      </c>
      <c r="F794" s="73"/>
      <c r="G794" s="292"/>
      <c r="H794" s="292"/>
      <c r="I794" s="292"/>
      <c r="J794" s="292"/>
      <c r="K794" s="292"/>
      <c r="L794" s="292"/>
      <c r="M794" s="54">
        <v>26.1</v>
      </c>
      <c r="N794" s="73">
        <v>120</v>
      </c>
      <c r="O794" s="73">
        <v>227</v>
      </c>
      <c r="P794" s="73">
        <v>130</v>
      </c>
      <c r="Q794" s="31"/>
      <c r="R794" s="73"/>
      <c r="S794" s="292"/>
      <c r="T794" s="292"/>
      <c r="U794" s="292"/>
      <c r="V794" s="292"/>
      <c r="W794" s="292"/>
      <c r="X794" s="292"/>
      <c r="AC794" s="292"/>
      <c r="AE794" s="292"/>
    </row>
    <row r="795" spans="1:31" s="5" customFormat="1">
      <c r="A795" s="292"/>
      <c r="B795" s="54">
        <v>24.3</v>
      </c>
      <c r="C795" s="73">
        <v>115</v>
      </c>
      <c r="D795" s="73">
        <v>279</v>
      </c>
      <c r="E795" s="31">
        <v>135</v>
      </c>
      <c r="F795" s="73"/>
      <c r="G795" s="292"/>
      <c r="H795" s="292"/>
      <c r="I795" s="292"/>
      <c r="J795" s="292"/>
      <c r="K795" s="292"/>
      <c r="L795" s="292"/>
      <c r="M795" s="54">
        <v>26.5</v>
      </c>
      <c r="N795" s="73">
        <v>115</v>
      </c>
      <c r="O795" s="73">
        <v>229</v>
      </c>
      <c r="P795" s="31">
        <v>135</v>
      </c>
      <c r="Q795" s="31"/>
      <c r="R795" s="73"/>
      <c r="S795" s="292"/>
      <c r="T795" s="292"/>
      <c r="U795" s="292"/>
      <c r="V795" s="292"/>
      <c r="W795" s="292"/>
      <c r="X795" s="292"/>
      <c r="AC795" s="292"/>
      <c r="AE795" s="292"/>
    </row>
    <row r="796" spans="1:31" s="5" customFormat="1">
      <c r="A796" s="292"/>
      <c r="B796" s="54">
        <v>24.7</v>
      </c>
      <c r="C796" s="73">
        <v>110</v>
      </c>
      <c r="D796" s="73">
        <v>281</v>
      </c>
      <c r="E796" s="73">
        <v>140</v>
      </c>
      <c r="F796" s="73"/>
      <c r="G796" s="292"/>
      <c r="H796" s="292"/>
      <c r="I796" s="292"/>
      <c r="J796" s="292"/>
      <c r="K796" s="292"/>
      <c r="L796" s="292"/>
      <c r="M796" s="54">
        <v>26.9</v>
      </c>
      <c r="N796" s="73">
        <v>110</v>
      </c>
      <c r="O796" s="73">
        <v>231</v>
      </c>
      <c r="P796" s="73">
        <v>140</v>
      </c>
      <c r="Q796" s="31"/>
      <c r="R796" s="73"/>
      <c r="S796" s="292"/>
      <c r="T796" s="292"/>
      <c r="U796" s="292"/>
      <c r="V796" s="292"/>
      <c r="W796" s="292"/>
      <c r="X796" s="292"/>
      <c r="AC796" s="292"/>
      <c r="AE796" s="292"/>
    </row>
    <row r="797" spans="1:31" s="5" customFormat="1">
      <c r="A797" s="292"/>
      <c r="B797" s="54">
        <v>25.1</v>
      </c>
      <c r="C797" s="73">
        <v>105</v>
      </c>
      <c r="D797" s="73">
        <v>283</v>
      </c>
      <c r="E797" s="31">
        <v>145</v>
      </c>
      <c r="F797" s="73"/>
      <c r="G797" s="292"/>
      <c r="H797" s="292"/>
      <c r="I797" s="292"/>
      <c r="J797" s="292"/>
      <c r="K797" s="292"/>
      <c r="L797" s="292"/>
      <c r="M797" s="54">
        <v>27.3</v>
      </c>
      <c r="N797" s="73">
        <v>105</v>
      </c>
      <c r="O797" s="73">
        <v>233</v>
      </c>
      <c r="P797" s="31">
        <v>145</v>
      </c>
      <c r="Q797" s="31"/>
      <c r="R797" s="73"/>
      <c r="S797" s="292"/>
      <c r="T797" s="292"/>
      <c r="U797" s="292"/>
      <c r="V797" s="292"/>
      <c r="W797" s="292"/>
      <c r="X797" s="292"/>
      <c r="AC797" s="292"/>
      <c r="AE797" s="292"/>
    </row>
    <row r="798" spans="1:31" s="5" customFormat="1">
      <c r="A798" s="292"/>
      <c r="B798" s="54">
        <v>25.5</v>
      </c>
      <c r="C798" s="73">
        <v>100</v>
      </c>
      <c r="D798" s="73">
        <v>285</v>
      </c>
      <c r="E798" s="73">
        <v>150</v>
      </c>
      <c r="F798" s="73"/>
      <c r="G798" s="292"/>
      <c r="H798" s="292"/>
      <c r="I798" s="292"/>
      <c r="J798" s="292"/>
      <c r="K798" s="292"/>
      <c r="L798" s="292"/>
      <c r="M798" s="54">
        <v>27.7</v>
      </c>
      <c r="N798" s="73">
        <v>100</v>
      </c>
      <c r="O798" s="73">
        <v>235</v>
      </c>
      <c r="P798" s="73">
        <v>150</v>
      </c>
      <c r="Q798" s="31"/>
      <c r="R798" s="73"/>
      <c r="S798" s="292"/>
      <c r="T798" s="292"/>
      <c r="U798" s="292"/>
      <c r="V798" s="292"/>
      <c r="W798" s="292"/>
      <c r="X798" s="292"/>
      <c r="AC798" s="292"/>
      <c r="AE798" s="292"/>
    </row>
    <row r="799" spans="1:31" s="5" customFormat="1">
      <c r="A799" s="292"/>
      <c r="B799" s="54">
        <v>25.9</v>
      </c>
      <c r="C799" s="73">
        <v>95</v>
      </c>
      <c r="D799" s="73">
        <v>287</v>
      </c>
      <c r="E799" s="31">
        <v>155</v>
      </c>
      <c r="F799" s="73"/>
      <c r="G799" s="292"/>
      <c r="H799" s="292"/>
      <c r="I799" s="292"/>
      <c r="J799" s="292"/>
      <c r="K799" s="292"/>
      <c r="L799" s="292"/>
      <c r="M799" s="54">
        <v>28.1</v>
      </c>
      <c r="N799" s="73">
        <v>95</v>
      </c>
      <c r="O799" s="73">
        <v>237</v>
      </c>
      <c r="P799" s="31">
        <v>155</v>
      </c>
      <c r="Q799" s="31"/>
      <c r="R799" s="73"/>
      <c r="S799" s="292"/>
      <c r="T799" s="292"/>
      <c r="U799" s="292"/>
      <c r="V799" s="292"/>
      <c r="W799" s="292"/>
      <c r="X799" s="292"/>
      <c r="AC799" s="292"/>
      <c r="AE799" s="292"/>
    </row>
    <row r="800" spans="1:31" s="5" customFormat="1">
      <c r="A800" s="292"/>
      <c r="B800" s="54">
        <v>26.3</v>
      </c>
      <c r="C800" s="73">
        <v>90</v>
      </c>
      <c r="D800" s="73">
        <v>289</v>
      </c>
      <c r="E800" s="73">
        <v>160</v>
      </c>
      <c r="F800" s="73"/>
      <c r="G800" s="292"/>
      <c r="H800" s="292"/>
      <c r="I800" s="292"/>
      <c r="J800" s="292"/>
      <c r="K800" s="292"/>
      <c r="L800" s="292"/>
      <c r="M800" s="54">
        <v>28.5</v>
      </c>
      <c r="N800" s="73">
        <v>90</v>
      </c>
      <c r="O800" s="73">
        <v>239</v>
      </c>
      <c r="P800" s="73">
        <v>160</v>
      </c>
      <c r="Q800" s="31"/>
      <c r="R800" s="73"/>
      <c r="S800" s="292"/>
      <c r="T800" s="292"/>
      <c r="U800" s="292"/>
      <c r="V800" s="292"/>
      <c r="W800" s="292"/>
      <c r="X800" s="292"/>
      <c r="AC800" s="292"/>
      <c r="AE800" s="292"/>
    </row>
    <row r="801" spans="1:31" s="5" customFormat="1">
      <c r="A801" s="292"/>
      <c r="B801" s="54">
        <v>26.7</v>
      </c>
      <c r="C801" s="73">
        <v>85</v>
      </c>
      <c r="D801" s="73">
        <v>291</v>
      </c>
      <c r="E801" s="31">
        <v>165</v>
      </c>
      <c r="F801" s="73"/>
      <c r="G801" s="292"/>
      <c r="H801" s="292"/>
      <c r="I801" s="292"/>
      <c r="J801" s="292"/>
      <c r="K801" s="292"/>
      <c r="L801" s="292"/>
      <c r="M801" s="54">
        <v>28.9</v>
      </c>
      <c r="N801" s="73">
        <v>85</v>
      </c>
      <c r="O801" s="73">
        <v>241</v>
      </c>
      <c r="P801" s="31">
        <v>165</v>
      </c>
      <c r="Q801" s="31"/>
      <c r="R801" s="73"/>
      <c r="S801" s="292"/>
      <c r="T801" s="292"/>
      <c r="U801" s="292"/>
      <c r="V801" s="292"/>
      <c r="W801" s="292"/>
      <c r="X801" s="292"/>
      <c r="AC801" s="292"/>
      <c r="AE801" s="292"/>
    </row>
    <row r="802" spans="1:31" s="5" customFormat="1">
      <c r="A802" s="292"/>
      <c r="B802" s="54">
        <v>27.1</v>
      </c>
      <c r="C802" s="73">
        <v>80</v>
      </c>
      <c r="D802" s="73">
        <v>293</v>
      </c>
      <c r="E802" s="73">
        <v>170</v>
      </c>
      <c r="F802" s="73"/>
      <c r="G802" s="292"/>
      <c r="H802" s="292"/>
      <c r="I802" s="292"/>
      <c r="J802" s="292"/>
      <c r="K802" s="292"/>
      <c r="L802" s="292"/>
      <c r="M802" s="54">
        <v>29.3</v>
      </c>
      <c r="N802" s="73">
        <v>80</v>
      </c>
      <c r="O802" s="73">
        <v>243</v>
      </c>
      <c r="P802" s="73">
        <v>170</v>
      </c>
      <c r="Q802" s="31"/>
      <c r="R802" s="73"/>
      <c r="S802" s="292"/>
      <c r="T802" s="292"/>
      <c r="U802" s="292"/>
      <c r="V802" s="292"/>
      <c r="W802" s="292"/>
      <c r="X802" s="292"/>
      <c r="AC802" s="292"/>
      <c r="AE802" s="292"/>
    </row>
    <row r="803" spans="1:31" s="5" customFormat="1">
      <c r="A803" s="292"/>
      <c r="B803" s="54">
        <v>27.5</v>
      </c>
      <c r="C803" s="73">
        <v>0</v>
      </c>
      <c r="D803" s="73">
        <v>295</v>
      </c>
      <c r="E803" s="31">
        <v>175</v>
      </c>
      <c r="F803" s="73"/>
      <c r="G803" s="292"/>
      <c r="H803" s="292"/>
      <c r="I803" s="292"/>
      <c r="J803" s="292"/>
      <c r="K803" s="292"/>
      <c r="L803" s="292"/>
      <c r="M803" s="54">
        <v>29.7</v>
      </c>
      <c r="N803" s="73">
        <v>0</v>
      </c>
      <c r="O803" s="73">
        <v>245</v>
      </c>
      <c r="P803" s="31">
        <v>175</v>
      </c>
      <c r="Q803" s="31"/>
      <c r="R803" s="73"/>
      <c r="S803" s="292"/>
      <c r="T803" s="292"/>
      <c r="U803" s="292"/>
      <c r="V803" s="292"/>
      <c r="W803" s="292"/>
      <c r="X803" s="292"/>
      <c r="AC803" s="292"/>
      <c r="AE803" s="292"/>
    </row>
    <row r="805" spans="1:31" s="133" customFormat="1">
      <c r="A805" s="95" t="s">
        <v>144</v>
      </c>
      <c r="B805" s="95" t="s">
        <v>429</v>
      </c>
      <c r="C805" s="95" t="s">
        <v>471</v>
      </c>
      <c r="D805" s="95" t="s">
        <v>448</v>
      </c>
      <c r="E805" s="95" t="s">
        <v>471</v>
      </c>
      <c r="F805" s="95" t="s">
        <v>515</v>
      </c>
      <c r="G805" s="95" t="s">
        <v>471</v>
      </c>
      <c r="H805" s="14"/>
      <c r="I805" s="104" t="s">
        <v>429</v>
      </c>
      <c r="J805" s="104" t="s">
        <v>448</v>
      </c>
      <c r="K805" s="14"/>
      <c r="L805" s="14"/>
      <c r="M805" s="104" t="s">
        <v>448</v>
      </c>
      <c r="N805" s="104" t="s">
        <v>429</v>
      </c>
      <c r="O805" s="14"/>
      <c r="P805" s="95" t="s">
        <v>429</v>
      </c>
      <c r="Q805" s="95" t="s">
        <v>471</v>
      </c>
      <c r="R805" s="95" t="s">
        <v>448</v>
      </c>
      <c r="S805" s="95" t="s">
        <v>471</v>
      </c>
      <c r="T805" s="95" t="s">
        <v>515</v>
      </c>
      <c r="U805" s="95" t="s">
        <v>471</v>
      </c>
      <c r="V805" s="14"/>
      <c r="W805" s="14"/>
      <c r="X805" s="14"/>
      <c r="AC805" s="14"/>
      <c r="AE805" s="14"/>
    </row>
    <row r="806" spans="1:31" s="133" customFormat="1">
      <c r="A806" s="184" t="s">
        <v>598</v>
      </c>
      <c r="B806" s="35">
        <v>0</v>
      </c>
      <c r="C806" s="14">
        <v>400</v>
      </c>
      <c r="D806" s="14">
        <v>0</v>
      </c>
      <c r="E806" s="14">
        <v>120</v>
      </c>
      <c r="F806" s="14">
        <v>-50</v>
      </c>
      <c r="G806" s="14">
        <v>120</v>
      </c>
      <c r="H806" s="14"/>
      <c r="I806" s="35">
        <v>0</v>
      </c>
      <c r="J806" s="292">
        <v>0</v>
      </c>
      <c r="K806" s="14"/>
      <c r="L806" s="14"/>
      <c r="M806" s="292">
        <v>0</v>
      </c>
      <c r="N806" s="292">
        <v>0</v>
      </c>
      <c r="O806" s="14"/>
      <c r="P806" s="14">
        <v>0</v>
      </c>
      <c r="Q806" s="14">
        <v>400</v>
      </c>
      <c r="R806" s="14">
        <v>0</v>
      </c>
      <c r="S806" s="14">
        <v>120</v>
      </c>
      <c r="T806" s="14">
        <v>-50</v>
      </c>
      <c r="U806" s="14">
        <v>120</v>
      </c>
      <c r="V806" s="14"/>
      <c r="W806" s="14"/>
      <c r="X806" s="14"/>
      <c r="AC806" s="14"/>
      <c r="AE806" s="14"/>
    </row>
    <row r="807" spans="1:31" s="133" customFormat="1">
      <c r="A807" s="184" t="s">
        <v>136</v>
      </c>
      <c r="B807" s="120">
        <v>32.1</v>
      </c>
      <c r="C807" s="14">
        <v>380</v>
      </c>
      <c r="D807" s="305">
        <v>248</v>
      </c>
      <c r="E807" s="14">
        <v>140</v>
      </c>
      <c r="F807" s="14">
        <v>12</v>
      </c>
      <c r="G807" s="14">
        <v>140</v>
      </c>
      <c r="H807" s="14"/>
      <c r="I807" s="35">
        <v>31.1</v>
      </c>
      <c r="J807" s="292">
        <v>239</v>
      </c>
      <c r="K807" s="14"/>
      <c r="L807" s="14"/>
      <c r="M807" s="292">
        <v>194</v>
      </c>
      <c r="N807" s="292">
        <v>36.1</v>
      </c>
      <c r="O807" s="14"/>
      <c r="P807" s="305">
        <v>37.1</v>
      </c>
      <c r="Q807" s="14">
        <v>380</v>
      </c>
      <c r="R807" s="14">
        <v>194</v>
      </c>
      <c r="S807" s="14">
        <v>140</v>
      </c>
      <c r="T807" s="14">
        <v>13</v>
      </c>
      <c r="U807" s="14">
        <v>140</v>
      </c>
      <c r="V807" s="14"/>
      <c r="W807" s="14"/>
      <c r="X807" s="14"/>
      <c r="AC807" s="14"/>
      <c r="AE807" s="14"/>
    </row>
    <row r="808" spans="1:31" s="133" customFormat="1">
      <c r="A808" s="184"/>
      <c r="B808" s="120">
        <v>32.6</v>
      </c>
      <c r="C808" s="14">
        <v>360</v>
      </c>
      <c r="D808" s="305">
        <v>252</v>
      </c>
      <c r="E808" s="14">
        <v>160</v>
      </c>
      <c r="F808" s="14">
        <v>14</v>
      </c>
      <c r="G808" s="14">
        <v>160</v>
      </c>
      <c r="H808" s="14"/>
      <c r="I808" s="35">
        <v>31.6</v>
      </c>
      <c r="J808" s="292">
        <v>243</v>
      </c>
      <c r="K808" s="14"/>
      <c r="L808" s="14"/>
      <c r="M808" s="292">
        <v>198</v>
      </c>
      <c r="N808" s="292">
        <v>36.6</v>
      </c>
      <c r="O808" s="14"/>
      <c r="P808" s="305">
        <v>37.6</v>
      </c>
      <c r="Q808" s="14">
        <v>360</v>
      </c>
      <c r="R808" s="14">
        <v>198</v>
      </c>
      <c r="S808" s="14">
        <v>160</v>
      </c>
      <c r="T808" s="14">
        <v>15</v>
      </c>
      <c r="U808" s="14">
        <v>160</v>
      </c>
      <c r="V808" s="14"/>
      <c r="W808" s="14"/>
      <c r="X808" s="14"/>
      <c r="AC808" s="14"/>
      <c r="AE808" s="14"/>
    </row>
    <row r="809" spans="1:31" s="133" customFormat="1">
      <c r="A809" s="14"/>
      <c r="B809" s="120">
        <v>33.1</v>
      </c>
      <c r="C809" s="14">
        <v>340</v>
      </c>
      <c r="D809" s="305">
        <v>256</v>
      </c>
      <c r="E809" s="14">
        <v>180</v>
      </c>
      <c r="F809" s="14">
        <v>16</v>
      </c>
      <c r="G809" s="14">
        <v>180</v>
      </c>
      <c r="H809" s="14"/>
      <c r="I809" s="35">
        <v>32.1</v>
      </c>
      <c r="J809" s="292">
        <v>247</v>
      </c>
      <c r="K809" s="14"/>
      <c r="L809" s="14"/>
      <c r="M809" s="292">
        <v>202</v>
      </c>
      <c r="N809" s="292">
        <v>37.1</v>
      </c>
      <c r="O809" s="14"/>
      <c r="P809" s="305">
        <v>38.1</v>
      </c>
      <c r="Q809" s="14">
        <v>340</v>
      </c>
      <c r="R809" s="14">
        <v>202</v>
      </c>
      <c r="S809" s="14">
        <v>180</v>
      </c>
      <c r="T809" s="14">
        <v>17</v>
      </c>
      <c r="U809" s="14">
        <v>180</v>
      </c>
      <c r="V809" s="14"/>
      <c r="W809" s="14"/>
      <c r="X809" s="14"/>
      <c r="AC809" s="14"/>
      <c r="AE809" s="14"/>
    </row>
    <row r="810" spans="1:31" s="133" customFormat="1">
      <c r="A810" s="14"/>
      <c r="B810" s="120">
        <v>33.6</v>
      </c>
      <c r="C810" s="14">
        <v>320</v>
      </c>
      <c r="D810" s="305">
        <v>260</v>
      </c>
      <c r="E810" s="14">
        <v>200</v>
      </c>
      <c r="F810" s="14">
        <v>18</v>
      </c>
      <c r="G810" s="14">
        <v>200</v>
      </c>
      <c r="H810" s="14"/>
      <c r="I810" s="35">
        <v>32.6</v>
      </c>
      <c r="J810" s="292">
        <v>251</v>
      </c>
      <c r="K810" s="14"/>
      <c r="L810" s="14"/>
      <c r="M810" s="292">
        <v>206</v>
      </c>
      <c r="N810" s="292">
        <v>37.6</v>
      </c>
      <c r="O810" s="14"/>
      <c r="P810" s="305">
        <v>38.6</v>
      </c>
      <c r="Q810" s="14">
        <v>320</v>
      </c>
      <c r="R810" s="14">
        <v>206</v>
      </c>
      <c r="S810" s="14">
        <v>200</v>
      </c>
      <c r="T810" s="14">
        <v>19</v>
      </c>
      <c r="U810" s="14">
        <v>200</v>
      </c>
      <c r="V810" s="14"/>
      <c r="W810" s="14"/>
      <c r="X810" s="14"/>
      <c r="AC810" s="14"/>
      <c r="AE810" s="14"/>
    </row>
    <row r="811" spans="1:31" s="133" customFormat="1">
      <c r="A811" s="14"/>
      <c r="B811" s="120">
        <v>34.1</v>
      </c>
      <c r="C811" s="14">
        <v>300</v>
      </c>
      <c r="D811" s="305">
        <v>264</v>
      </c>
      <c r="E811" s="14">
        <v>220</v>
      </c>
      <c r="F811" s="14">
        <v>20</v>
      </c>
      <c r="G811" s="14">
        <v>220</v>
      </c>
      <c r="H811" s="14"/>
      <c r="I811" s="35">
        <v>33.1</v>
      </c>
      <c r="J811" s="292">
        <v>255</v>
      </c>
      <c r="K811" s="14"/>
      <c r="L811" s="14"/>
      <c r="M811" s="292">
        <v>210</v>
      </c>
      <c r="N811" s="292">
        <v>38.1</v>
      </c>
      <c r="O811" s="14"/>
      <c r="P811" s="305">
        <v>39.1</v>
      </c>
      <c r="Q811" s="14">
        <v>300</v>
      </c>
      <c r="R811" s="14">
        <v>210</v>
      </c>
      <c r="S811" s="14">
        <v>220</v>
      </c>
      <c r="T811" s="14">
        <v>21</v>
      </c>
      <c r="U811" s="14">
        <v>220</v>
      </c>
      <c r="V811" s="14"/>
      <c r="W811" s="14"/>
      <c r="X811" s="14"/>
      <c r="AC811" s="14"/>
      <c r="AE811" s="14"/>
    </row>
    <row r="812" spans="1:31" s="133" customFormat="1">
      <c r="A812" s="14"/>
      <c r="B812" s="120">
        <v>35.6</v>
      </c>
      <c r="C812" s="14">
        <v>280</v>
      </c>
      <c r="D812" s="305">
        <v>268</v>
      </c>
      <c r="E812" s="14">
        <v>240</v>
      </c>
      <c r="F812" s="14">
        <v>22</v>
      </c>
      <c r="G812" s="14">
        <v>240</v>
      </c>
      <c r="H812" s="14"/>
      <c r="I812" s="35">
        <v>33.6</v>
      </c>
      <c r="J812" s="292">
        <v>259</v>
      </c>
      <c r="K812" s="14"/>
      <c r="L812" s="14"/>
      <c r="M812" s="292">
        <v>214</v>
      </c>
      <c r="N812" s="292">
        <v>38.6</v>
      </c>
      <c r="O812" s="14"/>
      <c r="P812" s="305">
        <v>40.6</v>
      </c>
      <c r="Q812" s="14">
        <v>280</v>
      </c>
      <c r="R812" s="14">
        <v>214</v>
      </c>
      <c r="S812" s="14">
        <v>240</v>
      </c>
      <c r="T812" s="14">
        <v>23</v>
      </c>
      <c r="U812" s="14">
        <v>240</v>
      </c>
      <c r="V812" s="14"/>
      <c r="W812" s="14"/>
      <c r="X812" s="14"/>
      <c r="AC812" s="14"/>
      <c r="AE812" s="14"/>
    </row>
    <row r="813" spans="1:31" s="133" customFormat="1">
      <c r="A813" s="14"/>
      <c r="B813" s="120">
        <v>36.1</v>
      </c>
      <c r="C813" s="14">
        <v>260</v>
      </c>
      <c r="D813" s="305">
        <v>272</v>
      </c>
      <c r="E813" s="14">
        <v>260</v>
      </c>
      <c r="F813" s="14">
        <v>24</v>
      </c>
      <c r="G813" s="14">
        <v>260</v>
      </c>
      <c r="H813" s="14"/>
      <c r="I813" s="35">
        <v>34.1</v>
      </c>
      <c r="J813" s="292">
        <v>263</v>
      </c>
      <c r="K813" s="14"/>
      <c r="L813" s="14"/>
      <c r="M813" s="292">
        <v>218</v>
      </c>
      <c r="N813" s="292">
        <v>39.1</v>
      </c>
      <c r="O813" s="14"/>
      <c r="P813" s="305">
        <v>41.1</v>
      </c>
      <c r="Q813" s="14">
        <v>260</v>
      </c>
      <c r="R813" s="14">
        <v>218</v>
      </c>
      <c r="S813" s="14">
        <v>260</v>
      </c>
      <c r="T813" s="14">
        <v>25</v>
      </c>
      <c r="U813" s="14">
        <v>260</v>
      </c>
      <c r="V813" s="14"/>
      <c r="W813" s="14"/>
      <c r="X813" s="14"/>
      <c r="AC813" s="14"/>
      <c r="AE813" s="14"/>
    </row>
    <row r="814" spans="1:31" s="133" customFormat="1">
      <c r="A814" s="14"/>
      <c r="B814" s="120">
        <v>36.6</v>
      </c>
      <c r="C814" s="14">
        <v>240</v>
      </c>
      <c r="D814" s="305">
        <v>276</v>
      </c>
      <c r="E814" s="14">
        <v>280</v>
      </c>
      <c r="F814" s="14">
        <v>26</v>
      </c>
      <c r="G814" s="14">
        <v>280</v>
      </c>
      <c r="H814" s="14"/>
      <c r="I814" s="35">
        <v>35.1</v>
      </c>
      <c r="J814" s="292">
        <v>267</v>
      </c>
      <c r="K814" s="14"/>
      <c r="L814" s="14"/>
      <c r="M814" s="292">
        <v>222</v>
      </c>
      <c r="N814" s="292">
        <v>40.1</v>
      </c>
      <c r="O814" s="14"/>
      <c r="P814" s="305">
        <v>41.6</v>
      </c>
      <c r="Q814" s="14">
        <v>240</v>
      </c>
      <c r="R814" s="14">
        <v>222</v>
      </c>
      <c r="S814" s="14">
        <v>280</v>
      </c>
      <c r="T814" s="14">
        <v>27</v>
      </c>
      <c r="U814" s="14">
        <v>280</v>
      </c>
      <c r="V814" s="14"/>
      <c r="W814" s="14"/>
      <c r="X814" s="14"/>
      <c r="AC814" s="14"/>
      <c r="AE814" s="14"/>
    </row>
    <row r="815" spans="1:31" s="133" customFormat="1">
      <c r="A815" s="14"/>
      <c r="B815" s="120">
        <v>37.1</v>
      </c>
      <c r="C815" s="14">
        <v>220</v>
      </c>
      <c r="D815" s="305">
        <v>280</v>
      </c>
      <c r="E815" s="14">
        <v>300</v>
      </c>
      <c r="F815" s="14">
        <v>28</v>
      </c>
      <c r="G815" s="14">
        <v>300</v>
      </c>
      <c r="H815" s="14"/>
      <c r="I815" s="35">
        <v>36.1</v>
      </c>
      <c r="J815" s="292">
        <v>271</v>
      </c>
      <c r="K815" s="14"/>
      <c r="L815" s="14"/>
      <c r="M815" s="292">
        <v>226</v>
      </c>
      <c r="N815" s="292">
        <v>41.1</v>
      </c>
      <c r="O815" s="14"/>
      <c r="P815" s="305">
        <v>42.1</v>
      </c>
      <c r="Q815" s="14">
        <v>220</v>
      </c>
      <c r="R815" s="14">
        <v>226</v>
      </c>
      <c r="S815" s="14">
        <v>300</v>
      </c>
      <c r="T815" s="14">
        <v>29</v>
      </c>
      <c r="U815" s="14">
        <v>300</v>
      </c>
      <c r="V815" s="14"/>
      <c r="W815" s="14"/>
      <c r="X815" s="14"/>
      <c r="AC815" s="14"/>
      <c r="AE815" s="14"/>
    </row>
    <row r="816" spans="1:31" s="133" customFormat="1">
      <c r="A816" s="14"/>
      <c r="B816" s="35"/>
      <c r="C816" s="14"/>
      <c r="D816" s="14"/>
      <c r="E816" s="14"/>
      <c r="F816" s="14"/>
      <c r="G816" s="14"/>
      <c r="H816" s="14"/>
      <c r="I816" s="206" t="s">
        <v>428</v>
      </c>
      <c r="J816" s="206"/>
      <c r="K816" s="74" t="s">
        <v>450</v>
      </c>
      <c r="L816" s="7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AC816" s="14"/>
      <c r="AE816" s="14"/>
    </row>
    <row r="817" spans="1:31" s="133" customFormat="1">
      <c r="A817" s="95" t="s">
        <v>157</v>
      </c>
      <c r="B817" s="106" t="s">
        <v>460</v>
      </c>
      <c r="C817" s="95" t="s">
        <v>471</v>
      </c>
      <c r="D817" s="95" t="s">
        <v>455</v>
      </c>
      <c r="E817" s="95" t="s">
        <v>471</v>
      </c>
      <c r="F817" s="95" t="s">
        <v>286</v>
      </c>
      <c r="G817" s="95" t="s">
        <v>471</v>
      </c>
      <c r="H817" s="14"/>
      <c r="I817" s="206" t="s">
        <v>427</v>
      </c>
      <c r="J817" s="206" t="s">
        <v>485</v>
      </c>
      <c r="K817" s="74" t="s">
        <v>427</v>
      </c>
      <c r="L817" s="74" t="s">
        <v>485</v>
      </c>
      <c r="M817" s="106" t="s">
        <v>460</v>
      </c>
      <c r="N817" s="14"/>
      <c r="O817" s="14"/>
      <c r="P817" s="106" t="s">
        <v>460</v>
      </c>
      <c r="Q817" s="95" t="s">
        <v>471</v>
      </c>
      <c r="R817" s="95" t="s">
        <v>455</v>
      </c>
      <c r="S817" s="95" t="s">
        <v>471</v>
      </c>
      <c r="T817" s="95" t="s">
        <v>286</v>
      </c>
      <c r="U817" s="95" t="s">
        <v>471</v>
      </c>
      <c r="V817" s="14"/>
      <c r="W817" s="14"/>
      <c r="X817" s="14"/>
      <c r="AC817" s="14"/>
      <c r="AE817" s="14"/>
    </row>
    <row r="818" spans="1:31" s="133" customFormat="1">
      <c r="A818" s="74" t="s">
        <v>414</v>
      </c>
      <c r="B818" s="35">
        <v>0</v>
      </c>
      <c r="C818" s="95">
        <v>500</v>
      </c>
      <c r="D818" s="109">
        <v>0</v>
      </c>
      <c r="E818" s="11">
        <v>140</v>
      </c>
      <c r="F818" s="95">
        <v>0</v>
      </c>
      <c r="G818" s="14">
        <v>140</v>
      </c>
      <c r="H818" s="14"/>
      <c r="I818" s="206">
        <v>0</v>
      </c>
      <c r="J818" s="206">
        <v>0</v>
      </c>
      <c r="K818" s="74">
        <v>0</v>
      </c>
      <c r="L818" s="74">
        <v>0</v>
      </c>
      <c r="M818" s="292">
        <v>0</v>
      </c>
      <c r="N818" s="14"/>
      <c r="O818" s="14"/>
      <c r="P818" s="305">
        <v>0</v>
      </c>
      <c r="Q818" s="95">
        <v>500</v>
      </c>
      <c r="R818" s="109">
        <v>0</v>
      </c>
      <c r="S818" s="11">
        <v>140</v>
      </c>
      <c r="T818" s="95">
        <v>0</v>
      </c>
      <c r="U818" s="11">
        <v>140</v>
      </c>
      <c r="V818" s="14"/>
      <c r="W818" s="14"/>
      <c r="X818" s="14"/>
      <c r="AC818" s="14"/>
      <c r="AE818" s="14"/>
    </row>
    <row r="819" spans="1:31" s="133" customFormat="1">
      <c r="A819" s="14" t="s">
        <v>312</v>
      </c>
      <c r="B819" s="35">
        <v>31.6</v>
      </c>
      <c r="C819" s="95">
        <v>410</v>
      </c>
      <c r="D819" s="31">
        <v>30</v>
      </c>
      <c r="E819" s="11">
        <v>230</v>
      </c>
      <c r="F819" s="14">
        <v>143</v>
      </c>
      <c r="G819" s="14">
        <v>230</v>
      </c>
      <c r="H819" s="14"/>
      <c r="I819" s="206">
        <v>19</v>
      </c>
      <c r="J819" s="206">
        <v>17</v>
      </c>
      <c r="K819" s="74">
        <v>22</v>
      </c>
      <c r="L819" s="74">
        <v>20</v>
      </c>
      <c r="M819" s="292">
        <v>36.6</v>
      </c>
      <c r="N819" s="14"/>
      <c r="O819" s="14"/>
      <c r="P819" s="305">
        <v>34.6</v>
      </c>
      <c r="Q819" s="95">
        <v>410</v>
      </c>
      <c r="R819" s="31">
        <v>28</v>
      </c>
      <c r="S819" s="11">
        <v>230</v>
      </c>
      <c r="T819" s="95">
        <v>118</v>
      </c>
      <c r="U819" s="11">
        <v>230</v>
      </c>
      <c r="V819" s="14"/>
      <c r="W819" s="14"/>
      <c r="X819" s="14"/>
      <c r="AC819" s="14"/>
      <c r="AE819" s="14"/>
    </row>
    <row r="820" spans="1:31" s="133" customFormat="1">
      <c r="A820" s="205" t="s">
        <v>226</v>
      </c>
      <c r="B820" s="35">
        <v>32.9</v>
      </c>
      <c r="C820" s="95">
        <v>320</v>
      </c>
      <c r="D820" s="31">
        <v>34</v>
      </c>
      <c r="E820" s="11">
        <v>320</v>
      </c>
      <c r="F820" s="14">
        <v>148</v>
      </c>
      <c r="G820" s="14">
        <v>320</v>
      </c>
      <c r="H820" s="14"/>
      <c r="I820" s="206">
        <v>27</v>
      </c>
      <c r="J820" s="206">
        <v>25</v>
      </c>
      <c r="K820" s="74">
        <v>30</v>
      </c>
      <c r="L820" s="74">
        <v>28</v>
      </c>
      <c r="M820" s="292">
        <v>37.9</v>
      </c>
      <c r="N820" s="14"/>
      <c r="O820" s="14"/>
      <c r="P820" s="305">
        <v>35.9</v>
      </c>
      <c r="Q820" s="95">
        <v>320</v>
      </c>
      <c r="R820" s="31">
        <v>32</v>
      </c>
      <c r="S820" s="11">
        <v>320</v>
      </c>
      <c r="T820" s="95">
        <v>123</v>
      </c>
      <c r="U820" s="11">
        <v>320</v>
      </c>
      <c r="V820" s="14"/>
      <c r="W820" s="14"/>
      <c r="X820" s="14"/>
      <c r="AC820" s="14"/>
      <c r="AE820" s="14"/>
    </row>
    <row r="821" spans="1:31" s="133" customFormat="1">
      <c r="A821" s="205" t="s">
        <v>541</v>
      </c>
      <c r="B821" s="35">
        <v>34.200000000000003</v>
      </c>
      <c r="C821" s="95">
        <v>230</v>
      </c>
      <c r="D821" s="31">
        <v>38</v>
      </c>
      <c r="E821" s="11">
        <v>410</v>
      </c>
      <c r="F821" s="14">
        <v>153</v>
      </c>
      <c r="G821" s="14">
        <v>410</v>
      </c>
      <c r="H821" s="14"/>
      <c r="I821" s="206">
        <v>35</v>
      </c>
      <c r="J821" s="206">
        <v>33</v>
      </c>
      <c r="K821" s="74">
        <v>38</v>
      </c>
      <c r="L821" s="74">
        <v>36</v>
      </c>
      <c r="M821" s="292">
        <v>39.200000000000003</v>
      </c>
      <c r="N821" s="14"/>
      <c r="O821" s="14"/>
      <c r="P821" s="305">
        <v>37.200000000000003</v>
      </c>
      <c r="Q821" s="95">
        <v>230</v>
      </c>
      <c r="R821" s="31">
        <v>36</v>
      </c>
      <c r="S821" s="11">
        <v>410</v>
      </c>
      <c r="T821" s="95">
        <v>128</v>
      </c>
      <c r="U821" s="11">
        <v>410</v>
      </c>
      <c r="V821" s="14"/>
      <c r="W821" s="14"/>
      <c r="X821" s="14"/>
      <c r="AC821" s="14"/>
      <c r="AE821" s="14"/>
    </row>
    <row r="822" spans="1:31" s="133" customFormat="1">
      <c r="A822" s="14"/>
      <c r="B822" s="35">
        <v>35.5</v>
      </c>
      <c r="C822" s="95">
        <v>140</v>
      </c>
      <c r="D822" s="31">
        <v>42</v>
      </c>
      <c r="E822" s="11">
        <v>500</v>
      </c>
      <c r="F822" s="14">
        <v>158</v>
      </c>
      <c r="G822" s="14">
        <v>500</v>
      </c>
      <c r="H822" s="14"/>
      <c r="I822" s="206">
        <v>43</v>
      </c>
      <c r="J822" s="206">
        <v>41</v>
      </c>
      <c r="K822" s="74">
        <v>46</v>
      </c>
      <c r="L822" s="74">
        <v>44</v>
      </c>
      <c r="M822" s="292">
        <v>40.5</v>
      </c>
      <c r="N822" s="14"/>
      <c r="O822" s="14"/>
      <c r="P822" s="305">
        <v>38.5</v>
      </c>
      <c r="Q822" s="95">
        <v>140</v>
      </c>
      <c r="R822" s="31">
        <v>40</v>
      </c>
      <c r="S822" s="11">
        <v>500</v>
      </c>
      <c r="T822" s="95">
        <v>133</v>
      </c>
      <c r="U822" s="11">
        <v>500</v>
      </c>
      <c r="V822" s="14"/>
      <c r="W822" s="14"/>
      <c r="X822" s="14"/>
      <c r="AC822" s="14"/>
      <c r="AE822" s="14"/>
    </row>
    <row r="824" spans="1:31" s="13" customFormat="1">
      <c r="A824" s="95" t="s">
        <v>230</v>
      </c>
      <c r="B824" s="95" t="s">
        <v>444</v>
      </c>
      <c r="C824" s="95" t="s">
        <v>471</v>
      </c>
      <c r="D824" s="95" t="s">
        <v>448</v>
      </c>
      <c r="E824" s="95" t="s">
        <v>471</v>
      </c>
      <c r="F824" s="95" t="s">
        <v>451</v>
      </c>
      <c r="G824" s="95" t="s">
        <v>471</v>
      </c>
      <c r="H824" s="95"/>
      <c r="I824" s="95"/>
      <c r="P824" s="95" t="s">
        <v>444</v>
      </c>
      <c r="Q824" s="95" t="s">
        <v>471</v>
      </c>
      <c r="R824" s="95" t="s">
        <v>448</v>
      </c>
      <c r="S824" s="95" t="s">
        <v>471</v>
      </c>
      <c r="T824" s="95" t="s">
        <v>451</v>
      </c>
      <c r="U824" s="95" t="s">
        <v>471</v>
      </c>
      <c r="V824" s="95"/>
      <c r="W824" s="95"/>
    </row>
    <row r="825" spans="1:31" s="13" customFormat="1">
      <c r="A825" s="98" t="s">
        <v>242</v>
      </c>
      <c r="B825" s="13">
        <v>0</v>
      </c>
      <c r="C825" s="13">
        <v>100</v>
      </c>
      <c r="D825" s="13">
        <v>0</v>
      </c>
      <c r="E825" s="13">
        <v>0</v>
      </c>
      <c r="F825" s="35">
        <v>0</v>
      </c>
      <c r="G825" s="13">
        <v>0</v>
      </c>
      <c r="P825" s="13">
        <v>0</v>
      </c>
      <c r="Q825" s="13">
        <v>100</v>
      </c>
      <c r="R825" s="13">
        <v>0</v>
      </c>
      <c r="S825" s="13">
        <v>0</v>
      </c>
      <c r="T825" s="35">
        <v>0</v>
      </c>
      <c r="U825" s="13">
        <v>0</v>
      </c>
    </row>
    <row r="826" spans="1:31" s="13" customFormat="1">
      <c r="A826" s="98" t="s">
        <v>558</v>
      </c>
      <c r="B826" s="34">
        <v>17</v>
      </c>
      <c r="C826" s="13">
        <v>95</v>
      </c>
      <c r="D826" s="13">
        <v>205</v>
      </c>
      <c r="E826" s="13">
        <v>5</v>
      </c>
      <c r="F826" s="35">
        <v>115</v>
      </c>
      <c r="G826" s="13">
        <v>5</v>
      </c>
      <c r="P826" s="34">
        <v>19.809999999999999</v>
      </c>
      <c r="Q826" s="13">
        <v>95</v>
      </c>
      <c r="R826" s="13">
        <v>145</v>
      </c>
      <c r="S826" s="13">
        <v>5</v>
      </c>
      <c r="T826" s="35">
        <v>45</v>
      </c>
      <c r="U826" s="13">
        <v>5</v>
      </c>
    </row>
    <row r="827" spans="1:31" s="13" customFormat="1">
      <c r="A827" s="98" t="s">
        <v>549</v>
      </c>
      <c r="B827" s="13">
        <v>17.21</v>
      </c>
      <c r="C827" s="13">
        <v>90</v>
      </c>
      <c r="D827" s="13">
        <v>210</v>
      </c>
      <c r="E827" s="13">
        <v>10</v>
      </c>
      <c r="F827" s="35">
        <v>120</v>
      </c>
      <c r="G827" s="13">
        <v>10</v>
      </c>
      <c r="P827" s="13">
        <v>20.010000000000002</v>
      </c>
      <c r="Q827" s="13">
        <v>90</v>
      </c>
      <c r="R827" s="13">
        <v>150</v>
      </c>
      <c r="S827" s="13">
        <v>10</v>
      </c>
      <c r="T827" s="35">
        <v>50</v>
      </c>
      <c r="U827" s="13">
        <v>10</v>
      </c>
    </row>
    <row r="828" spans="1:31" s="13" customFormat="1">
      <c r="A828" s="98" t="s">
        <v>211</v>
      </c>
      <c r="B828" s="13">
        <v>17.41</v>
      </c>
      <c r="C828" s="13">
        <v>85</v>
      </c>
      <c r="D828" s="13">
        <v>215</v>
      </c>
      <c r="E828" s="13">
        <v>15</v>
      </c>
      <c r="F828" s="35">
        <v>125</v>
      </c>
      <c r="G828" s="13">
        <v>15</v>
      </c>
      <c r="P828" s="34">
        <v>20.210000000000004</v>
      </c>
      <c r="Q828" s="13">
        <v>85</v>
      </c>
      <c r="R828" s="13">
        <v>155</v>
      </c>
      <c r="S828" s="13">
        <v>15</v>
      </c>
      <c r="T828" s="35">
        <v>55</v>
      </c>
      <c r="U828" s="13">
        <v>15</v>
      </c>
    </row>
    <row r="829" spans="1:31" s="13" customFormat="1">
      <c r="A829" s="98"/>
      <c r="B829" s="13">
        <v>17.61</v>
      </c>
      <c r="C829" s="13">
        <v>80</v>
      </c>
      <c r="D829" s="13">
        <v>220</v>
      </c>
      <c r="E829" s="13">
        <v>20</v>
      </c>
      <c r="F829" s="35">
        <v>130</v>
      </c>
      <c r="G829" s="13">
        <v>20</v>
      </c>
      <c r="P829" s="13">
        <v>20.410000000000007</v>
      </c>
      <c r="Q829" s="13">
        <v>80</v>
      </c>
      <c r="R829" s="13">
        <v>160</v>
      </c>
      <c r="S829" s="13">
        <v>20</v>
      </c>
      <c r="T829" s="35">
        <v>60</v>
      </c>
      <c r="U829" s="13">
        <v>20</v>
      </c>
    </row>
    <row r="830" spans="1:31" s="13" customFormat="1">
      <c r="A830" s="98"/>
      <c r="B830" s="13">
        <v>17.809999999999999</v>
      </c>
      <c r="C830" s="13">
        <v>75</v>
      </c>
      <c r="D830" s="13">
        <v>225</v>
      </c>
      <c r="E830" s="13">
        <v>25</v>
      </c>
      <c r="F830" s="35">
        <v>135</v>
      </c>
      <c r="G830" s="13">
        <v>25</v>
      </c>
      <c r="P830" s="34">
        <v>20.61000000000001</v>
      </c>
      <c r="Q830" s="13">
        <v>75</v>
      </c>
      <c r="R830" s="13">
        <v>165</v>
      </c>
      <c r="S830" s="13">
        <v>25</v>
      </c>
      <c r="T830" s="35">
        <v>65</v>
      </c>
      <c r="U830" s="13">
        <v>25</v>
      </c>
    </row>
    <row r="831" spans="1:31" s="13" customFormat="1">
      <c r="B831" s="13">
        <v>18.009999999999998</v>
      </c>
      <c r="C831" s="13">
        <v>70</v>
      </c>
      <c r="D831" s="13">
        <v>230</v>
      </c>
      <c r="E831" s="13">
        <v>30</v>
      </c>
      <c r="F831" s="35">
        <v>140</v>
      </c>
      <c r="G831" s="13">
        <v>30</v>
      </c>
      <c r="P831" s="13">
        <v>20.810000000000013</v>
      </c>
      <c r="Q831" s="13">
        <v>70</v>
      </c>
      <c r="R831" s="13">
        <v>170</v>
      </c>
      <c r="S831" s="13">
        <v>30</v>
      </c>
      <c r="T831" s="35">
        <v>70</v>
      </c>
      <c r="U831" s="13">
        <v>30</v>
      </c>
    </row>
    <row r="832" spans="1:31" s="13" customFormat="1">
      <c r="B832" s="13">
        <v>18.209999999999997</v>
      </c>
      <c r="C832" s="13">
        <v>65</v>
      </c>
      <c r="D832" s="13">
        <v>235</v>
      </c>
      <c r="E832" s="13">
        <v>35</v>
      </c>
      <c r="F832" s="35">
        <v>145</v>
      </c>
      <c r="G832" s="13">
        <v>35</v>
      </c>
      <c r="P832" s="34">
        <v>21.010000000000016</v>
      </c>
      <c r="Q832" s="13">
        <v>65</v>
      </c>
      <c r="R832" s="13">
        <v>175</v>
      </c>
      <c r="S832" s="13">
        <v>35</v>
      </c>
      <c r="T832" s="35">
        <v>75</v>
      </c>
      <c r="U832" s="13">
        <v>35</v>
      </c>
    </row>
    <row r="833" spans="1:31" s="13" customFormat="1">
      <c r="B833" s="13">
        <v>18.409999999999997</v>
      </c>
      <c r="C833" s="13">
        <v>60</v>
      </c>
      <c r="D833" s="13">
        <v>240</v>
      </c>
      <c r="E833" s="13">
        <v>40</v>
      </c>
      <c r="F833" s="35">
        <v>150</v>
      </c>
      <c r="G833" s="13">
        <v>40</v>
      </c>
      <c r="P833" s="13">
        <v>21.210000000000019</v>
      </c>
      <c r="Q833" s="13">
        <v>60</v>
      </c>
      <c r="R833" s="13">
        <v>180</v>
      </c>
      <c r="S833" s="13">
        <v>40</v>
      </c>
      <c r="T833" s="35">
        <v>80</v>
      </c>
      <c r="U833" s="13">
        <v>40</v>
      </c>
    </row>
    <row r="834" spans="1:31" s="13" customFormat="1">
      <c r="B834" s="13">
        <v>18.609999999999996</v>
      </c>
      <c r="C834" s="13">
        <v>55</v>
      </c>
      <c r="D834" s="13">
        <v>245</v>
      </c>
      <c r="E834" s="13">
        <v>45</v>
      </c>
      <c r="F834" s="35">
        <v>155</v>
      </c>
      <c r="G834" s="13">
        <v>45</v>
      </c>
      <c r="P834" s="34">
        <v>21.410000000000021</v>
      </c>
      <c r="Q834" s="13">
        <v>55</v>
      </c>
      <c r="R834" s="13">
        <v>185</v>
      </c>
      <c r="S834" s="13">
        <v>45</v>
      </c>
      <c r="T834" s="35">
        <v>85</v>
      </c>
      <c r="U834" s="13">
        <v>45</v>
      </c>
    </row>
    <row r="835" spans="1:31" s="13" customFormat="1">
      <c r="B835" s="13">
        <v>18.809999999999995</v>
      </c>
      <c r="C835" s="13">
        <v>50</v>
      </c>
      <c r="D835" s="13">
        <v>250</v>
      </c>
      <c r="E835" s="13">
        <v>50</v>
      </c>
      <c r="F835" s="35">
        <v>160</v>
      </c>
      <c r="G835" s="13">
        <v>50</v>
      </c>
      <c r="P835" s="13">
        <v>21.610000000000024</v>
      </c>
      <c r="Q835" s="13">
        <v>50</v>
      </c>
      <c r="R835" s="13">
        <v>190</v>
      </c>
      <c r="S835" s="13">
        <v>50</v>
      </c>
      <c r="T835" s="35">
        <v>90</v>
      </c>
      <c r="U835" s="13">
        <v>50</v>
      </c>
    </row>
    <row r="836" spans="1:31" s="13" customFormat="1">
      <c r="B836" s="13">
        <v>19.009999999999994</v>
      </c>
      <c r="C836" s="13">
        <v>45</v>
      </c>
      <c r="D836" s="13">
        <v>255</v>
      </c>
      <c r="E836" s="13">
        <v>55</v>
      </c>
      <c r="F836" s="35">
        <v>165</v>
      </c>
      <c r="G836" s="13">
        <v>55</v>
      </c>
      <c r="P836" s="34">
        <v>21.810000000000027</v>
      </c>
      <c r="Q836" s="13">
        <v>45</v>
      </c>
      <c r="R836" s="13">
        <v>195</v>
      </c>
      <c r="S836" s="13">
        <v>55</v>
      </c>
      <c r="T836" s="35">
        <v>95</v>
      </c>
      <c r="U836" s="13">
        <v>55</v>
      </c>
    </row>
    <row r="837" spans="1:31" s="13" customFormat="1">
      <c r="B837" s="13">
        <v>19.209999999999994</v>
      </c>
      <c r="C837" s="13">
        <v>40</v>
      </c>
      <c r="D837" s="13">
        <v>260</v>
      </c>
      <c r="E837" s="13">
        <v>60</v>
      </c>
      <c r="F837" s="35">
        <v>170</v>
      </c>
      <c r="G837" s="13">
        <v>60</v>
      </c>
      <c r="P837" s="13">
        <v>22.01000000000003</v>
      </c>
      <c r="Q837" s="13">
        <v>40</v>
      </c>
      <c r="R837" s="13">
        <v>200</v>
      </c>
      <c r="S837" s="13">
        <v>60</v>
      </c>
      <c r="T837" s="35">
        <v>100</v>
      </c>
      <c r="U837" s="13">
        <v>60</v>
      </c>
    </row>
    <row r="838" spans="1:31" s="13" customFormat="1">
      <c r="B838" s="13">
        <v>19.409999999999993</v>
      </c>
      <c r="C838" s="13">
        <v>35</v>
      </c>
      <c r="D838" s="13">
        <v>265</v>
      </c>
      <c r="E838" s="13">
        <v>65</v>
      </c>
      <c r="F838" s="35">
        <v>175</v>
      </c>
      <c r="G838" s="13">
        <v>65</v>
      </c>
      <c r="P838" s="34">
        <v>22.210000000000033</v>
      </c>
      <c r="Q838" s="13">
        <v>35</v>
      </c>
      <c r="R838" s="13">
        <v>205</v>
      </c>
      <c r="S838" s="13">
        <v>65</v>
      </c>
      <c r="T838" s="35">
        <v>105</v>
      </c>
      <c r="U838" s="13">
        <v>65</v>
      </c>
    </row>
    <row r="839" spans="1:31" s="13" customFormat="1">
      <c r="B839" s="13">
        <v>19.609999999999992</v>
      </c>
      <c r="C839" s="13">
        <v>30</v>
      </c>
      <c r="D839" s="13">
        <v>270</v>
      </c>
      <c r="E839" s="13">
        <v>70</v>
      </c>
      <c r="F839" s="35">
        <v>180</v>
      </c>
      <c r="G839" s="13">
        <v>70</v>
      </c>
      <c r="P839" s="13">
        <v>22.410000000000036</v>
      </c>
      <c r="Q839" s="13">
        <v>30</v>
      </c>
      <c r="R839" s="13">
        <v>210</v>
      </c>
      <c r="S839" s="13">
        <v>70</v>
      </c>
      <c r="T839" s="35">
        <v>110</v>
      </c>
      <c r="U839" s="13">
        <v>70</v>
      </c>
    </row>
    <row r="840" spans="1:31" s="13" customFormat="1">
      <c r="B840" s="13">
        <v>19.809999999999992</v>
      </c>
      <c r="C840" s="13">
        <v>25</v>
      </c>
      <c r="D840" s="13">
        <v>275</v>
      </c>
      <c r="E840" s="13">
        <v>75</v>
      </c>
      <c r="F840" s="35">
        <v>185</v>
      </c>
      <c r="G840" s="13">
        <v>75</v>
      </c>
      <c r="P840" s="34">
        <v>22.610000000000039</v>
      </c>
      <c r="Q840" s="13">
        <v>25</v>
      </c>
      <c r="R840" s="13">
        <v>215</v>
      </c>
      <c r="S840" s="13">
        <v>75</v>
      </c>
      <c r="T840" s="35">
        <v>115</v>
      </c>
      <c r="U840" s="13">
        <v>75</v>
      </c>
    </row>
    <row r="841" spans="1:31" s="13" customFormat="1">
      <c r="B841" s="13">
        <v>20.009999999999991</v>
      </c>
      <c r="C841" s="13">
        <v>20</v>
      </c>
      <c r="D841" s="13">
        <v>280</v>
      </c>
      <c r="E841" s="13">
        <v>80</v>
      </c>
      <c r="F841" s="35">
        <v>190</v>
      </c>
      <c r="G841" s="13">
        <v>80</v>
      </c>
      <c r="P841" s="13">
        <v>22.810000000000041</v>
      </c>
      <c r="Q841" s="13">
        <v>20</v>
      </c>
      <c r="R841" s="13">
        <v>220</v>
      </c>
      <c r="S841" s="13">
        <v>80</v>
      </c>
      <c r="T841" s="35">
        <v>120</v>
      </c>
      <c r="U841" s="13">
        <v>80</v>
      </c>
    </row>
    <row r="842" spans="1:31" s="13" customFormat="1">
      <c r="B842" s="13">
        <v>20.20999999999999</v>
      </c>
      <c r="C842" s="13">
        <v>15</v>
      </c>
      <c r="D842" s="13">
        <v>285</v>
      </c>
      <c r="E842" s="13">
        <v>85</v>
      </c>
      <c r="F842" s="35">
        <v>195</v>
      </c>
      <c r="G842" s="13">
        <v>85</v>
      </c>
      <c r="P842" s="34">
        <v>23.010000000000044</v>
      </c>
      <c r="Q842" s="13">
        <v>15</v>
      </c>
      <c r="R842" s="13">
        <v>225</v>
      </c>
      <c r="S842" s="13">
        <v>85</v>
      </c>
      <c r="T842" s="35">
        <v>125</v>
      </c>
      <c r="U842" s="13">
        <v>85</v>
      </c>
    </row>
    <row r="843" spans="1:31" s="13" customFormat="1">
      <c r="B843" s="13">
        <v>20.409999999999989</v>
      </c>
      <c r="C843" s="13">
        <v>10</v>
      </c>
      <c r="D843" s="13">
        <v>290</v>
      </c>
      <c r="E843" s="13">
        <v>90</v>
      </c>
      <c r="F843" s="35">
        <v>200</v>
      </c>
      <c r="G843" s="13">
        <v>90</v>
      </c>
      <c r="P843" s="13">
        <v>23.210000000000047</v>
      </c>
      <c r="Q843" s="13">
        <v>10</v>
      </c>
      <c r="R843" s="13">
        <v>230</v>
      </c>
      <c r="S843" s="13">
        <v>90</v>
      </c>
      <c r="T843" s="35">
        <v>130</v>
      </c>
      <c r="U843" s="13">
        <v>90</v>
      </c>
    </row>
    <row r="844" spans="1:31" s="13" customFormat="1">
      <c r="B844" s="13">
        <v>20.609999999999989</v>
      </c>
      <c r="C844" s="13">
        <v>5</v>
      </c>
      <c r="D844" s="13">
        <v>295</v>
      </c>
      <c r="E844" s="13">
        <v>95</v>
      </c>
      <c r="F844" s="35">
        <v>205</v>
      </c>
      <c r="G844" s="13">
        <v>95</v>
      </c>
      <c r="P844" s="34">
        <v>23.41000000000005</v>
      </c>
      <c r="Q844" s="13">
        <v>5</v>
      </c>
      <c r="R844" s="13">
        <v>235</v>
      </c>
      <c r="S844" s="13">
        <v>95</v>
      </c>
      <c r="T844" s="35">
        <v>135</v>
      </c>
      <c r="U844" s="13">
        <v>95</v>
      </c>
    </row>
    <row r="845" spans="1:31" s="13" customFormat="1">
      <c r="B845" s="13">
        <v>20.809999999999988</v>
      </c>
      <c r="C845" s="13">
        <v>0</v>
      </c>
      <c r="D845" s="13">
        <v>300</v>
      </c>
      <c r="E845" s="13">
        <v>100</v>
      </c>
      <c r="F845" s="35">
        <v>210</v>
      </c>
      <c r="G845" s="13">
        <v>100</v>
      </c>
      <c r="P845" s="13">
        <v>23.610000000000053</v>
      </c>
      <c r="Q845" s="13">
        <v>0</v>
      </c>
      <c r="R845" s="13">
        <v>240</v>
      </c>
      <c r="S845" s="13">
        <v>100</v>
      </c>
      <c r="T845" s="35">
        <v>140</v>
      </c>
      <c r="U845" s="13">
        <v>100</v>
      </c>
    </row>
    <row r="846" spans="1:31" s="13" customFormat="1">
      <c r="B846" s="34"/>
      <c r="F846" s="35"/>
      <c r="P846" s="34"/>
      <c r="T846" s="35"/>
    </row>
    <row r="847" spans="1:31" s="133" customFormat="1">
      <c r="A847" s="95" t="s">
        <v>169</v>
      </c>
      <c r="B847" s="95" t="s">
        <v>331</v>
      </c>
      <c r="C847" s="95" t="s">
        <v>471</v>
      </c>
      <c r="D847" s="95" t="s">
        <v>448</v>
      </c>
      <c r="E847" s="95" t="s">
        <v>471</v>
      </c>
      <c r="F847" s="95" t="s">
        <v>497</v>
      </c>
      <c r="G847" s="95" t="s">
        <v>471</v>
      </c>
      <c r="H847" s="95" t="s">
        <v>473</v>
      </c>
      <c r="I847" s="95" t="s">
        <v>471</v>
      </c>
      <c r="J847" s="14"/>
      <c r="K847" s="14"/>
      <c r="L847" s="14"/>
      <c r="M847" s="14"/>
      <c r="N847" s="95" t="s">
        <v>473</v>
      </c>
      <c r="O847" s="95" t="s">
        <v>471</v>
      </c>
      <c r="P847" s="95" t="s">
        <v>306</v>
      </c>
      <c r="Q847" s="95" t="s">
        <v>471</v>
      </c>
      <c r="R847" s="95" t="s">
        <v>448</v>
      </c>
      <c r="S847" s="95" t="s">
        <v>471</v>
      </c>
      <c r="T847" s="95" t="s">
        <v>497</v>
      </c>
      <c r="U847" s="95" t="s">
        <v>471</v>
      </c>
      <c r="V847" s="95"/>
      <c r="W847" s="95"/>
      <c r="X847" s="14"/>
      <c r="AC847" s="14"/>
      <c r="AE847" s="14"/>
    </row>
    <row r="848" spans="1:31" s="133" customFormat="1">
      <c r="A848" s="98"/>
      <c r="B848" s="14">
        <v>0</v>
      </c>
      <c r="C848" s="14">
        <v>100</v>
      </c>
      <c r="D848" s="14">
        <v>0</v>
      </c>
      <c r="E848" s="14">
        <v>50</v>
      </c>
      <c r="F848" s="14">
        <v>0</v>
      </c>
      <c r="G848" s="11">
        <v>50</v>
      </c>
      <c r="H848" s="14">
        <v>0</v>
      </c>
      <c r="I848" s="11">
        <v>100</v>
      </c>
      <c r="J848" s="14"/>
      <c r="K848" s="14"/>
      <c r="L848" s="14"/>
      <c r="M848" s="14"/>
      <c r="N848" s="11">
        <v>0</v>
      </c>
      <c r="O848" s="11">
        <v>100</v>
      </c>
      <c r="P848" s="14">
        <v>0</v>
      </c>
      <c r="Q848" s="11">
        <v>100</v>
      </c>
      <c r="R848" s="14">
        <v>0</v>
      </c>
      <c r="S848" s="11">
        <v>50</v>
      </c>
      <c r="T848" s="14">
        <v>0</v>
      </c>
      <c r="U848" s="11">
        <v>50</v>
      </c>
      <c r="V848" s="14"/>
      <c r="W848" s="14"/>
      <c r="X848" s="14"/>
      <c r="AC848" s="14"/>
      <c r="AE848" s="14"/>
    </row>
    <row r="849" spans="1:31" s="133" customFormat="1">
      <c r="A849" s="98"/>
      <c r="B849" s="34">
        <v>12.01</v>
      </c>
      <c r="C849" s="14">
        <v>93</v>
      </c>
      <c r="D849" s="14">
        <v>260</v>
      </c>
      <c r="E849" s="14">
        <v>58</v>
      </c>
      <c r="F849" s="35">
        <v>14</v>
      </c>
      <c r="G849" s="11">
        <v>58</v>
      </c>
      <c r="H849" s="14">
        <v>14.41</v>
      </c>
      <c r="I849" s="11">
        <v>93</v>
      </c>
      <c r="J849" s="14"/>
      <c r="K849" s="14"/>
      <c r="L849" s="14"/>
      <c r="M849" s="14"/>
      <c r="N849" s="11">
        <v>15.81</v>
      </c>
      <c r="O849" s="11">
        <v>93</v>
      </c>
      <c r="P849" s="34">
        <v>14.01</v>
      </c>
      <c r="Q849" s="11">
        <v>93</v>
      </c>
      <c r="R849" s="14">
        <v>220</v>
      </c>
      <c r="S849" s="11">
        <v>58</v>
      </c>
      <c r="T849" s="35">
        <v>10</v>
      </c>
      <c r="U849" s="11">
        <v>58</v>
      </c>
      <c r="V849" s="14"/>
      <c r="W849" s="14"/>
      <c r="X849" s="14"/>
      <c r="AC849" s="14"/>
      <c r="AE849" s="14"/>
    </row>
    <row r="850" spans="1:31" s="133" customFormat="1">
      <c r="A850" s="14"/>
      <c r="B850" s="34">
        <v>12.21</v>
      </c>
      <c r="C850" s="14">
        <v>86</v>
      </c>
      <c r="D850" s="14">
        <v>265</v>
      </c>
      <c r="E850" s="14">
        <v>65</v>
      </c>
      <c r="F850" s="35">
        <v>15</v>
      </c>
      <c r="G850" s="11">
        <v>65</v>
      </c>
      <c r="H850" s="14">
        <v>14.51</v>
      </c>
      <c r="I850" s="11">
        <v>86</v>
      </c>
      <c r="J850" s="14"/>
      <c r="K850" s="14"/>
      <c r="L850" s="14"/>
      <c r="M850" s="14"/>
      <c r="N850" s="11">
        <v>15.91</v>
      </c>
      <c r="O850" s="11">
        <v>86</v>
      </c>
      <c r="P850" s="34">
        <v>14.21</v>
      </c>
      <c r="Q850" s="11">
        <v>86</v>
      </c>
      <c r="R850" s="14">
        <v>225</v>
      </c>
      <c r="S850" s="11">
        <v>65</v>
      </c>
      <c r="T850" s="35">
        <v>11</v>
      </c>
      <c r="U850" s="11">
        <v>65</v>
      </c>
      <c r="V850" s="14"/>
      <c r="W850" s="14"/>
      <c r="X850" s="14"/>
      <c r="AC850" s="14"/>
      <c r="AE850" s="14"/>
    </row>
    <row r="851" spans="1:31" s="14" customFormat="1">
      <c r="B851" s="34">
        <v>12.410000000000002</v>
      </c>
      <c r="C851" s="14">
        <v>79</v>
      </c>
      <c r="D851" s="14">
        <v>270</v>
      </c>
      <c r="E851" s="14">
        <v>72</v>
      </c>
      <c r="F851" s="35">
        <v>16</v>
      </c>
      <c r="G851" s="11">
        <v>72</v>
      </c>
      <c r="H851" s="14">
        <v>14.61</v>
      </c>
      <c r="I851" s="11">
        <v>79</v>
      </c>
      <c r="N851" s="11">
        <v>16.009999999999998</v>
      </c>
      <c r="O851" s="11">
        <v>79</v>
      </c>
      <c r="P851" s="34">
        <v>14.410000000000002</v>
      </c>
      <c r="Q851" s="11">
        <v>79</v>
      </c>
      <c r="R851" s="14">
        <v>230</v>
      </c>
      <c r="S851" s="11">
        <v>72</v>
      </c>
      <c r="T851" s="35">
        <v>12</v>
      </c>
      <c r="U851" s="11">
        <v>72</v>
      </c>
    </row>
    <row r="852" spans="1:31" s="14" customFormat="1">
      <c r="B852" s="34">
        <v>12.610000000000003</v>
      </c>
      <c r="C852" s="14">
        <v>72</v>
      </c>
      <c r="D852" s="14">
        <v>275</v>
      </c>
      <c r="E852" s="14">
        <v>79</v>
      </c>
      <c r="F852" s="35">
        <v>17</v>
      </c>
      <c r="G852" s="11">
        <v>79</v>
      </c>
      <c r="H852" s="14">
        <v>14.709999999999999</v>
      </c>
      <c r="I852" s="11">
        <v>72</v>
      </c>
      <c r="N852" s="11">
        <v>16.11</v>
      </c>
      <c r="O852" s="11">
        <v>72</v>
      </c>
      <c r="P852" s="34">
        <v>14.610000000000003</v>
      </c>
      <c r="Q852" s="11">
        <v>72</v>
      </c>
      <c r="R852" s="14">
        <v>235</v>
      </c>
      <c r="S852" s="11">
        <v>79</v>
      </c>
      <c r="T852" s="35">
        <v>13</v>
      </c>
      <c r="U852" s="11">
        <v>79</v>
      </c>
    </row>
    <row r="853" spans="1:31" s="14" customFormat="1">
      <c r="B853" s="34">
        <v>12.810000000000004</v>
      </c>
      <c r="C853" s="14">
        <v>65</v>
      </c>
      <c r="D853" s="14">
        <v>280</v>
      </c>
      <c r="E853" s="14">
        <v>86</v>
      </c>
      <c r="F853" s="35">
        <v>18</v>
      </c>
      <c r="G853" s="11">
        <v>86</v>
      </c>
      <c r="H853" s="14">
        <v>14.809999999999999</v>
      </c>
      <c r="I853" s="11">
        <v>65</v>
      </c>
      <c r="N853" s="11">
        <v>16.21</v>
      </c>
      <c r="O853" s="11">
        <v>65</v>
      </c>
      <c r="P853" s="34">
        <v>14.810000000000004</v>
      </c>
      <c r="Q853" s="11">
        <v>65</v>
      </c>
      <c r="R853" s="14">
        <v>240</v>
      </c>
      <c r="S853" s="11">
        <v>86</v>
      </c>
      <c r="T853" s="35">
        <v>14</v>
      </c>
      <c r="U853" s="11">
        <v>86</v>
      </c>
    </row>
    <row r="854" spans="1:31" s="14" customFormat="1">
      <c r="B854" s="34">
        <v>13.010000000000005</v>
      </c>
      <c r="C854" s="14">
        <v>58</v>
      </c>
      <c r="D854" s="14">
        <v>285</v>
      </c>
      <c r="E854" s="14">
        <v>93</v>
      </c>
      <c r="F854" s="35">
        <v>19</v>
      </c>
      <c r="G854" s="11">
        <v>93</v>
      </c>
      <c r="H854" s="14">
        <v>14.909999999999998</v>
      </c>
      <c r="I854" s="11">
        <v>58</v>
      </c>
      <c r="N854" s="11">
        <v>16.309999999999999</v>
      </c>
      <c r="O854" s="11">
        <v>58</v>
      </c>
      <c r="P854" s="34">
        <v>15.010000000000005</v>
      </c>
      <c r="Q854" s="11">
        <v>58</v>
      </c>
      <c r="R854" s="14">
        <v>245</v>
      </c>
      <c r="S854" s="11">
        <v>93</v>
      </c>
      <c r="T854" s="35">
        <v>15</v>
      </c>
      <c r="U854" s="11">
        <v>93</v>
      </c>
    </row>
    <row r="855" spans="1:31" s="14" customFormat="1">
      <c r="B855" s="34">
        <v>13.210000000000006</v>
      </c>
      <c r="C855" s="14">
        <v>50</v>
      </c>
      <c r="D855" s="14">
        <v>290</v>
      </c>
      <c r="E855" s="14">
        <v>100</v>
      </c>
      <c r="F855" s="35">
        <v>20</v>
      </c>
      <c r="G855" s="11">
        <v>100</v>
      </c>
      <c r="H855" s="14">
        <v>15.009999999999998</v>
      </c>
      <c r="I855" s="11">
        <v>50</v>
      </c>
      <c r="N855" s="11">
        <v>16.409999999999997</v>
      </c>
      <c r="O855" s="11">
        <v>50</v>
      </c>
      <c r="P855" s="34">
        <v>15.210000000000006</v>
      </c>
      <c r="Q855" s="11">
        <v>50</v>
      </c>
      <c r="R855" s="14">
        <v>250</v>
      </c>
      <c r="S855" s="11">
        <v>100</v>
      </c>
      <c r="T855" s="35">
        <v>16</v>
      </c>
      <c r="U855" s="11">
        <v>100</v>
      </c>
    </row>
    <row r="856" spans="1:31" s="14" customFormat="1">
      <c r="B856" s="34"/>
      <c r="F856" s="35"/>
      <c r="P856" s="34"/>
      <c r="T856" s="35"/>
    </row>
    <row r="857" spans="1:31" s="14" customFormat="1">
      <c r="A857" s="14" t="s">
        <v>551</v>
      </c>
      <c r="B857" s="34" t="s">
        <v>314</v>
      </c>
      <c r="C857" s="14" t="s">
        <v>471</v>
      </c>
      <c r="D857" s="14" t="s">
        <v>448</v>
      </c>
      <c r="E857" s="14" t="s">
        <v>471</v>
      </c>
      <c r="F857" s="35" t="s">
        <v>452</v>
      </c>
      <c r="G857" s="14" t="s">
        <v>471</v>
      </c>
      <c r="P857" s="34" t="s">
        <v>314</v>
      </c>
      <c r="Q857" s="14" t="s">
        <v>471</v>
      </c>
      <c r="R857" s="14" t="s">
        <v>448</v>
      </c>
      <c r="S857" s="14" t="s">
        <v>471</v>
      </c>
      <c r="T857" s="35" t="s">
        <v>452</v>
      </c>
      <c r="U857" s="14" t="s">
        <v>471</v>
      </c>
    </row>
    <row r="858" spans="1:31" s="14" customFormat="1">
      <c r="A858" s="98" t="s">
        <v>186</v>
      </c>
      <c r="B858" s="34">
        <v>0</v>
      </c>
      <c r="C858" s="14">
        <v>100</v>
      </c>
      <c r="D858" s="14">
        <v>0</v>
      </c>
      <c r="E858" s="14">
        <v>50</v>
      </c>
      <c r="F858" s="35">
        <v>0</v>
      </c>
      <c r="G858" s="11">
        <v>50</v>
      </c>
      <c r="P858" s="34">
        <v>0</v>
      </c>
      <c r="Q858" s="11">
        <v>100</v>
      </c>
      <c r="R858" s="14">
        <v>0</v>
      </c>
      <c r="S858" s="11">
        <v>50</v>
      </c>
      <c r="T858" s="35">
        <v>0</v>
      </c>
      <c r="U858" s="11">
        <v>50</v>
      </c>
    </row>
    <row r="859" spans="1:31" s="14" customFormat="1">
      <c r="A859" s="98"/>
      <c r="B859" s="34">
        <v>14.61</v>
      </c>
      <c r="C859" s="14">
        <v>93</v>
      </c>
      <c r="D859" s="14">
        <v>252</v>
      </c>
      <c r="E859" s="14">
        <v>58</v>
      </c>
      <c r="F859" s="35">
        <v>14</v>
      </c>
      <c r="G859" s="11">
        <v>58</v>
      </c>
      <c r="P859" s="34">
        <v>16.21</v>
      </c>
      <c r="Q859" s="11">
        <v>93</v>
      </c>
      <c r="R859" s="14">
        <v>202</v>
      </c>
      <c r="S859" s="11">
        <v>58</v>
      </c>
      <c r="T859" s="35">
        <v>10</v>
      </c>
      <c r="U859" s="11">
        <v>58</v>
      </c>
    </row>
    <row r="860" spans="1:31" s="14" customFormat="1">
      <c r="A860" s="98" t="s">
        <v>210</v>
      </c>
      <c r="B860" s="34">
        <v>14.81</v>
      </c>
      <c r="C860" s="14">
        <v>86</v>
      </c>
      <c r="D860" s="14">
        <v>260</v>
      </c>
      <c r="E860" s="14">
        <v>65</v>
      </c>
      <c r="F860" s="35">
        <v>15</v>
      </c>
      <c r="G860" s="11">
        <v>65</v>
      </c>
      <c r="P860" s="34">
        <v>16.46</v>
      </c>
      <c r="Q860" s="11">
        <v>86</v>
      </c>
      <c r="R860" s="14">
        <v>210</v>
      </c>
      <c r="S860" s="11">
        <v>65</v>
      </c>
      <c r="T860" s="35">
        <v>11</v>
      </c>
      <c r="U860" s="11">
        <v>65</v>
      </c>
    </row>
    <row r="861" spans="1:31" s="14" customFormat="1">
      <c r="A861" s="189" t="s">
        <v>563</v>
      </c>
      <c r="B861" s="34">
        <v>15.010000000000002</v>
      </c>
      <c r="C861" s="14">
        <v>79</v>
      </c>
      <c r="D861" s="14">
        <v>268</v>
      </c>
      <c r="E861" s="14">
        <v>72</v>
      </c>
      <c r="F861" s="35">
        <v>16</v>
      </c>
      <c r="G861" s="11">
        <v>72</v>
      </c>
      <c r="P861" s="34">
        <v>16.71</v>
      </c>
      <c r="Q861" s="11">
        <v>79</v>
      </c>
      <c r="R861" s="14">
        <v>218</v>
      </c>
      <c r="S861" s="11">
        <v>72</v>
      </c>
      <c r="T861" s="35">
        <v>12</v>
      </c>
      <c r="U861" s="11">
        <v>72</v>
      </c>
    </row>
    <row r="862" spans="1:31" s="14" customFormat="1">
      <c r="A862" s="189" t="s">
        <v>554</v>
      </c>
      <c r="B862" s="34">
        <v>15.210000000000003</v>
      </c>
      <c r="C862" s="14">
        <v>72</v>
      </c>
      <c r="D862" s="14">
        <v>276</v>
      </c>
      <c r="E862" s="14">
        <v>79</v>
      </c>
      <c r="F862" s="35">
        <v>17</v>
      </c>
      <c r="G862" s="11">
        <v>79</v>
      </c>
      <c r="P862" s="34">
        <v>16.96</v>
      </c>
      <c r="Q862" s="11">
        <v>72</v>
      </c>
      <c r="R862" s="14">
        <v>226</v>
      </c>
      <c r="S862" s="11">
        <v>79</v>
      </c>
      <c r="T862" s="35">
        <v>13</v>
      </c>
      <c r="U862" s="11">
        <v>79</v>
      </c>
    </row>
    <row r="863" spans="1:31" s="14" customFormat="1">
      <c r="B863" s="34">
        <v>15.410000000000004</v>
      </c>
      <c r="C863" s="14">
        <v>65</v>
      </c>
      <c r="D863" s="14">
        <v>284</v>
      </c>
      <c r="E863" s="14">
        <v>86</v>
      </c>
      <c r="F863" s="35">
        <v>18</v>
      </c>
      <c r="G863" s="11">
        <v>86</v>
      </c>
      <c r="P863" s="34">
        <v>17.21</v>
      </c>
      <c r="Q863" s="11">
        <v>65</v>
      </c>
      <c r="R863" s="14">
        <v>234</v>
      </c>
      <c r="S863" s="11">
        <v>86</v>
      </c>
      <c r="T863" s="35">
        <v>14</v>
      </c>
      <c r="U863" s="11">
        <v>86</v>
      </c>
    </row>
    <row r="864" spans="1:31" s="14" customFormat="1">
      <c r="B864" s="34">
        <v>15.610000000000005</v>
      </c>
      <c r="C864" s="14">
        <v>58</v>
      </c>
      <c r="D864" s="14">
        <v>292</v>
      </c>
      <c r="E864" s="14">
        <v>93</v>
      </c>
      <c r="F864" s="35">
        <v>19</v>
      </c>
      <c r="G864" s="11">
        <v>93</v>
      </c>
      <c r="P864" s="34">
        <v>17.46</v>
      </c>
      <c r="Q864" s="11">
        <v>58</v>
      </c>
      <c r="R864" s="14">
        <v>242</v>
      </c>
      <c r="S864" s="11">
        <v>93</v>
      </c>
      <c r="T864" s="35">
        <v>15</v>
      </c>
      <c r="U864" s="11">
        <v>93</v>
      </c>
    </row>
    <row r="865" spans="1:31" s="14" customFormat="1">
      <c r="B865" s="34">
        <v>15.810000000000006</v>
      </c>
      <c r="C865" s="14">
        <v>50</v>
      </c>
      <c r="D865" s="14">
        <v>300</v>
      </c>
      <c r="E865" s="14">
        <v>100</v>
      </c>
      <c r="F865" s="35">
        <v>20</v>
      </c>
      <c r="G865" s="11">
        <v>100</v>
      </c>
      <c r="P865" s="34">
        <v>17.71</v>
      </c>
      <c r="Q865" s="11">
        <v>50</v>
      </c>
      <c r="R865" s="14">
        <v>250</v>
      </c>
      <c r="S865" s="11">
        <v>100</v>
      </c>
      <c r="T865" s="35">
        <v>16</v>
      </c>
      <c r="U865" s="11">
        <v>100</v>
      </c>
    </row>
    <row r="867" spans="1:31" s="133" customFormat="1">
      <c r="A867" s="14" t="s">
        <v>146</v>
      </c>
      <c r="B867" s="468" t="s">
        <v>444</v>
      </c>
      <c r="C867" s="468" t="s">
        <v>432</v>
      </c>
      <c r="D867" s="14" t="s">
        <v>448</v>
      </c>
      <c r="E867" s="14" t="s">
        <v>471</v>
      </c>
      <c r="F867" s="14" t="s">
        <v>470</v>
      </c>
      <c r="G867" s="14" t="s">
        <v>471</v>
      </c>
      <c r="H867" s="308" t="s">
        <v>680</v>
      </c>
      <c r="I867" s="308" t="s">
        <v>471</v>
      </c>
      <c r="J867" s="14"/>
      <c r="K867" s="292" t="s">
        <v>463</v>
      </c>
      <c r="L867" s="292" t="s">
        <v>471</v>
      </c>
      <c r="M867" s="14"/>
      <c r="N867" s="74" t="s">
        <v>317</v>
      </c>
      <c r="O867" s="14"/>
      <c r="P867" s="470" t="s">
        <v>444</v>
      </c>
      <c r="Q867" s="470" t="s">
        <v>432</v>
      </c>
      <c r="R867" s="14" t="s">
        <v>448</v>
      </c>
      <c r="S867" s="14" t="s">
        <v>471</v>
      </c>
      <c r="T867" s="14" t="s">
        <v>470</v>
      </c>
      <c r="U867" s="14" t="s">
        <v>471</v>
      </c>
      <c r="V867" s="308" t="s">
        <v>284</v>
      </c>
      <c r="W867" s="308" t="s">
        <v>471</v>
      </c>
      <c r="X867" s="292" t="s">
        <v>284</v>
      </c>
      <c r="Y867" s="292" t="s">
        <v>471</v>
      </c>
      <c r="AC867" s="14"/>
      <c r="AE867" s="14"/>
    </row>
    <row r="868" spans="1:31" s="133" customFormat="1">
      <c r="A868" s="74" t="s">
        <v>586</v>
      </c>
      <c r="B868" s="469">
        <v>0</v>
      </c>
      <c r="C868" s="468">
        <v>125</v>
      </c>
      <c r="D868" s="14"/>
      <c r="E868" s="14">
        <v>0</v>
      </c>
      <c r="F868" s="14"/>
      <c r="G868" s="14"/>
      <c r="H868" s="308">
        <v>0</v>
      </c>
      <c r="I868" s="308"/>
      <c r="J868" s="14"/>
      <c r="K868" s="292">
        <v>0</v>
      </c>
      <c r="L868" s="292"/>
      <c r="M868" s="14"/>
      <c r="N868" s="74">
        <v>150</v>
      </c>
      <c r="O868" s="14"/>
      <c r="P868" s="471">
        <v>0</v>
      </c>
      <c r="Q868" s="470">
        <v>125</v>
      </c>
      <c r="R868" s="14"/>
      <c r="S868" s="14"/>
      <c r="T868" s="14"/>
      <c r="U868" s="14"/>
      <c r="V868" s="308"/>
      <c r="W868" s="308"/>
      <c r="X868" s="292"/>
      <c r="Y868" s="292"/>
      <c r="AC868" s="14"/>
      <c r="AE868" s="14"/>
    </row>
    <row r="869" spans="1:31" s="133" customFormat="1">
      <c r="A869" s="74" t="s">
        <v>310</v>
      </c>
      <c r="B869" s="469">
        <v>19.100000000000001</v>
      </c>
      <c r="C869" s="468">
        <v>123</v>
      </c>
      <c r="D869" s="14"/>
      <c r="E869" s="14">
        <v>0</v>
      </c>
      <c r="F869" s="14"/>
      <c r="G869" s="14"/>
      <c r="H869" s="308"/>
      <c r="I869" s="308"/>
      <c r="J869" s="14"/>
      <c r="K869" s="292">
        <v>2</v>
      </c>
      <c r="L869" s="292"/>
      <c r="M869" s="14"/>
      <c r="N869" s="74">
        <v>148</v>
      </c>
      <c r="O869" s="14"/>
      <c r="P869" s="471">
        <v>21.1</v>
      </c>
      <c r="Q869" s="470">
        <v>123</v>
      </c>
      <c r="R869" s="14"/>
      <c r="S869" s="14"/>
      <c r="T869" s="14"/>
      <c r="U869" s="14"/>
      <c r="V869" s="308"/>
      <c r="W869" s="308"/>
      <c r="X869" s="292"/>
      <c r="Y869" s="292"/>
      <c r="AC869" s="14"/>
      <c r="AE869" s="14"/>
    </row>
    <row r="870" spans="1:31" s="133" customFormat="1">
      <c r="A870" s="95"/>
      <c r="B870" s="469">
        <v>19.5</v>
      </c>
      <c r="C870" s="468">
        <v>121</v>
      </c>
      <c r="D870" s="14"/>
      <c r="E870" s="14">
        <v>0</v>
      </c>
      <c r="F870" s="14"/>
      <c r="G870" s="14"/>
      <c r="H870" s="308"/>
      <c r="I870" s="308"/>
      <c r="J870" s="14"/>
      <c r="K870" s="292">
        <v>3</v>
      </c>
      <c r="L870" s="292"/>
      <c r="M870" s="14"/>
      <c r="N870" s="74">
        <v>146</v>
      </c>
      <c r="O870" s="14"/>
      <c r="P870" s="471">
        <v>21.5</v>
      </c>
      <c r="Q870" s="470">
        <v>121</v>
      </c>
      <c r="R870" s="14"/>
      <c r="S870" s="14"/>
      <c r="T870" s="14"/>
      <c r="U870" s="14"/>
      <c r="V870" s="308"/>
      <c r="W870" s="308"/>
      <c r="X870" s="292"/>
      <c r="Y870" s="292"/>
      <c r="AC870" s="14"/>
      <c r="AE870" s="14"/>
    </row>
    <row r="871" spans="1:31" s="133" customFormat="1">
      <c r="A871" s="190" t="s">
        <v>154</v>
      </c>
      <c r="B871" s="469">
        <v>19.899999999999999</v>
      </c>
      <c r="C871" s="468">
        <v>118</v>
      </c>
      <c r="D871" s="14"/>
      <c r="E871" s="14">
        <v>0</v>
      </c>
      <c r="F871" s="14"/>
      <c r="G871" s="14"/>
      <c r="H871" s="308"/>
      <c r="I871" s="308"/>
      <c r="J871" s="14"/>
      <c r="K871" s="292">
        <v>4</v>
      </c>
      <c r="L871" s="292"/>
      <c r="M871" s="14"/>
      <c r="N871" s="74">
        <v>144</v>
      </c>
      <c r="O871" s="14"/>
      <c r="P871" s="471">
        <v>21.9</v>
      </c>
      <c r="Q871" s="470">
        <v>118</v>
      </c>
      <c r="R871" s="14"/>
      <c r="S871" s="14"/>
      <c r="T871" s="14"/>
      <c r="U871" s="14"/>
      <c r="V871" s="308"/>
      <c r="W871" s="308"/>
      <c r="X871" s="292"/>
      <c r="Y871" s="292"/>
      <c r="AC871" s="14"/>
      <c r="AE871" s="14"/>
    </row>
    <row r="872" spans="1:31" s="133" customFormat="1">
      <c r="A872" s="190"/>
      <c r="B872" s="469">
        <v>20.3</v>
      </c>
      <c r="C872" s="468">
        <v>115</v>
      </c>
      <c r="D872" s="14">
        <v>0</v>
      </c>
      <c r="E872" s="11">
        <v>0</v>
      </c>
      <c r="F872" s="14">
        <v>0</v>
      </c>
      <c r="G872" s="11">
        <v>0</v>
      </c>
      <c r="H872" s="308">
        <v>0</v>
      </c>
      <c r="I872" s="308">
        <v>0</v>
      </c>
      <c r="J872" s="14"/>
      <c r="K872" s="292">
        <v>0</v>
      </c>
      <c r="L872" s="292">
        <v>0</v>
      </c>
      <c r="M872" s="14"/>
      <c r="N872" s="74">
        <v>142</v>
      </c>
      <c r="O872" s="14"/>
      <c r="P872" s="471">
        <v>22.3</v>
      </c>
      <c r="Q872" s="470">
        <v>115</v>
      </c>
      <c r="R872" s="14">
        <v>0</v>
      </c>
      <c r="S872" s="11">
        <v>0</v>
      </c>
      <c r="T872" s="14">
        <v>0</v>
      </c>
      <c r="U872" s="11">
        <v>0</v>
      </c>
      <c r="V872" s="308">
        <v>0</v>
      </c>
      <c r="W872" s="308">
        <v>0</v>
      </c>
      <c r="X872" s="292">
        <v>0</v>
      </c>
      <c r="Y872" s="292">
        <v>0</v>
      </c>
      <c r="AC872" s="14"/>
      <c r="AE872" s="14"/>
    </row>
    <row r="873" spans="1:31" s="133" customFormat="1">
      <c r="A873" s="190"/>
      <c r="B873" s="469">
        <v>20.7</v>
      </c>
      <c r="C873" s="468">
        <v>111</v>
      </c>
      <c r="D873" s="14">
        <v>248</v>
      </c>
      <c r="E873" s="11">
        <v>7</v>
      </c>
      <c r="F873" s="14">
        <v>3</v>
      </c>
      <c r="G873" s="11">
        <v>10</v>
      </c>
      <c r="H873" s="308">
        <v>11</v>
      </c>
      <c r="I873" s="308">
        <v>7</v>
      </c>
      <c r="J873" s="14"/>
      <c r="K873" s="292">
        <v>6</v>
      </c>
      <c r="L873" s="292">
        <v>7</v>
      </c>
      <c r="M873" s="14"/>
      <c r="N873" s="74">
        <v>140</v>
      </c>
      <c r="O873" s="14"/>
      <c r="P873" s="471">
        <v>22.7</v>
      </c>
      <c r="Q873" s="470">
        <v>111</v>
      </c>
      <c r="R873" s="14">
        <v>203</v>
      </c>
      <c r="S873" s="11">
        <v>7</v>
      </c>
      <c r="T873" s="14">
        <v>1</v>
      </c>
      <c r="U873" s="11">
        <v>10</v>
      </c>
      <c r="V873" s="308">
        <v>7</v>
      </c>
      <c r="W873" s="308">
        <v>7</v>
      </c>
      <c r="X873" s="292">
        <v>22</v>
      </c>
      <c r="Y873" s="292">
        <v>7</v>
      </c>
      <c r="AC873" s="14"/>
      <c r="AE873" s="14"/>
    </row>
    <row r="874" spans="1:31" s="133" customFormat="1">
      <c r="A874" s="14"/>
      <c r="B874" s="469">
        <v>21.1</v>
      </c>
      <c r="C874" s="468">
        <v>107</v>
      </c>
      <c r="D874" s="14">
        <v>251</v>
      </c>
      <c r="E874" s="11">
        <v>14</v>
      </c>
      <c r="F874" s="14">
        <v>4</v>
      </c>
      <c r="G874" s="11">
        <v>20</v>
      </c>
      <c r="H874" s="308">
        <v>12</v>
      </c>
      <c r="I874" s="308">
        <v>14</v>
      </c>
      <c r="J874" s="14"/>
      <c r="K874" s="292">
        <v>7</v>
      </c>
      <c r="L874" s="292">
        <v>14</v>
      </c>
      <c r="M874" s="14"/>
      <c r="N874" s="74">
        <v>138</v>
      </c>
      <c r="O874" s="14"/>
      <c r="P874" s="471">
        <v>23.1</v>
      </c>
      <c r="Q874" s="470">
        <v>107</v>
      </c>
      <c r="R874" s="14">
        <v>206</v>
      </c>
      <c r="S874" s="11">
        <v>14</v>
      </c>
      <c r="T874" s="14">
        <v>2</v>
      </c>
      <c r="U874" s="11">
        <v>20</v>
      </c>
      <c r="V874" s="308">
        <v>8</v>
      </c>
      <c r="W874" s="308">
        <v>14</v>
      </c>
      <c r="X874" s="292">
        <v>24</v>
      </c>
      <c r="Y874" s="292">
        <v>14</v>
      </c>
      <c r="AC874" s="14"/>
      <c r="AE874" s="14"/>
    </row>
    <row r="875" spans="1:31" s="133" customFormat="1">
      <c r="A875" s="14"/>
      <c r="B875" s="469">
        <v>21.5</v>
      </c>
      <c r="C875" s="468">
        <v>102</v>
      </c>
      <c r="D875" s="14">
        <v>254</v>
      </c>
      <c r="E875" s="11">
        <v>21</v>
      </c>
      <c r="F875" s="14">
        <v>5</v>
      </c>
      <c r="G875" s="11">
        <v>30</v>
      </c>
      <c r="H875" s="308">
        <v>13</v>
      </c>
      <c r="I875" s="308">
        <v>21</v>
      </c>
      <c r="J875" s="14"/>
      <c r="K875" s="292">
        <v>8</v>
      </c>
      <c r="L875" s="292">
        <v>21</v>
      </c>
      <c r="M875" s="14"/>
      <c r="N875" s="74">
        <v>136</v>
      </c>
      <c r="O875" s="14"/>
      <c r="P875" s="471">
        <v>23.5</v>
      </c>
      <c r="Q875" s="470">
        <v>102</v>
      </c>
      <c r="R875" s="14">
        <v>209</v>
      </c>
      <c r="S875" s="11">
        <v>21</v>
      </c>
      <c r="T875" s="14">
        <v>3</v>
      </c>
      <c r="U875" s="11">
        <v>30</v>
      </c>
      <c r="V875" s="308">
        <v>9</v>
      </c>
      <c r="W875" s="308">
        <v>21</v>
      </c>
      <c r="X875" s="292">
        <v>26</v>
      </c>
      <c r="Y875" s="292">
        <v>21</v>
      </c>
      <c r="AC875" s="14"/>
      <c r="AE875" s="14"/>
    </row>
    <row r="876" spans="1:31" s="133" customFormat="1">
      <c r="A876" s="14"/>
      <c r="B876" s="469">
        <v>21.9</v>
      </c>
      <c r="C876" s="468">
        <v>97</v>
      </c>
      <c r="D876" s="14">
        <v>257</v>
      </c>
      <c r="E876" s="11">
        <v>28</v>
      </c>
      <c r="F876" s="14">
        <v>6</v>
      </c>
      <c r="G876" s="11">
        <v>40</v>
      </c>
      <c r="H876" s="308">
        <v>14</v>
      </c>
      <c r="I876" s="308">
        <v>28</v>
      </c>
      <c r="J876" s="14"/>
      <c r="K876" s="292">
        <v>9</v>
      </c>
      <c r="L876" s="292">
        <v>28</v>
      </c>
      <c r="M876" s="14"/>
      <c r="N876" s="74">
        <v>134</v>
      </c>
      <c r="O876" s="14"/>
      <c r="P876" s="471">
        <v>23.9</v>
      </c>
      <c r="Q876" s="470">
        <v>97</v>
      </c>
      <c r="R876" s="14">
        <v>212</v>
      </c>
      <c r="S876" s="11">
        <v>28</v>
      </c>
      <c r="T876" s="14">
        <v>4</v>
      </c>
      <c r="U876" s="11">
        <v>40</v>
      </c>
      <c r="V876" s="308">
        <v>10</v>
      </c>
      <c r="W876" s="308">
        <v>28</v>
      </c>
      <c r="X876" s="292">
        <v>28</v>
      </c>
      <c r="Y876" s="292">
        <v>28</v>
      </c>
      <c r="AC876" s="14"/>
      <c r="AE876" s="14"/>
    </row>
    <row r="877" spans="1:31" s="133" customFormat="1">
      <c r="A877" s="14"/>
      <c r="B877" s="469">
        <v>22.3</v>
      </c>
      <c r="C877" s="468">
        <v>91</v>
      </c>
      <c r="D877" s="14">
        <v>260</v>
      </c>
      <c r="E877" s="11">
        <v>35</v>
      </c>
      <c r="F877" s="14">
        <v>7</v>
      </c>
      <c r="G877" s="11">
        <v>50</v>
      </c>
      <c r="H877" s="308">
        <v>15</v>
      </c>
      <c r="I877" s="308">
        <v>35</v>
      </c>
      <c r="J877" s="14"/>
      <c r="K877" s="292">
        <v>10</v>
      </c>
      <c r="L877" s="292">
        <v>35</v>
      </c>
      <c r="M877" s="14"/>
      <c r="N877" s="74">
        <v>132</v>
      </c>
      <c r="O877" s="14"/>
      <c r="P877" s="471">
        <v>24.3</v>
      </c>
      <c r="Q877" s="470">
        <v>91</v>
      </c>
      <c r="R877" s="14">
        <v>215</v>
      </c>
      <c r="S877" s="11">
        <v>35</v>
      </c>
      <c r="T877" s="14">
        <v>5</v>
      </c>
      <c r="U877" s="11">
        <v>50</v>
      </c>
      <c r="V877" s="308">
        <v>11</v>
      </c>
      <c r="W877" s="308">
        <v>35</v>
      </c>
      <c r="X877" s="292">
        <v>30</v>
      </c>
      <c r="Y877" s="292">
        <v>35</v>
      </c>
      <c r="AC877" s="14"/>
      <c r="AE877" s="14"/>
    </row>
    <row r="878" spans="1:31" s="133" customFormat="1">
      <c r="A878" s="14"/>
      <c r="B878" s="469">
        <v>22.7</v>
      </c>
      <c r="C878" s="468">
        <v>85</v>
      </c>
      <c r="D878" s="14">
        <v>263</v>
      </c>
      <c r="E878" s="11">
        <v>42</v>
      </c>
      <c r="F878" s="14">
        <v>8</v>
      </c>
      <c r="G878" s="11">
        <v>58</v>
      </c>
      <c r="H878" s="308">
        <v>16</v>
      </c>
      <c r="I878" s="308">
        <v>42</v>
      </c>
      <c r="J878" s="14"/>
      <c r="K878" s="292">
        <v>11</v>
      </c>
      <c r="L878" s="292">
        <v>42</v>
      </c>
      <c r="M878" s="14"/>
      <c r="N878" s="74">
        <v>130</v>
      </c>
      <c r="O878" s="14"/>
      <c r="P878" s="471">
        <v>24.7</v>
      </c>
      <c r="Q878" s="470">
        <v>85</v>
      </c>
      <c r="R878" s="14">
        <v>218</v>
      </c>
      <c r="S878" s="11">
        <v>42</v>
      </c>
      <c r="T878" s="14">
        <v>6</v>
      </c>
      <c r="U878" s="11">
        <v>58</v>
      </c>
      <c r="V878" s="308">
        <v>12</v>
      </c>
      <c r="W878" s="308">
        <v>42</v>
      </c>
      <c r="X878" s="292">
        <v>32</v>
      </c>
      <c r="Y878" s="292">
        <v>42</v>
      </c>
      <c r="AC878" s="14"/>
      <c r="AE878" s="14"/>
    </row>
    <row r="879" spans="1:31" s="133" customFormat="1">
      <c r="A879" s="14"/>
      <c r="B879" s="469">
        <v>23.1</v>
      </c>
      <c r="C879" s="468">
        <v>78</v>
      </c>
      <c r="D879" s="14">
        <v>266</v>
      </c>
      <c r="E879" s="11">
        <v>48</v>
      </c>
      <c r="F879" s="14">
        <v>9</v>
      </c>
      <c r="G879" s="11">
        <v>65</v>
      </c>
      <c r="H879" s="308">
        <v>17</v>
      </c>
      <c r="I879" s="308">
        <v>48</v>
      </c>
      <c r="J879" s="14"/>
      <c r="K879" s="292">
        <v>12</v>
      </c>
      <c r="L879" s="292">
        <v>48</v>
      </c>
      <c r="M879" s="14"/>
      <c r="N879" s="74">
        <v>128</v>
      </c>
      <c r="O879" s="14"/>
      <c r="P879" s="471">
        <v>25.1</v>
      </c>
      <c r="Q879" s="470">
        <v>78</v>
      </c>
      <c r="R879" s="14">
        <v>221</v>
      </c>
      <c r="S879" s="11">
        <v>48</v>
      </c>
      <c r="T879" s="14">
        <v>7</v>
      </c>
      <c r="U879" s="11">
        <v>65</v>
      </c>
      <c r="V879" s="308">
        <v>13</v>
      </c>
      <c r="W879" s="308">
        <v>48</v>
      </c>
      <c r="X879" s="292">
        <v>34</v>
      </c>
      <c r="Y879" s="292">
        <v>48</v>
      </c>
      <c r="AC879" s="14"/>
      <c r="AE879" s="14"/>
    </row>
    <row r="880" spans="1:31" s="133" customFormat="1">
      <c r="A880" s="14"/>
      <c r="B880" s="469">
        <v>23.5</v>
      </c>
      <c r="C880" s="468">
        <v>71</v>
      </c>
      <c r="D880" s="14">
        <v>269</v>
      </c>
      <c r="E880" s="11">
        <v>53</v>
      </c>
      <c r="F880" s="14">
        <v>10</v>
      </c>
      <c r="G880" s="11">
        <v>71</v>
      </c>
      <c r="H880" s="308">
        <v>18</v>
      </c>
      <c r="I880" s="308">
        <v>53</v>
      </c>
      <c r="J880" s="14"/>
      <c r="K880" s="292">
        <v>13</v>
      </c>
      <c r="L880" s="292">
        <v>53</v>
      </c>
      <c r="M880" s="14"/>
      <c r="N880" s="74">
        <v>126</v>
      </c>
      <c r="O880" s="14"/>
      <c r="P880" s="471">
        <v>25.5</v>
      </c>
      <c r="Q880" s="470">
        <v>71</v>
      </c>
      <c r="R880" s="14">
        <v>224</v>
      </c>
      <c r="S880" s="11">
        <v>53</v>
      </c>
      <c r="T880" s="14">
        <v>8</v>
      </c>
      <c r="U880" s="11">
        <v>71</v>
      </c>
      <c r="V880" s="308">
        <v>14</v>
      </c>
      <c r="W880" s="308">
        <v>53</v>
      </c>
      <c r="X880" s="292">
        <v>36</v>
      </c>
      <c r="Y880" s="292">
        <v>53</v>
      </c>
      <c r="AC880" s="14"/>
      <c r="AE880" s="14"/>
    </row>
    <row r="881" spans="1:31" s="133" customFormat="1">
      <c r="A881" s="14"/>
      <c r="B881" s="469">
        <v>23.9</v>
      </c>
      <c r="C881" s="468">
        <v>63</v>
      </c>
      <c r="D881" s="14">
        <v>272</v>
      </c>
      <c r="E881" s="11">
        <v>57</v>
      </c>
      <c r="F881" s="14">
        <v>11</v>
      </c>
      <c r="G881" s="11">
        <v>76</v>
      </c>
      <c r="H881" s="308">
        <v>19</v>
      </c>
      <c r="I881" s="308">
        <v>57</v>
      </c>
      <c r="J881" s="14"/>
      <c r="K881" s="292">
        <v>14</v>
      </c>
      <c r="L881" s="292">
        <v>57</v>
      </c>
      <c r="M881" s="14"/>
      <c r="N881" s="74">
        <v>124</v>
      </c>
      <c r="O881" s="14"/>
      <c r="P881" s="471">
        <v>25.9</v>
      </c>
      <c r="Q881" s="470">
        <v>63</v>
      </c>
      <c r="R881" s="14">
        <v>227</v>
      </c>
      <c r="S881" s="11">
        <v>57</v>
      </c>
      <c r="T881" s="14">
        <v>9</v>
      </c>
      <c r="U881" s="11">
        <v>76</v>
      </c>
      <c r="V881" s="308">
        <v>15</v>
      </c>
      <c r="W881" s="308">
        <v>57</v>
      </c>
      <c r="X881" s="292">
        <v>38</v>
      </c>
      <c r="Y881" s="292">
        <v>57</v>
      </c>
      <c r="AC881" s="14"/>
      <c r="AE881" s="14"/>
    </row>
    <row r="882" spans="1:31" s="133" customFormat="1">
      <c r="A882" s="14"/>
      <c r="B882" s="469">
        <v>24.3</v>
      </c>
      <c r="C882" s="468">
        <v>55</v>
      </c>
      <c r="D882" s="14">
        <v>275</v>
      </c>
      <c r="E882" s="11">
        <v>60</v>
      </c>
      <c r="F882" s="14">
        <v>12</v>
      </c>
      <c r="G882" s="11">
        <v>80</v>
      </c>
      <c r="H882" s="308">
        <v>20</v>
      </c>
      <c r="I882" s="308">
        <v>60</v>
      </c>
      <c r="J882" s="14"/>
      <c r="K882" s="292">
        <v>15</v>
      </c>
      <c r="L882" s="292">
        <v>60</v>
      </c>
      <c r="M882" s="14"/>
      <c r="N882" s="74">
        <v>122</v>
      </c>
      <c r="O882" s="14"/>
      <c r="P882" s="471">
        <v>26.3</v>
      </c>
      <c r="Q882" s="470">
        <v>55</v>
      </c>
      <c r="R882" s="14">
        <v>230</v>
      </c>
      <c r="S882" s="11">
        <v>60</v>
      </c>
      <c r="T882" s="14">
        <v>10</v>
      </c>
      <c r="U882" s="11">
        <v>80</v>
      </c>
      <c r="V882" s="308">
        <v>16</v>
      </c>
      <c r="W882" s="308">
        <v>60</v>
      </c>
      <c r="X882" s="292">
        <v>40</v>
      </c>
      <c r="Y882" s="292">
        <v>60</v>
      </c>
      <c r="AC882" s="14"/>
      <c r="AE882" s="14"/>
    </row>
    <row r="884" spans="1:31" s="13" customFormat="1">
      <c r="A884" s="13" t="s">
        <v>240</v>
      </c>
      <c r="B884" s="13" t="s">
        <v>457</v>
      </c>
      <c r="C884" s="13" t="s">
        <v>432</v>
      </c>
      <c r="D884" s="13" t="s">
        <v>426</v>
      </c>
      <c r="E884" s="13" t="s">
        <v>471</v>
      </c>
      <c r="F884" s="13" t="s">
        <v>446</v>
      </c>
      <c r="G884" s="13" t="s">
        <v>471</v>
      </c>
      <c r="H884" s="313" t="s">
        <v>515</v>
      </c>
      <c r="I884" s="313" t="s">
        <v>471</v>
      </c>
      <c r="N884" s="13" t="s">
        <v>457</v>
      </c>
      <c r="O884" s="13" t="s">
        <v>432</v>
      </c>
      <c r="P884" s="13" t="s">
        <v>426</v>
      </c>
      <c r="Q884" s="13" t="s">
        <v>471</v>
      </c>
      <c r="R884" s="13" t="s">
        <v>446</v>
      </c>
      <c r="S884" s="13" t="s">
        <v>471</v>
      </c>
      <c r="T884" s="313" t="s">
        <v>515</v>
      </c>
      <c r="U884" s="313" t="s">
        <v>471</v>
      </c>
    </row>
    <row r="885" spans="1:31" s="13" customFormat="1">
      <c r="A885" s="74" t="s">
        <v>235</v>
      </c>
      <c r="B885" s="34">
        <v>0</v>
      </c>
      <c r="C885" s="157">
        <v>230</v>
      </c>
      <c r="D885" s="13">
        <v>0</v>
      </c>
      <c r="E885" s="156">
        <v>136.72</v>
      </c>
      <c r="F885" s="13">
        <v>0</v>
      </c>
      <c r="G885" s="156">
        <v>136.72</v>
      </c>
      <c r="H885" s="313">
        <v>0</v>
      </c>
      <c r="I885" s="317">
        <v>136.72</v>
      </c>
      <c r="N885" s="34">
        <v>0</v>
      </c>
      <c r="O885" s="156">
        <v>230</v>
      </c>
      <c r="P885" s="13">
        <v>0</v>
      </c>
      <c r="Q885" s="156">
        <v>136.72</v>
      </c>
      <c r="R885" s="13">
        <v>0</v>
      </c>
      <c r="S885" s="156">
        <v>136.72</v>
      </c>
      <c r="T885" s="313">
        <v>0</v>
      </c>
      <c r="U885" s="313">
        <v>105</v>
      </c>
    </row>
    <row r="886" spans="1:31" s="13" customFormat="1">
      <c r="A886" s="74" t="s">
        <v>683</v>
      </c>
      <c r="B886" s="34">
        <v>9.01</v>
      </c>
      <c r="C886" s="156">
        <v>218.34</v>
      </c>
      <c r="D886" s="6">
        <v>35</v>
      </c>
      <c r="E886" s="156">
        <v>148.38</v>
      </c>
      <c r="F886" s="13">
        <v>40</v>
      </c>
      <c r="G886" s="156">
        <v>148.38</v>
      </c>
      <c r="H886" s="313">
        <v>2</v>
      </c>
      <c r="I886" s="317">
        <v>148.38</v>
      </c>
      <c r="N886" s="34">
        <v>9.7100000000000009</v>
      </c>
      <c r="O886" s="156">
        <v>218.34</v>
      </c>
      <c r="P886" s="13">
        <v>25</v>
      </c>
      <c r="Q886" s="156">
        <v>148.38</v>
      </c>
      <c r="R886" s="13">
        <v>20</v>
      </c>
      <c r="S886" s="156">
        <v>148.38</v>
      </c>
      <c r="T886" s="313">
        <v>2</v>
      </c>
      <c r="U886" s="313">
        <v>113.75</v>
      </c>
    </row>
    <row r="887" spans="1:31" s="13" customFormat="1">
      <c r="A887" s="74" t="s">
        <v>256</v>
      </c>
      <c r="B887" s="34">
        <v>9.31</v>
      </c>
      <c r="C887" s="315">
        <v>206.68</v>
      </c>
      <c r="D887" s="6">
        <v>40</v>
      </c>
      <c r="E887" s="316">
        <v>160.04</v>
      </c>
      <c r="F887" s="13">
        <v>45</v>
      </c>
      <c r="G887" s="316">
        <v>160.04</v>
      </c>
      <c r="H887" s="313">
        <v>6</v>
      </c>
      <c r="I887" s="318">
        <v>160.04</v>
      </c>
      <c r="N887" s="34">
        <v>10.01</v>
      </c>
      <c r="O887" s="315">
        <v>206.68</v>
      </c>
      <c r="P887" s="13">
        <v>30</v>
      </c>
      <c r="Q887" s="316">
        <v>160.04</v>
      </c>
      <c r="R887" s="13">
        <v>25</v>
      </c>
      <c r="S887" s="316">
        <v>160.04</v>
      </c>
      <c r="T887" s="313">
        <v>6</v>
      </c>
      <c r="U887" s="313">
        <v>122.5</v>
      </c>
    </row>
    <row r="888" spans="1:31" s="13" customFormat="1">
      <c r="B888" s="34">
        <v>9.6100000000000012</v>
      </c>
      <c r="C888" s="316">
        <v>195.02</v>
      </c>
      <c r="D888" s="6">
        <v>45</v>
      </c>
      <c r="E888" s="316">
        <v>171.7</v>
      </c>
      <c r="F888" s="13">
        <v>50</v>
      </c>
      <c r="G888" s="316">
        <v>171.7</v>
      </c>
      <c r="H888" s="313">
        <v>10</v>
      </c>
      <c r="I888" s="318">
        <v>171.7</v>
      </c>
      <c r="N888" s="34">
        <v>10.309999999999999</v>
      </c>
      <c r="O888" s="316">
        <v>195.02</v>
      </c>
      <c r="P888" s="13">
        <v>35</v>
      </c>
      <c r="Q888" s="316">
        <v>171.7</v>
      </c>
      <c r="R888" s="13">
        <v>30</v>
      </c>
      <c r="S888" s="316">
        <v>171.7</v>
      </c>
      <c r="T888" s="313">
        <v>10</v>
      </c>
      <c r="U888" s="313">
        <v>131.25</v>
      </c>
    </row>
    <row r="889" spans="1:31" s="13" customFormat="1">
      <c r="B889" s="34">
        <v>9.9100000000000019</v>
      </c>
      <c r="C889" s="316">
        <v>183.36</v>
      </c>
      <c r="D889" s="6">
        <v>50</v>
      </c>
      <c r="E889" s="316">
        <v>183.36</v>
      </c>
      <c r="F889" s="13">
        <v>55</v>
      </c>
      <c r="G889" s="316">
        <v>183.36</v>
      </c>
      <c r="H889" s="313">
        <v>14</v>
      </c>
      <c r="I889" s="318">
        <v>183.36</v>
      </c>
      <c r="N889" s="34">
        <v>10.609999999999998</v>
      </c>
      <c r="O889" s="316">
        <v>183.36</v>
      </c>
      <c r="P889" s="13">
        <v>40</v>
      </c>
      <c r="Q889" s="316">
        <v>183.36</v>
      </c>
      <c r="R889" s="13">
        <v>35</v>
      </c>
      <c r="S889" s="316">
        <v>183.36</v>
      </c>
      <c r="T889" s="313">
        <v>14</v>
      </c>
      <c r="U889" s="313">
        <v>140</v>
      </c>
    </row>
    <row r="890" spans="1:31" s="13" customFormat="1">
      <c r="B890" s="34">
        <v>10.210000000000003</v>
      </c>
      <c r="C890" s="316">
        <v>171.7</v>
      </c>
      <c r="D890" s="6">
        <v>55</v>
      </c>
      <c r="E890" s="316">
        <v>195.02</v>
      </c>
      <c r="F890" s="13">
        <v>60</v>
      </c>
      <c r="G890" s="316">
        <v>195.02</v>
      </c>
      <c r="H890" s="313">
        <v>18</v>
      </c>
      <c r="I890" s="318">
        <v>195.02</v>
      </c>
      <c r="N890" s="34">
        <v>10.909999999999997</v>
      </c>
      <c r="O890" s="316">
        <v>171.7</v>
      </c>
      <c r="P890" s="13">
        <v>45</v>
      </c>
      <c r="Q890" s="316">
        <v>195.02</v>
      </c>
      <c r="R890" s="13">
        <v>40</v>
      </c>
      <c r="S890" s="316">
        <v>195.02</v>
      </c>
      <c r="T890" s="313">
        <v>18</v>
      </c>
      <c r="U890" s="313">
        <v>148.75</v>
      </c>
    </row>
    <row r="891" spans="1:31" s="13" customFormat="1">
      <c r="B891" s="34">
        <v>10.510000000000003</v>
      </c>
      <c r="C891" s="316">
        <v>160.04</v>
      </c>
      <c r="D891" s="6">
        <v>60</v>
      </c>
      <c r="E891" s="316">
        <v>206.68</v>
      </c>
      <c r="F891" s="13">
        <v>65</v>
      </c>
      <c r="G891" s="316">
        <v>206.68</v>
      </c>
      <c r="H891" s="313">
        <v>22</v>
      </c>
      <c r="I891" s="318">
        <v>206.68</v>
      </c>
      <c r="N891" s="34">
        <v>11.209999999999996</v>
      </c>
      <c r="O891" s="316">
        <v>160.04</v>
      </c>
      <c r="P891" s="13">
        <v>50</v>
      </c>
      <c r="Q891" s="316">
        <v>206.68</v>
      </c>
      <c r="R891" s="13">
        <v>45</v>
      </c>
      <c r="S891" s="316">
        <v>206.68</v>
      </c>
      <c r="T891" s="313">
        <v>22</v>
      </c>
      <c r="U891" s="313">
        <v>157.5</v>
      </c>
    </row>
    <row r="892" spans="1:31" s="13" customFormat="1">
      <c r="B892" s="34">
        <v>10.810000000000004</v>
      </c>
      <c r="C892" s="316">
        <v>148.38</v>
      </c>
      <c r="D892" s="6">
        <v>65</v>
      </c>
      <c r="E892" s="316">
        <v>218.34</v>
      </c>
      <c r="F892" s="13">
        <v>70</v>
      </c>
      <c r="G892" s="316">
        <v>218.34</v>
      </c>
      <c r="H892" s="313">
        <v>26</v>
      </c>
      <c r="I892" s="318">
        <v>218.34</v>
      </c>
      <c r="N892" s="34">
        <v>11.509999999999994</v>
      </c>
      <c r="O892" s="316">
        <v>148.38</v>
      </c>
      <c r="P892" s="13">
        <v>55</v>
      </c>
      <c r="Q892" s="316">
        <v>218.34</v>
      </c>
      <c r="R892" s="13">
        <v>50</v>
      </c>
      <c r="S892" s="316">
        <v>218.34</v>
      </c>
      <c r="T892" s="313">
        <v>26</v>
      </c>
      <c r="U892" s="313">
        <v>166.25</v>
      </c>
    </row>
    <row r="893" spans="1:31" s="13" customFormat="1">
      <c r="B893" s="34">
        <v>11.11</v>
      </c>
      <c r="C893" s="316">
        <v>136.72</v>
      </c>
      <c r="D893" s="6">
        <v>70</v>
      </c>
      <c r="E893" s="316">
        <v>230</v>
      </c>
      <c r="F893" s="13">
        <v>75</v>
      </c>
      <c r="G893" s="316">
        <v>230</v>
      </c>
      <c r="H893" s="313">
        <v>30</v>
      </c>
      <c r="I893" s="318">
        <v>230</v>
      </c>
      <c r="N893" s="34">
        <v>11.809999999999993</v>
      </c>
      <c r="O893" s="316">
        <v>136.72</v>
      </c>
      <c r="P893" s="13">
        <v>60</v>
      </c>
      <c r="Q893" s="316">
        <v>230</v>
      </c>
      <c r="R893" s="13">
        <v>55</v>
      </c>
      <c r="S893" s="316">
        <v>230</v>
      </c>
      <c r="T893" s="13">
        <v>30</v>
      </c>
      <c r="U893" s="13">
        <v>175</v>
      </c>
    </row>
    <row r="894" spans="1:31" s="13" customFormat="1">
      <c r="B894" s="34"/>
      <c r="C894" s="6"/>
      <c r="D894" s="6"/>
      <c r="N894" s="153"/>
      <c r="P894" s="34"/>
    </row>
    <row r="895" spans="1:31" s="13" customFormat="1">
      <c r="A895" s="13" t="s">
        <v>240</v>
      </c>
      <c r="B895" s="13" t="s">
        <v>457</v>
      </c>
      <c r="C895" s="13" t="s">
        <v>432</v>
      </c>
      <c r="D895" s="13" t="s">
        <v>426</v>
      </c>
      <c r="E895" s="13" t="s">
        <v>471</v>
      </c>
      <c r="F895" s="13" t="s">
        <v>446</v>
      </c>
      <c r="G895" s="13" t="s">
        <v>471</v>
      </c>
      <c r="H895" s="313" t="s">
        <v>515</v>
      </c>
      <c r="I895" s="313" t="s">
        <v>471</v>
      </c>
      <c r="N895" s="13" t="s">
        <v>457</v>
      </c>
      <c r="O895" s="13" t="s">
        <v>432</v>
      </c>
      <c r="P895" s="13" t="s">
        <v>426</v>
      </c>
      <c r="Q895" s="13" t="s">
        <v>471</v>
      </c>
      <c r="R895" s="13" t="s">
        <v>446</v>
      </c>
      <c r="S895" s="13" t="s">
        <v>471</v>
      </c>
      <c r="T895" s="319" t="s">
        <v>515</v>
      </c>
      <c r="U895" s="319" t="s">
        <v>471</v>
      </c>
    </row>
    <row r="896" spans="1:31" s="13" customFormat="1">
      <c r="A896" s="74"/>
      <c r="B896" s="34">
        <v>0</v>
      </c>
      <c r="C896" s="156">
        <v>230</v>
      </c>
      <c r="D896" s="13">
        <v>0</v>
      </c>
      <c r="E896" s="156">
        <v>136.72</v>
      </c>
      <c r="F896" s="13">
        <v>0</v>
      </c>
      <c r="G896" s="156">
        <v>136.72</v>
      </c>
      <c r="H896" s="313">
        <v>0</v>
      </c>
      <c r="I896" s="313">
        <v>68</v>
      </c>
      <c r="N896" s="34">
        <v>0</v>
      </c>
      <c r="O896" s="156">
        <v>230</v>
      </c>
      <c r="P896" s="13">
        <v>0</v>
      </c>
      <c r="Q896" s="156">
        <v>136.72</v>
      </c>
      <c r="R896" s="13">
        <v>0</v>
      </c>
      <c r="S896" s="156">
        <v>136.72</v>
      </c>
      <c r="T896" s="319">
        <v>0</v>
      </c>
      <c r="U896" s="319">
        <v>68</v>
      </c>
    </row>
    <row r="897" spans="1:21" s="13" customFormat="1">
      <c r="A897" s="74"/>
      <c r="B897" s="34">
        <v>9.01</v>
      </c>
      <c r="C897" s="156">
        <v>218.34</v>
      </c>
      <c r="D897" s="13">
        <v>35</v>
      </c>
      <c r="E897" s="156">
        <v>148.38</v>
      </c>
      <c r="F897" s="13">
        <v>40</v>
      </c>
      <c r="G897" s="156">
        <v>148.38</v>
      </c>
      <c r="H897" s="313">
        <v>2</v>
      </c>
      <c r="I897" s="313">
        <v>72</v>
      </c>
      <c r="N897" s="34">
        <v>9.7100000000000009</v>
      </c>
      <c r="O897" s="156">
        <v>218.34</v>
      </c>
      <c r="P897" s="13">
        <v>25</v>
      </c>
      <c r="Q897" s="156">
        <v>148.38</v>
      </c>
      <c r="R897" s="13">
        <v>20</v>
      </c>
      <c r="S897" s="156">
        <v>148.38</v>
      </c>
      <c r="T897" s="319">
        <v>2</v>
      </c>
      <c r="U897" s="319">
        <v>72</v>
      </c>
    </row>
    <row r="898" spans="1:21" s="13" customFormat="1">
      <c r="A898" s="74" t="s">
        <v>256</v>
      </c>
      <c r="B898" s="34">
        <v>9.31</v>
      </c>
      <c r="C898" s="315">
        <v>206.68</v>
      </c>
      <c r="D898" s="13">
        <v>40</v>
      </c>
      <c r="E898" s="316">
        <v>160.04</v>
      </c>
      <c r="F898" s="13">
        <v>45</v>
      </c>
      <c r="G898" s="316">
        <v>160.04</v>
      </c>
      <c r="H898" s="313">
        <v>6</v>
      </c>
      <c r="I898" s="313">
        <v>76</v>
      </c>
      <c r="N898" s="34">
        <v>10.01</v>
      </c>
      <c r="O898" s="315">
        <v>206.68</v>
      </c>
      <c r="P898" s="13">
        <v>30</v>
      </c>
      <c r="Q898" s="316">
        <v>160.04</v>
      </c>
      <c r="R898" s="13">
        <v>25</v>
      </c>
      <c r="S898" s="316">
        <v>160.04</v>
      </c>
      <c r="T898" s="319">
        <v>6</v>
      </c>
      <c r="U898" s="319">
        <v>76</v>
      </c>
    </row>
    <row r="899" spans="1:21" s="13" customFormat="1">
      <c r="B899" s="34">
        <v>9.6100000000000012</v>
      </c>
      <c r="C899" s="316">
        <v>195.02</v>
      </c>
      <c r="D899" s="13">
        <v>45</v>
      </c>
      <c r="E899" s="316">
        <v>171.7</v>
      </c>
      <c r="F899" s="13">
        <v>50</v>
      </c>
      <c r="G899" s="316">
        <v>171.7</v>
      </c>
      <c r="H899" s="313">
        <v>10</v>
      </c>
      <c r="I899" s="313">
        <v>80</v>
      </c>
      <c r="N899" s="34">
        <v>10.309999999999999</v>
      </c>
      <c r="O899" s="316">
        <v>195.02</v>
      </c>
      <c r="P899" s="13">
        <v>35</v>
      </c>
      <c r="Q899" s="316">
        <v>171.7</v>
      </c>
      <c r="R899" s="13">
        <v>30</v>
      </c>
      <c r="S899" s="316">
        <v>171.7</v>
      </c>
      <c r="T899" s="319">
        <v>10</v>
      </c>
      <c r="U899" s="319">
        <v>80</v>
      </c>
    </row>
    <row r="900" spans="1:21" s="13" customFormat="1">
      <c r="B900" s="34">
        <v>9.9100000000000019</v>
      </c>
      <c r="C900" s="316">
        <v>183.36</v>
      </c>
      <c r="D900" s="13">
        <v>50</v>
      </c>
      <c r="E900" s="316">
        <v>183.36</v>
      </c>
      <c r="F900" s="13">
        <v>55</v>
      </c>
      <c r="G900" s="316">
        <v>183.36</v>
      </c>
      <c r="H900" s="313">
        <v>14</v>
      </c>
      <c r="I900" s="313">
        <v>84</v>
      </c>
      <c r="N900" s="34">
        <v>10.609999999999998</v>
      </c>
      <c r="O900" s="316">
        <v>183.36</v>
      </c>
      <c r="P900" s="13">
        <v>40</v>
      </c>
      <c r="Q900" s="316">
        <v>183.36</v>
      </c>
      <c r="R900" s="13">
        <v>35</v>
      </c>
      <c r="S900" s="316">
        <v>183.36</v>
      </c>
      <c r="T900" s="319">
        <v>14</v>
      </c>
      <c r="U900" s="319">
        <v>84</v>
      </c>
    </row>
    <row r="901" spans="1:21" s="13" customFormat="1">
      <c r="B901" s="34">
        <v>10.210000000000003</v>
      </c>
      <c r="C901" s="316">
        <v>171.7</v>
      </c>
      <c r="D901" s="13">
        <v>55</v>
      </c>
      <c r="E901" s="316">
        <v>195.02</v>
      </c>
      <c r="F901" s="13">
        <v>60</v>
      </c>
      <c r="G901" s="316">
        <v>195.02</v>
      </c>
      <c r="H901" s="313">
        <v>18</v>
      </c>
      <c r="I901" s="313">
        <v>88</v>
      </c>
      <c r="N901" s="34">
        <v>10.909999999999997</v>
      </c>
      <c r="O901" s="316">
        <v>171.7</v>
      </c>
      <c r="P901" s="13">
        <v>45</v>
      </c>
      <c r="Q901" s="316">
        <v>195.02</v>
      </c>
      <c r="R901" s="13">
        <v>40</v>
      </c>
      <c r="S901" s="316">
        <v>195.02</v>
      </c>
      <c r="T901" s="319">
        <v>18</v>
      </c>
      <c r="U901" s="319">
        <v>88</v>
      </c>
    </row>
    <row r="902" spans="1:21" s="13" customFormat="1">
      <c r="B902" s="34">
        <v>10.510000000000003</v>
      </c>
      <c r="C902" s="316">
        <v>160.04</v>
      </c>
      <c r="D902" s="13">
        <v>60</v>
      </c>
      <c r="E902" s="316">
        <v>206.68</v>
      </c>
      <c r="F902" s="13">
        <v>65</v>
      </c>
      <c r="G902" s="316">
        <v>206.68</v>
      </c>
      <c r="H902" s="313">
        <v>22</v>
      </c>
      <c r="I902" s="313">
        <v>92</v>
      </c>
      <c r="N902" s="34">
        <v>11.209999999999996</v>
      </c>
      <c r="O902" s="316">
        <v>160.04</v>
      </c>
      <c r="P902" s="13">
        <v>50</v>
      </c>
      <c r="Q902" s="316">
        <v>206.68</v>
      </c>
      <c r="R902" s="13">
        <v>45</v>
      </c>
      <c r="S902" s="316">
        <v>206.68</v>
      </c>
      <c r="T902" s="319">
        <v>22</v>
      </c>
      <c r="U902" s="319">
        <v>92</v>
      </c>
    </row>
    <row r="903" spans="1:21" s="13" customFormat="1">
      <c r="B903" s="34">
        <v>10.810000000000004</v>
      </c>
      <c r="C903" s="316">
        <v>148.38</v>
      </c>
      <c r="D903" s="13">
        <v>65</v>
      </c>
      <c r="E903" s="316">
        <v>218.34</v>
      </c>
      <c r="F903" s="13">
        <v>70</v>
      </c>
      <c r="G903" s="316">
        <v>218.34</v>
      </c>
      <c r="H903" s="313">
        <v>26</v>
      </c>
      <c r="I903" s="313">
        <v>96</v>
      </c>
      <c r="N903" s="34">
        <v>11.509999999999994</v>
      </c>
      <c r="O903" s="316">
        <v>148.38</v>
      </c>
      <c r="P903" s="13">
        <v>55</v>
      </c>
      <c r="Q903" s="316">
        <v>218.34</v>
      </c>
      <c r="R903" s="13">
        <v>50</v>
      </c>
      <c r="S903" s="316">
        <v>218.34</v>
      </c>
      <c r="T903" s="319">
        <v>26</v>
      </c>
      <c r="U903" s="319">
        <v>96</v>
      </c>
    </row>
    <row r="904" spans="1:21" s="13" customFormat="1">
      <c r="B904" s="34">
        <v>11.11</v>
      </c>
      <c r="C904" s="316">
        <v>136.72</v>
      </c>
      <c r="D904" s="13">
        <v>70</v>
      </c>
      <c r="E904" s="316">
        <v>230</v>
      </c>
      <c r="F904" s="13">
        <v>75</v>
      </c>
      <c r="G904" s="316">
        <v>230</v>
      </c>
      <c r="H904" s="313">
        <v>30</v>
      </c>
      <c r="I904" s="313">
        <v>100</v>
      </c>
      <c r="N904" s="34">
        <v>11.809999999999993</v>
      </c>
      <c r="O904" s="316">
        <v>136.72</v>
      </c>
      <c r="P904" s="13">
        <v>60</v>
      </c>
      <c r="Q904" s="316">
        <v>230</v>
      </c>
      <c r="R904" s="13">
        <v>55</v>
      </c>
      <c r="S904" s="316">
        <v>230</v>
      </c>
      <c r="T904" s="319">
        <v>30</v>
      </c>
      <c r="U904" s="319">
        <v>100</v>
      </c>
    </row>
    <row r="905" spans="1:21" s="13" customFormat="1">
      <c r="B905" s="34"/>
      <c r="N905" s="34"/>
    </row>
    <row r="906" spans="1:21" s="13" customFormat="1">
      <c r="A906" s="13" t="s">
        <v>502</v>
      </c>
      <c r="B906" s="13" t="s">
        <v>426</v>
      </c>
      <c r="C906" s="13" t="s">
        <v>471</v>
      </c>
      <c r="D906" s="13" t="s">
        <v>448</v>
      </c>
      <c r="E906" s="13" t="s">
        <v>471</v>
      </c>
      <c r="F906" s="13" t="s">
        <v>515</v>
      </c>
      <c r="G906" s="13" t="s">
        <v>471</v>
      </c>
      <c r="N906" s="13" t="s">
        <v>426</v>
      </c>
      <c r="O906" s="13" t="s">
        <v>471</v>
      </c>
      <c r="P906" s="13" t="s">
        <v>448</v>
      </c>
      <c r="Q906" s="13" t="s">
        <v>471</v>
      </c>
      <c r="R906" s="13" t="s">
        <v>515</v>
      </c>
      <c r="S906" s="13" t="s">
        <v>471</v>
      </c>
    </row>
    <row r="907" spans="1:21" s="13" customFormat="1">
      <c r="A907" s="190" t="s">
        <v>422</v>
      </c>
      <c r="B907" s="13">
        <v>0</v>
      </c>
      <c r="C907" s="13">
        <v>45</v>
      </c>
      <c r="D907" s="13">
        <v>0</v>
      </c>
      <c r="E907" s="13">
        <v>45</v>
      </c>
      <c r="F907" s="13">
        <v>0</v>
      </c>
      <c r="G907" s="13">
        <v>45</v>
      </c>
      <c r="N907" s="13">
        <v>0</v>
      </c>
      <c r="O907" s="13">
        <v>45</v>
      </c>
      <c r="P907" s="13">
        <v>0</v>
      </c>
      <c r="Q907" s="13">
        <v>45</v>
      </c>
      <c r="R907" s="13">
        <v>0</v>
      </c>
      <c r="S907" s="13">
        <v>45</v>
      </c>
    </row>
    <row r="908" spans="1:21" s="13" customFormat="1">
      <c r="A908" s="190" t="s">
        <v>244</v>
      </c>
      <c r="B908" s="13">
        <v>38</v>
      </c>
      <c r="C908" s="13">
        <v>50</v>
      </c>
      <c r="D908" s="13">
        <v>225</v>
      </c>
      <c r="E908" s="13">
        <v>50</v>
      </c>
      <c r="F908" s="13">
        <v>6</v>
      </c>
      <c r="G908" s="13">
        <v>50</v>
      </c>
      <c r="N908" s="13">
        <v>30</v>
      </c>
      <c r="O908" s="13">
        <v>50</v>
      </c>
      <c r="P908" s="13">
        <v>160</v>
      </c>
      <c r="Q908" s="13">
        <v>50</v>
      </c>
      <c r="R908" s="13">
        <v>7</v>
      </c>
      <c r="S908" s="13">
        <v>50</v>
      </c>
    </row>
    <row r="909" spans="1:21" s="13" customFormat="1">
      <c r="A909" s="190" t="s">
        <v>227</v>
      </c>
      <c r="B909" s="13">
        <v>41</v>
      </c>
      <c r="C909" s="13">
        <v>55</v>
      </c>
      <c r="D909" s="13">
        <v>230</v>
      </c>
      <c r="E909" s="13">
        <v>55</v>
      </c>
      <c r="F909" s="13">
        <v>8</v>
      </c>
      <c r="G909" s="13">
        <v>55</v>
      </c>
      <c r="N909" s="13">
        <v>33</v>
      </c>
      <c r="O909" s="13">
        <v>55</v>
      </c>
      <c r="P909" s="13">
        <v>165</v>
      </c>
      <c r="Q909" s="13">
        <v>55</v>
      </c>
      <c r="R909" s="13">
        <v>8</v>
      </c>
      <c r="S909" s="13">
        <v>55</v>
      </c>
    </row>
    <row r="910" spans="1:21" s="13" customFormat="1">
      <c r="B910" s="13">
        <v>44</v>
      </c>
      <c r="C910" s="13">
        <v>60</v>
      </c>
      <c r="D910" s="13">
        <v>235</v>
      </c>
      <c r="E910" s="13">
        <v>60</v>
      </c>
      <c r="F910" s="13">
        <v>10</v>
      </c>
      <c r="G910" s="13">
        <v>60</v>
      </c>
      <c r="N910" s="13">
        <v>36</v>
      </c>
      <c r="O910" s="13">
        <v>60</v>
      </c>
      <c r="P910" s="13">
        <v>170</v>
      </c>
      <c r="Q910" s="13">
        <v>60</v>
      </c>
      <c r="R910" s="13">
        <v>9</v>
      </c>
      <c r="S910" s="13">
        <v>60</v>
      </c>
    </row>
    <row r="911" spans="1:21" s="13" customFormat="1">
      <c r="B911" s="13">
        <v>47</v>
      </c>
      <c r="C911" s="13">
        <v>65</v>
      </c>
      <c r="D911" s="13">
        <v>240</v>
      </c>
      <c r="E911" s="13">
        <v>65</v>
      </c>
      <c r="F911" s="13">
        <v>12</v>
      </c>
      <c r="G911" s="13">
        <v>65</v>
      </c>
      <c r="N911" s="13">
        <v>39</v>
      </c>
      <c r="O911" s="13">
        <v>65</v>
      </c>
      <c r="P911" s="13">
        <v>175</v>
      </c>
      <c r="Q911" s="13">
        <v>65</v>
      </c>
      <c r="R911" s="13">
        <v>11</v>
      </c>
      <c r="S911" s="13">
        <v>65</v>
      </c>
    </row>
    <row r="912" spans="1:21" s="13" customFormat="1">
      <c r="B912" s="13">
        <v>50</v>
      </c>
      <c r="C912" s="13">
        <v>70</v>
      </c>
      <c r="D912" s="13">
        <v>245</v>
      </c>
      <c r="E912" s="13">
        <v>70</v>
      </c>
      <c r="F912" s="13">
        <v>14</v>
      </c>
      <c r="G912" s="13">
        <v>70</v>
      </c>
      <c r="N912" s="13">
        <v>42</v>
      </c>
      <c r="O912" s="13">
        <v>70</v>
      </c>
      <c r="P912" s="13">
        <v>180</v>
      </c>
      <c r="Q912" s="13">
        <v>70</v>
      </c>
      <c r="R912" s="13">
        <v>13</v>
      </c>
      <c r="S912" s="13">
        <v>70</v>
      </c>
    </row>
    <row r="913" spans="1:31" s="13" customFormat="1">
      <c r="B913" s="13">
        <v>53</v>
      </c>
      <c r="C913" s="13">
        <v>75</v>
      </c>
      <c r="D913" s="13">
        <v>250</v>
      </c>
      <c r="E913" s="13">
        <v>75</v>
      </c>
      <c r="F913" s="13">
        <v>16</v>
      </c>
      <c r="G913" s="13">
        <v>75</v>
      </c>
      <c r="N913" s="13">
        <v>45</v>
      </c>
      <c r="O913" s="13">
        <v>75</v>
      </c>
      <c r="P913" s="13">
        <v>185</v>
      </c>
      <c r="Q913" s="13">
        <v>75</v>
      </c>
      <c r="R913" s="13">
        <v>15</v>
      </c>
      <c r="S913" s="13">
        <v>75</v>
      </c>
    </row>
    <row r="914" spans="1:31" s="13" customFormat="1">
      <c r="B914" s="13">
        <v>56</v>
      </c>
      <c r="C914" s="13">
        <v>80</v>
      </c>
      <c r="D914" s="13">
        <v>255</v>
      </c>
      <c r="E914" s="13">
        <v>80</v>
      </c>
      <c r="F914" s="13">
        <v>18</v>
      </c>
      <c r="G914" s="13">
        <v>80</v>
      </c>
      <c r="N914" s="13">
        <v>48</v>
      </c>
      <c r="O914" s="13">
        <v>80</v>
      </c>
      <c r="P914" s="13">
        <v>190</v>
      </c>
      <c r="Q914" s="13">
        <v>80</v>
      </c>
      <c r="R914" s="13">
        <v>17</v>
      </c>
      <c r="S914" s="13">
        <v>80</v>
      </c>
    </row>
    <row r="915" spans="1:31" s="13" customFormat="1">
      <c r="B915" s="13">
        <v>59</v>
      </c>
      <c r="C915" s="13">
        <v>85</v>
      </c>
      <c r="D915" s="13">
        <v>260</v>
      </c>
      <c r="E915" s="13">
        <v>85</v>
      </c>
      <c r="F915" s="13">
        <v>20</v>
      </c>
      <c r="G915" s="13">
        <v>85</v>
      </c>
      <c r="N915" s="13">
        <v>51</v>
      </c>
      <c r="O915" s="13">
        <v>85</v>
      </c>
      <c r="P915" s="13">
        <v>195</v>
      </c>
      <c r="Q915" s="13">
        <v>85</v>
      </c>
      <c r="R915" s="13">
        <v>19</v>
      </c>
      <c r="S915" s="13">
        <v>85</v>
      </c>
    </row>
    <row r="916" spans="1:31" s="13" customFormat="1">
      <c r="B916" s="13">
        <v>62</v>
      </c>
      <c r="C916" s="13">
        <v>90</v>
      </c>
      <c r="D916" s="13">
        <v>265</v>
      </c>
      <c r="E916" s="13">
        <v>90</v>
      </c>
      <c r="F916" s="13">
        <v>22</v>
      </c>
      <c r="G916" s="13">
        <v>90</v>
      </c>
      <c r="N916" s="13">
        <v>54</v>
      </c>
      <c r="O916" s="13">
        <v>90</v>
      </c>
      <c r="P916" s="13">
        <v>200</v>
      </c>
      <c r="Q916" s="13">
        <v>90</v>
      </c>
      <c r="R916" s="13">
        <v>21</v>
      </c>
      <c r="S916" s="13">
        <v>90</v>
      </c>
    </row>
    <row r="917" spans="1:31" s="13" customFormat="1">
      <c r="B917" s="13">
        <v>65</v>
      </c>
      <c r="C917" s="13">
        <v>95</v>
      </c>
      <c r="D917" s="13">
        <v>270</v>
      </c>
      <c r="E917" s="13">
        <v>95</v>
      </c>
      <c r="F917" s="13">
        <v>24</v>
      </c>
      <c r="G917" s="13">
        <v>95</v>
      </c>
      <c r="N917" s="13">
        <v>57</v>
      </c>
      <c r="O917" s="13">
        <v>95</v>
      </c>
      <c r="P917" s="13">
        <v>205</v>
      </c>
      <c r="Q917" s="13">
        <v>95</v>
      </c>
      <c r="R917" s="13">
        <v>23</v>
      </c>
      <c r="S917" s="13">
        <v>95</v>
      </c>
    </row>
    <row r="918" spans="1:31" s="13" customFormat="1">
      <c r="B918" s="13">
        <v>68</v>
      </c>
      <c r="C918" s="13">
        <v>100</v>
      </c>
      <c r="D918" s="13">
        <v>275</v>
      </c>
      <c r="E918" s="13">
        <v>100</v>
      </c>
      <c r="F918" s="13">
        <v>26</v>
      </c>
      <c r="G918" s="13">
        <v>100</v>
      </c>
      <c r="N918" s="13">
        <v>60</v>
      </c>
      <c r="O918" s="13">
        <v>100</v>
      </c>
      <c r="P918" s="13">
        <v>210</v>
      </c>
      <c r="Q918" s="13">
        <v>100</v>
      </c>
      <c r="R918" s="13">
        <v>25</v>
      </c>
      <c r="S918" s="13">
        <v>100</v>
      </c>
    </row>
    <row r="919" spans="1:31" s="13" customFormat="1">
      <c r="B919" s="34"/>
      <c r="N919" s="34"/>
    </row>
    <row r="921" spans="1:31" s="133" customFormat="1">
      <c r="A921" s="14" t="s">
        <v>181</v>
      </c>
      <c r="B921" s="34" t="s">
        <v>473</v>
      </c>
      <c r="C921" s="14" t="s">
        <v>471</v>
      </c>
      <c r="D921" s="14" t="s">
        <v>483</v>
      </c>
      <c r="E921" s="14" t="s">
        <v>471</v>
      </c>
      <c r="F921" s="14" t="s">
        <v>480</v>
      </c>
      <c r="G921" s="14" t="s">
        <v>471</v>
      </c>
      <c r="H921" s="14" t="s">
        <v>452</v>
      </c>
      <c r="I921" s="14" t="s">
        <v>471</v>
      </c>
      <c r="J921" s="205" t="s">
        <v>315</v>
      </c>
      <c r="K921" s="205" t="s">
        <v>471</v>
      </c>
      <c r="L921" s="141"/>
      <c r="M921" s="292" t="s">
        <v>435</v>
      </c>
      <c r="N921" s="34" t="s">
        <v>473</v>
      </c>
      <c r="O921" s="14" t="s">
        <v>471</v>
      </c>
      <c r="P921" s="14" t="s">
        <v>483</v>
      </c>
      <c r="Q921" s="14" t="s">
        <v>471</v>
      </c>
      <c r="R921" s="14" t="s">
        <v>480</v>
      </c>
      <c r="S921" s="14" t="s">
        <v>471</v>
      </c>
      <c r="T921" s="14" t="s">
        <v>452</v>
      </c>
      <c r="U921" s="14" t="s">
        <v>471</v>
      </c>
      <c r="V921" s="205" t="s">
        <v>315</v>
      </c>
      <c r="W921" s="205" t="s">
        <v>471</v>
      </c>
      <c r="X921" s="14"/>
      <c r="AC921" s="14"/>
      <c r="AE921" s="14"/>
    </row>
    <row r="922" spans="1:31" s="133" customFormat="1">
      <c r="A922" s="14" t="s">
        <v>486</v>
      </c>
      <c r="B922" s="34">
        <v>0</v>
      </c>
      <c r="C922" s="14">
        <v>150</v>
      </c>
      <c r="D922" s="14">
        <v>0</v>
      </c>
      <c r="E922" s="14">
        <v>50</v>
      </c>
      <c r="F922" s="14">
        <v>0</v>
      </c>
      <c r="G922" s="292">
        <v>50</v>
      </c>
      <c r="H922" s="14">
        <v>0</v>
      </c>
      <c r="I922" s="14">
        <v>50</v>
      </c>
      <c r="J922" s="205">
        <v>0</v>
      </c>
      <c r="K922" s="205">
        <v>0</v>
      </c>
      <c r="L922" s="141"/>
      <c r="M922" s="292" t="s">
        <v>245</v>
      </c>
      <c r="N922" s="34">
        <v>0</v>
      </c>
      <c r="O922" s="14">
        <v>150</v>
      </c>
      <c r="P922" s="14">
        <v>0</v>
      </c>
      <c r="Q922" s="14">
        <v>50</v>
      </c>
      <c r="R922" s="14">
        <v>0</v>
      </c>
      <c r="S922" s="292">
        <v>50</v>
      </c>
      <c r="T922" s="14">
        <v>0</v>
      </c>
      <c r="U922" s="14">
        <v>50</v>
      </c>
      <c r="V922" s="205">
        <v>0</v>
      </c>
      <c r="W922" s="205">
        <v>0</v>
      </c>
      <c r="X922" s="14"/>
      <c r="AC922" s="14"/>
      <c r="AE922" s="14"/>
    </row>
    <row r="923" spans="1:31" s="133" customFormat="1">
      <c r="A923" s="14" t="s">
        <v>38</v>
      </c>
      <c r="B923" s="34">
        <v>14.51</v>
      </c>
      <c r="C923" s="14">
        <v>146</v>
      </c>
      <c r="D923" s="14">
        <v>16</v>
      </c>
      <c r="E923" s="14">
        <v>52</v>
      </c>
      <c r="F923" s="14">
        <v>242</v>
      </c>
      <c r="G923" s="292">
        <v>54</v>
      </c>
      <c r="H923" s="14">
        <v>6.2000000000000171</v>
      </c>
      <c r="I923" s="14">
        <v>52</v>
      </c>
      <c r="J923" s="205">
        <v>49</v>
      </c>
      <c r="K923" s="205">
        <v>4</v>
      </c>
      <c r="L923" s="141"/>
      <c r="M923" s="292" t="s">
        <v>237</v>
      </c>
      <c r="N923" s="34">
        <v>16.510000000000002</v>
      </c>
      <c r="O923" s="14">
        <v>146</v>
      </c>
      <c r="P923" s="14">
        <v>4</v>
      </c>
      <c r="Q923" s="14">
        <v>52</v>
      </c>
      <c r="R923" s="14">
        <v>192</v>
      </c>
      <c r="S923" s="292">
        <v>54</v>
      </c>
      <c r="T923" s="14">
        <v>3.1999999999999957</v>
      </c>
      <c r="U923" s="14">
        <v>52</v>
      </c>
      <c r="V923" s="205">
        <v>44</v>
      </c>
      <c r="W923" s="205">
        <v>4</v>
      </c>
      <c r="X923" s="14"/>
      <c r="AC923" s="14"/>
      <c r="AE923" s="14"/>
    </row>
    <row r="924" spans="1:31" s="133" customFormat="1">
      <c r="A924" s="14" t="s">
        <v>237</v>
      </c>
      <c r="B924" s="34">
        <v>14.71</v>
      </c>
      <c r="C924" s="292">
        <v>142</v>
      </c>
      <c r="D924" s="14">
        <v>17</v>
      </c>
      <c r="E924" s="14">
        <v>54</v>
      </c>
      <c r="F924" s="14">
        <v>244</v>
      </c>
      <c r="G924" s="292">
        <v>58</v>
      </c>
      <c r="H924" s="14">
        <v>6.4000000000000163</v>
      </c>
      <c r="I924" s="14">
        <v>54</v>
      </c>
      <c r="J924" s="205">
        <v>50</v>
      </c>
      <c r="K924" s="205">
        <v>8</v>
      </c>
      <c r="L924" s="141"/>
      <c r="M924" s="292" t="s">
        <v>228</v>
      </c>
      <c r="N924" s="34">
        <v>16.71</v>
      </c>
      <c r="O924" s="292">
        <v>142</v>
      </c>
      <c r="P924" s="14">
        <v>5</v>
      </c>
      <c r="Q924" s="14">
        <v>54</v>
      </c>
      <c r="R924" s="14">
        <v>194</v>
      </c>
      <c r="S924" s="292">
        <v>58</v>
      </c>
      <c r="T924" s="14">
        <v>3.3999999999999959</v>
      </c>
      <c r="U924" s="14">
        <v>54</v>
      </c>
      <c r="V924" s="205">
        <v>45</v>
      </c>
      <c r="W924" s="205">
        <v>8</v>
      </c>
      <c r="X924" s="14"/>
      <c r="AC924" s="14"/>
      <c r="AE924" s="14"/>
    </row>
    <row r="925" spans="1:31" s="133" customFormat="1">
      <c r="A925" s="14" t="s">
        <v>228</v>
      </c>
      <c r="B925" s="34">
        <v>14.910000000000004</v>
      </c>
      <c r="C925" s="292">
        <v>138</v>
      </c>
      <c r="D925" s="14">
        <v>18</v>
      </c>
      <c r="E925" s="14">
        <v>56</v>
      </c>
      <c r="F925" s="14">
        <v>246</v>
      </c>
      <c r="G925" s="292">
        <v>62</v>
      </c>
      <c r="H925" s="14">
        <v>6.6000000000000156</v>
      </c>
      <c r="I925" s="14">
        <v>56</v>
      </c>
      <c r="J925" s="205">
        <v>51</v>
      </c>
      <c r="K925" s="205">
        <v>12</v>
      </c>
      <c r="L925" s="141"/>
      <c r="M925" s="141"/>
      <c r="N925" s="34">
        <v>16.910000000000025</v>
      </c>
      <c r="O925" s="292">
        <v>138</v>
      </c>
      <c r="P925" s="14">
        <v>6</v>
      </c>
      <c r="Q925" s="14">
        <v>56</v>
      </c>
      <c r="R925" s="14">
        <v>196</v>
      </c>
      <c r="S925" s="292">
        <v>62</v>
      </c>
      <c r="T925" s="14">
        <v>3.5999999999999961</v>
      </c>
      <c r="U925" s="14">
        <v>56</v>
      </c>
      <c r="V925" s="205">
        <v>46</v>
      </c>
      <c r="W925" s="205">
        <v>12</v>
      </c>
      <c r="X925" s="14"/>
      <c r="AC925" s="14"/>
      <c r="AE925" s="14"/>
    </row>
    <row r="926" spans="1:31" s="133" customFormat="1">
      <c r="A926" s="14"/>
      <c r="B926" s="34">
        <v>15.110000000000007</v>
      </c>
      <c r="C926" s="292">
        <v>134</v>
      </c>
      <c r="D926" s="14">
        <v>19</v>
      </c>
      <c r="E926" s="14">
        <v>58</v>
      </c>
      <c r="F926" s="14">
        <v>248</v>
      </c>
      <c r="G926" s="292">
        <v>66</v>
      </c>
      <c r="H926" s="14">
        <v>6.8000000000000149</v>
      </c>
      <c r="I926" s="14">
        <v>58</v>
      </c>
      <c r="J926" s="205">
        <v>52</v>
      </c>
      <c r="K926" s="205">
        <v>16</v>
      </c>
      <c r="L926" s="141"/>
      <c r="M926" s="141"/>
      <c r="N926" s="34">
        <v>17.110000000000042</v>
      </c>
      <c r="O926" s="292">
        <v>134</v>
      </c>
      <c r="P926" s="14">
        <v>7</v>
      </c>
      <c r="Q926" s="14">
        <v>58</v>
      </c>
      <c r="R926" s="14">
        <v>198</v>
      </c>
      <c r="S926" s="292">
        <v>66</v>
      </c>
      <c r="T926" s="14">
        <v>3.7999999999999963</v>
      </c>
      <c r="U926" s="14">
        <v>58</v>
      </c>
      <c r="V926" s="205">
        <v>47</v>
      </c>
      <c r="W926" s="205">
        <v>16</v>
      </c>
      <c r="X926" s="14"/>
      <c r="AC926" s="14"/>
      <c r="AE926" s="14"/>
    </row>
    <row r="927" spans="1:31" s="133" customFormat="1">
      <c r="A927" s="14"/>
      <c r="B927" s="34">
        <v>15.310000000000009</v>
      </c>
      <c r="C927" s="292">
        <v>130</v>
      </c>
      <c r="D927" s="14">
        <v>20</v>
      </c>
      <c r="E927" s="14">
        <v>60</v>
      </c>
      <c r="F927" s="14">
        <v>250</v>
      </c>
      <c r="G927" s="292">
        <v>70</v>
      </c>
      <c r="H927" s="14">
        <v>7.0000000000000142</v>
      </c>
      <c r="I927" s="14">
        <v>60</v>
      </c>
      <c r="J927" s="205">
        <v>53</v>
      </c>
      <c r="K927" s="205">
        <v>20</v>
      </c>
      <c r="L927" s="141"/>
      <c r="M927" s="141"/>
      <c r="N927" s="34">
        <v>17.310000000000059</v>
      </c>
      <c r="O927" s="292">
        <v>130</v>
      </c>
      <c r="P927" s="14">
        <v>8</v>
      </c>
      <c r="Q927" s="14">
        <v>60</v>
      </c>
      <c r="R927" s="14">
        <v>200</v>
      </c>
      <c r="S927" s="292">
        <v>70</v>
      </c>
      <c r="T927" s="14">
        <v>3.9999999999999964</v>
      </c>
      <c r="U927" s="14">
        <v>60</v>
      </c>
      <c r="V927" s="205">
        <v>48</v>
      </c>
      <c r="W927" s="205">
        <v>20</v>
      </c>
      <c r="X927" s="14"/>
      <c r="AC927" s="14"/>
      <c r="AE927" s="14"/>
    </row>
    <row r="928" spans="1:31" s="133" customFormat="1">
      <c r="A928" s="14"/>
      <c r="B928" s="34">
        <v>15.510000000000012</v>
      </c>
      <c r="C928" s="292">
        <v>126</v>
      </c>
      <c r="D928" s="14">
        <v>21</v>
      </c>
      <c r="E928" s="14">
        <v>62</v>
      </c>
      <c r="F928" s="14">
        <v>252</v>
      </c>
      <c r="G928" s="292">
        <v>74</v>
      </c>
      <c r="H928" s="14">
        <v>7.2000000000000135</v>
      </c>
      <c r="I928" s="14">
        <v>62</v>
      </c>
      <c r="J928" s="205">
        <v>54</v>
      </c>
      <c r="K928" s="205">
        <v>24</v>
      </c>
      <c r="L928" s="141"/>
      <c r="M928" s="141"/>
      <c r="N928" s="34">
        <v>17.510000000000076</v>
      </c>
      <c r="O928" s="292">
        <v>126</v>
      </c>
      <c r="P928" s="14">
        <v>9</v>
      </c>
      <c r="Q928" s="14">
        <v>62</v>
      </c>
      <c r="R928" s="14">
        <v>202</v>
      </c>
      <c r="S928" s="292">
        <v>74</v>
      </c>
      <c r="T928" s="14">
        <v>4.1999999999999966</v>
      </c>
      <c r="U928" s="14">
        <v>62</v>
      </c>
      <c r="V928" s="205">
        <v>49</v>
      </c>
      <c r="W928" s="205">
        <v>24</v>
      </c>
      <c r="X928" s="14"/>
      <c r="AC928" s="14"/>
      <c r="AE928" s="14"/>
    </row>
    <row r="929" spans="1:31" s="133" customFormat="1">
      <c r="A929" s="14"/>
      <c r="B929" s="34">
        <v>15.710000000000015</v>
      </c>
      <c r="C929" s="292">
        <v>122</v>
      </c>
      <c r="D929" s="14">
        <v>22</v>
      </c>
      <c r="E929" s="14">
        <v>64</v>
      </c>
      <c r="F929" s="14">
        <v>254</v>
      </c>
      <c r="G929" s="292">
        <v>78</v>
      </c>
      <c r="H929" s="14">
        <v>7.4000000000000128</v>
      </c>
      <c r="I929" s="14">
        <v>64</v>
      </c>
      <c r="J929" s="205">
        <v>55</v>
      </c>
      <c r="K929" s="205">
        <v>28</v>
      </c>
      <c r="L929" s="141"/>
      <c r="M929" s="141"/>
      <c r="N929" s="34">
        <v>17.710000000000093</v>
      </c>
      <c r="O929" s="292">
        <v>122</v>
      </c>
      <c r="P929" s="14">
        <v>10</v>
      </c>
      <c r="Q929" s="14">
        <v>64</v>
      </c>
      <c r="R929" s="14">
        <v>204</v>
      </c>
      <c r="S929" s="292">
        <v>78</v>
      </c>
      <c r="T929" s="14">
        <v>4.3999999999999968</v>
      </c>
      <c r="U929" s="14">
        <v>64</v>
      </c>
      <c r="V929" s="205">
        <v>50</v>
      </c>
      <c r="W929" s="205">
        <v>28</v>
      </c>
      <c r="X929" s="14"/>
      <c r="AC929" s="14"/>
      <c r="AE929" s="14"/>
    </row>
    <row r="930" spans="1:31" s="133" customFormat="1">
      <c r="A930" s="14"/>
      <c r="B930" s="34">
        <v>15.910000000000018</v>
      </c>
      <c r="C930" s="292">
        <v>118</v>
      </c>
      <c r="D930" s="14">
        <v>23</v>
      </c>
      <c r="E930" s="14">
        <v>66</v>
      </c>
      <c r="F930" s="14">
        <v>256</v>
      </c>
      <c r="G930" s="292">
        <v>82</v>
      </c>
      <c r="H930" s="14">
        <v>7.6000000000000121</v>
      </c>
      <c r="I930" s="14">
        <v>66</v>
      </c>
      <c r="J930" s="205">
        <v>56</v>
      </c>
      <c r="K930" s="205">
        <v>32</v>
      </c>
      <c r="L930" s="141"/>
      <c r="M930" s="141"/>
      <c r="N930" s="34">
        <v>17.91000000000011</v>
      </c>
      <c r="O930" s="292">
        <v>118</v>
      </c>
      <c r="P930" s="14">
        <v>11</v>
      </c>
      <c r="Q930" s="14">
        <v>66</v>
      </c>
      <c r="R930" s="14">
        <v>206</v>
      </c>
      <c r="S930" s="292">
        <v>82</v>
      </c>
      <c r="T930" s="14">
        <v>4.599999999999997</v>
      </c>
      <c r="U930" s="14">
        <v>66</v>
      </c>
      <c r="V930" s="205">
        <v>51</v>
      </c>
      <c r="W930" s="205">
        <v>32</v>
      </c>
      <c r="X930" s="14"/>
      <c r="AC930" s="14"/>
      <c r="AE930" s="14"/>
    </row>
    <row r="931" spans="1:31" s="133" customFormat="1" ht="15" customHeight="1">
      <c r="A931" s="14"/>
      <c r="B931" s="34">
        <v>16.110000000000021</v>
      </c>
      <c r="C931" s="292">
        <v>114</v>
      </c>
      <c r="D931" s="14">
        <v>24</v>
      </c>
      <c r="E931" s="14">
        <v>68</v>
      </c>
      <c r="F931" s="14">
        <v>258</v>
      </c>
      <c r="G931" s="292">
        <v>86</v>
      </c>
      <c r="H931" s="14">
        <v>7.8000000000000114</v>
      </c>
      <c r="I931" s="14">
        <v>68</v>
      </c>
      <c r="J931" s="205">
        <v>57</v>
      </c>
      <c r="K931" s="205">
        <v>36</v>
      </c>
      <c r="L931" s="141"/>
      <c r="M931" s="141"/>
      <c r="N931" s="34">
        <v>18.110000000000127</v>
      </c>
      <c r="O931" s="292">
        <v>114</v>
      </c>
      <c r="P931" s="14">
        <v>12</v>
      </c>
      <c r="Q931" s="14">
        <v>68</v>
      </c>
      <c r="R931" s="14">
        <v>208</v>
      </c>
      <c r="S931" s="292">
        <v>86</v>
      </c>
      <c r="T931" s="14">
        <v>4.7999999999999972</v>
      </c>
      <c r="U931" s="14">
        <v>68</v>
      </c>
      <c r="V931" s="205">
        <v>52</v>
      </c>
      <c r="W931" s="205">
        <v>36</v>
      </c>
      <c r="X931" s="14"/>
      <c r="AC931" s="14"/>
      <c r="AE931" s="14"/>
    </row>
    <row r="932" spans="1:31" s="133" customFormat="1" ht="15" customHeight="1">
      <c r="A932" s="14"/>
      <c r="B932" s="34">
        <v>16.310000000000024</v>
      </c>
      <c r="C932" s="292">
        <v>110</v>
      </c>
      <c r="D932" s="14">
        <v>25</v>
      </c>
      <c r="E932" s="14">
        <v>70</v>
      </c>
      <c r="F932" s="14">
        <v>260</v>
      </c>
      <c r="G932" s="292">
        <v>90</v>
      </c>
      <c r="H932" s="14">
        <v>8.0000000000000107</v>
      </c>
      <c r="I932" s="14">
        <v>70</v>
      </c>
      <c r="J932" s="205">
        <v>58</v>
      </c>
      <c r="K932" s="205">
        <v>40</v>
      </c>
      <c r="L932" s="141"/>
      <c r="M932" s="141"/>
      <c r="N932" s="34">
        <v>18.310000000000144</v>
      </c>
      <c r="O932" s="292">
        <v>110</v>
      </c>
      <c r="P932" s="14">
        <v>13</v>
      </c>
      <c r="Q932" s="14">
        <v>70</v>
      </c>
      <c r="R932" s="14">
        <v>210</v>
      </c>
      <c r="S932" s="292">
        <v>90</v>
      </c>
      <c r="T932" s="14">
        <v>4.9999999999999973</v>
      </c>
      <c r="U932" s="14">
        <v>70</v>
      </c>
      <c r="V932" s="205">
        <v>53</v>
      </c>
      <c r="W932" s="205">
        <v>40</v>
      </c>
      <c r="X932" s="14"/>
      <c r="AC932" s="14"/>
      <c r="AE932" s="14"/>
    </row>
    <row r="933" spans="1:31" s="133" customFormat="1">
      <c r="A933" s="14"/>
      <c r="B933" s="34">
        <v>16.510000000000026</v>
      </c>
      <c r="C933" s="292">
        <v>106</v>
      </c>
      <c r="D933" s="14">
        <v>26</v>
      </c>
      <c r="E933" s="14">
        <v>72</v>
      </c>
      <c r="F933" s="14">
        <v>262</v>
      </c>
      <c r="G933" s="292">
        <v>94</v>
      </c>
      <c r="H933" s="14">
        <v>8.2000000000000099</v>
      </c>
      <c r="I933" s="14">
        <v>72</v>
      </c>
      <c r="J933" s="205">
        <v>59</v>
      </c>
      <c r="K933" s="205">
        <v>44</v>
      </c>
      <c r="L933" s="141"/>
      <c r="M933" s="141"/>
      <c r="N933" s="34">
        <v>18.510000000000161</v>
      </c>
      <c r="O933" s="292">
        <v>106</v>
      </c>
      <c r="P933" s="14">
        <v>14</v>
      </c>
      <c r="Q933" s="14">
        <v>72</v>
      </c>
      <c r="R933" s="14">
        <v>212</v>
      </c>
      <c r="S933" s="292">
        <v>94</v>
      </c>
      <c r="T933" s="14">
        <v>5.1999999999999975</v>
      </c>
      <c r="U933" s="14">
        <v>72</v>
      </c>
      <c r="V933" s="205">
        <v>54</v>
      </c>
      <c r="W933" s="205">
        <v>44</v>
      </c>
      <c r="X933" s="14"/>
      <c r="AC933" s="14"/>
      <c r="AE933" s="14"/>
    </row>
    <row r="934" spans="1:31" s="133" customFormat="1">
      <c r="A934" s="14"/>
      <c r="B934" s="34">
        <v>16.710000000000029</v>
      </c>
      <c r="C934" s="292">
        <v>102</v>
      </c>
      <c r="D934" s="14">
        <v>27</v>
      </c>
      <c r="E934" s="14">
        <v>74</v>
      </c>
      <c r="F934" s="14">
        <v>264</v>
      </c>
      <c r="G934" s="292">
        <v>98</v>
      </c>
      <c r="H934" s="14">
        <v>8.4000000000000092</v>
      </c>
      <c r="I934" s="14">
        <v>74</v>
      </c>
      <c r="J934" s="205">
        <v>60</v>
      </c>
      <c r="K934" s="205">
        <v>48</v>
      </c>
      <c r="L934" s="141"/>
      <c r="M934" s="141"/>
      <c r="N934" s="34">
        <v>18.710000000000178</v>
      </c>
      <c r="O934" s="292">
        <v>102</v>
      </c>
      <c r="P934" s="14">
        <v>15</v>
      </c>
      <c r="Q934" s="14">
        <v>74</v>
      </c>
      <c r="R934" s="14">
        <v>214</v>
      </c>
      <c r="S934" s="292">
        <v>98</v>
      </c>
      <c r="T934" s="14">
        <v>5.3999999999999977</v>
      </c>
      <c r="U934" s="14">
        <v>74</v>
      </c>
      <c r="V934" s="205">
        <v>55</v>
      </c>
      <c r="W934" s="205">
        <v>48</v>
      </c>
      <c r="X934" s="14"/>
      <c r="AC934" s="14"/>
      <c r="AE934" s="14"/>
    </row>
    <row r="935" spans="1:31" s="133" customFormat="1">
      <c r="A935" s="14"/>
      <c r="B935" s="34">
        <v>16.910000000000032</v>
      </c>
      <c r="C935" s="292">
        <v>98</v>
      </c>
      <c r="D935" s="14">
        <v>28</v>
      </c>
      <c r="E935" s="14">
        <v>76</v>
      </c>
      <c r="F935" s="14">
        <v>266</v>
      </c>
      <c r="G935" s="292">
        <v>102</v>
      </c>
      <c r="H935" s="14">
        <v>8.6000000000000085</v>
      </c>
      <c r="I935" s="14">
        <v>76</v>
      </c>
      <c r="J935" s="205">
        <v>61</v>
      </c>
      <c r="K935" s="205">
        <v>52</v>
      </c>
      <c r="L935" s="141"/>
      <c r="M935" s="141"/>
      <c r="N935" s="34">
        <v>18.910000000000196</v>
      </c>
      <c r="O935" s="292">
        <v>98</v>
      </c>
      <c r="P935" s="14">
        <v>16</v>
      </c>
      <c r="Q935" s="14">
        <v>76</v>
      </c>
      <c r="R935" s="14">
        <v>216</v>
      </c>
      <c r="S935" s="292">
        <v>102</v>
      </c>
      <c r="T935" s="14">
        <v>5.5999999999999979</v>
      </c>
      <c r="U935" s="14">
        <v>76</v>
      </c>
      <c r="V935" s="205">
        <v>56</v>
      </c>
      <c r="W935" s="205">
        <v>52</v>
      </c>
      <c r="X935" s="14"/>
      <c r="AC935" s="14"/>
      <c r="AE935" s="14"/>
    </row>
    <row r="936" spans="1:31" s="133" customFormat="1">
      <c r="A936" s="14"/>
      <c r="B936" s="34">
        <v>17.110000000000035</v>
      </c>
      <c r="C936" s="292">
        <v>94</v>
      </c>
      <c r="D936" s="14">
        <v>29</v>
      </c>
      <c r="E936" s="14">
        <v>78</v>
      </c>
      <c r="F936" s="14">
        <v>268</v>
      </c>
      <c r="G936" s="292">
        <v>106</v>
      </c>
      <c r="H936" s="14">
        <v>8.8000000000000078</v>
      </c>
      <c r="I936" s="14">
        <v>78</v>
      </c>
      <c r="J936" s="205">
        <v>62</v>
      </c>
      <c r="K936" s="205">
        <v>56</v>
      </c>
      <c r="L936" s="141"/>
      <c r="M936" s="141"/>
      <c r="N936" s="34">
        <v>19.110000000000213</v>
      </c>
      <c r="O936" s="292">
        <v>94</v>
      </c>
      <c r="P936" s="14">
        <v>17</v>
      </c>
      <c r="Q936" s="14">
        <v>78</v>
      </c>
      <c r="R936" s="14">
        <v>218</v>
      </c>
      <c r="S936" s="292">
        <v>106</v>
      </c>
      <c r="T936" s="14">
        <v>5.799999999999998</v>
      </c>
      <c r="U936" s="14">
        <v>78</v>
      </c>
      <c r="V936" s="205">
        <v>57</v>
      </c>
      <c r="W936" s="205">
        <v>56</v>
      </c>
      <c r="X936" s="14"/>
      <c r="AC936" s="14"/>
      <c r="AE936" s="14"/>
    </row>
    <row r="937" spans="1:31" s="133" customFormat="1">
      <c r="A937" s="14"/>
      <c r="B937" s="34">
        <v>17.310000000000038</v>
      </c>
      <c r="C937" s="292">
        <v>90</v>
      </c>
      <c r="D937" s="14">
        <v>30</v>
      </c>
      <c r="E937" s="14">
        <v>80</v>
      </c>
      <c r="F937" s="14">
        <v>270</v>
      </c>
      <c r="G937" s="292">
        <v>110</v>
      </c>
      <c r="H937" s="14">
        <v>9.0000000000000071</v>
      </c>
      <c r="I937" s="14">
        <v>80</v>
      </c>
      <c r="J937" s="205">
        <v>63</v>
      </c>
      <c r="K937" s="205">
        <v>60</v>
      </c>
      <c r="L937" s="141"/>
      <c r="M937" s="141"/>
      <c r="N937" s="34">
        <v>19.31000000000023</v>
      </c>
      <c r="O937" s="292">
        <v>90</v>
      </c>
      <c r="P937" s="14">
        <v>18</v>
      </c>
      <c r="Q937" s="14">
        <v>80</v>
      </c>
      <c r="R937" s="14">
        <v>220</v>
      </c>
      <c r="S937" s="292">
        <v>110</v>
      </c>
      <c r="T937" s="14">
        <v>5.9999999999999982</v>
      </c>
      <c r="U937" s="14">
        <v>80</v>
      </c>
      <c r="V937" s="205">
        <v>58</v>
      </c>
      <c r="W937" s="205">
        <v>60</v>
      </c>
      <c r="X937" s="14"/>
      <c r="AC937" s="14"/>
      <c r="AE937" s="14"/>
    </row>
    <row r="938" spans="1:31" s="133" customFormat="1">
      <c r="A938" s="14"/>
      <c r="B938" s="34">
        <v>17.510000000000041</v>
      </c>
      <c r="C938" s="292">
        <v>86</v>
      </c>
      <c r="D938" s="14">
        <v>31</v>
      </c>
      <c r="E938" s="14">
        <v>82</v>
      </c>
      <c r="F938" s="14">
        <v>272</v>
      </c>
      <c r="G938" s="292">
        <v>114</v>
      </c>
      <c r="H938" s="14">
        <v>9.2000000000000064</v>
      </c>
      <c r="I938" s="14">
        <v>82</v>
      </c>
      <c r="J938" s="205">
        <v>64</v>
      </c>
      <c r="K938" s="205">
        <v>64</v>
      </c>
      <c r="L938" s="141"/>
      <c r="M938" s="141"/>
      <c r="N938" s="34">
        <v>19.510000000000247</v>
      </c>
      <c r="O938" s="292">
        <v>86</v>
      </c>
      <c r="P938" s="14">
        <v>19</v>
      </c>
      <c r="Q938" s="14">
        <v>82</v>
      </c>
      <c r="R938" s="14">
        <v>222</v>
      </c>
      <c r="S938" s="292">
        <v>114</v>
      </c>
      <c r="T938" s="14">
        <v>6.1999999999999984</v>
      </c>
      <c r="U938" s="14">
        <v>82</v>
      </c>
      <c r="V938" s="205">
        <v>59</v>
      </c>
      <c r="W938" s="205">
        <v>64</v>
      </c>
      <c r="X938" s="14"/>
      <c r="AC938" s="14"/>
      <c r="AE938" s="14"/>
    </row>
    <row r="939" spans="1:31" s="133" customFormat="1">
      <c r="A939" s="14"/>
      <c r="B939" s="34">
        <v>17.710000000000043</v>
      </c>
      <c r="C939" s="292">
        <v>82</v>
      </c>
      <c r="D939" s="14">
        <v>32</v>
      </c>
      <c r="E939" s="14">
        <v>84</v>
      </c>
      <c r="F939" s="14">
        <v>274</v>
      </c>
      <c r="G939" s="292">
        <v>118</v>
      </c>
      <c r="H939" s="14">
        <v>9.4000000000000057</v>
      </c>
      <c r="I939" s="14">
        <v>84</v>
      </c>
      <c r="J939" s="205">
        <v>65</v>
      </c>
      <c r="K939" s="205">
        <v>68</v>
      </c>
      <c r="L939" s="141"/>
      <c r="M939" s="141"/>
      <c r="N939" s="34">
        <v>19.710000000000264</v>
      </c>
      <c r="O939" s="292">
        <v>82</v>
      </c>
      <c r="P939" s="14">
        <v>20</v>
      </c>
      <c r="Q939" s="14">
        <v>84</v>
      </c>
      <c r="R939" s="14">
        <v>224</v>
      </c>
      <c r="S939" s="292">
        <v>118</v>
      </c>
      <c r="T939" s="14">
        <v>6.3999999999999986</v>
      </c>
      <c r="U939" s="14">
        <v>84</v>
      </c>
      <c r="V939" s="205">
        <v>60</v>
      </c>
      <c r="W939" s="205">
        <v>68</v>
      </c>
      <c r="X939" s="14"/>
      <c r="AC939" s="14"/>
      <c r="AE939" s="14"/>
    </row>
    <row r="940" spans="1:31" s="133" customFormat="1">
      <c r="A940" s="14"/>
      <c r="B940" s="34">
        <v>17.910000000000046</v>
      </c>
      <c r="C940" s="292">
        <v>78</v>
      </c>
      <c r="D940" s="14">
        <v>33</v>
      </c>
      <c r="E940" s="14">
        <v>86</v>
      </c>
      <c r="F940" s="14">
        <v>276</v>
      </c>
      <c r="G940" s="292">
        <v>122</v>
      </c>
      <c r="H940" s="14">
        <v>9.600000000000005</v>
      </c>
      <c r="I940" s="14">
        <v>86</v>
      </c>
      <c r="J940" s="205">
        <v>66</v>
      </c>
      <c r="K940" s="205">
        <v>72</v>
      </c>
      <c r="L940" s="141"/>
      <c r="M940" s="141"/>
      <c r="N940" s="34">
        <v>19.910000000000281</v>
      </c>
      <c r="O940" s="292">
        <v>78</v>
      </c>
      <c r="P940" s="14">
        <v>21</v>
      </c>
      <c r="Q940" s="14">
        <v>86</v>
      </c>
      <c r="R940" s="14">
        <v>226</v>
      </c>
      <c r="S940" s="292">
        <v>122</v>
      </c>
      <c r="T940" s="14">
        <v>6.5999999999999988</v>
      </c>
      <c r="U940" s="14">
        <v>86</v>
      </c>
      <c r="V940" s="205">
        <v>61</v>
      </c>
      <c r="W940" s="205">
        <v>72</v>
      </c>
      <c r="X940" s="14"/>
      <c r="AC940" s="14"/>
      <c r="AE940" s="14"/>
    </row>
    <row r="941" spans="1:31" s="133" customFormat="1">
      <c r="A941" s="14"/>
      <c r="B941" s="34">
        <v>18.110000000000049</v>
      </c>
      <c r="C941" s="292">
        <v>74</v>
      </c>
      <c r="D941" s="14">
        <v>34</v>
      </c>
      <c r="E941" s="14">
        <v>88</v>
      </c>
      <c r="F941" s="14">
        <v>278</v>
      </c>
      <c r="G941" s="292">
        <v>126</v>
      </c>
      <c r="H941" s="14">
        <v>9.8000000000000043</v>
      </c>
      <c r="I941" s="14">
        <v>88</v>
      </c>
      <c r="J941" s="205">
        <v>67</v>
      </c>
      <c r="K941" s="205">
        <v>76</v>
      </c>
      <c r="L941" s="141"/>
      <c r="M941" s="141"/>
      <c r="N941" s="34">
        <v>20.110000000000298</v>
      </c>
      <c r="O941" s="292">
        <v>74</v>
      </c>
      <c r="P941" s="14">
        <v>22</v>
      </c>
      <c r="Q941" s="14">
        <v>88</v>
      </c>
      <c r="R941" s="14">
        <v>228</v>
      </c>
      <c r="S941" s="292">
        <v>126</v>
      </c>
      <c r="T941" s="14">
        <v>6.7999999999999989</v>
      </c>
      <c r="U941" s="14">
        <v>88</v>
      </c>
      <c r="V941" s="205">
        <v>62</v>
      </c>
      <c r="W941" s="205">
        <v>76</v>
      </c>
      <c r="X941" s="14"/>
      <c r="AC941" s="14"/>
      <c r="AE941" s="14"/>
    </row>
    <row r="942" spans="1:31" s="133" customFormat="1">
      <c r="A942" s="14"/>
      <c r="B942" s="34">
        <v>18.310000000000052</v>
      </c>
      <c r="C942" s="292">
        <v>70</v>
      </c>
      <c r="D942" s="14">
        <v>35</v>
      </c>
      <c r="E942" s="14">
        <v>90</v>
      </c>
      <c r="F942" s="14">
        <v>280</v>
      </c>
      <c r="G942" s="292">
        <v>130</v>
      </c>
      <c r="H942" s="14">
        <v>10.000000000000004</v>
      </c>
      <c r="I942" s="14">
        <v>90</v>
      </c>
      <c r="J942" s="205">
        <v>68</v>
      </c>
      <c r="K942" s="205">
        <v>80</v>
      </c>
      <c r="L942" s="141"/>
      <c r="M942" s="141"/>
      <c r="N942" s="34">
        <v>20.310000000000315</v>
      </c>
      <c r="O942" s="292">
        <v>70</v>
      </c>
      <c r="P942" s="14">
        <v>23</v>
      </c>
      <c r="Q942" s="14">
        <v>90</v>
      </c>
      <c r="R942" s="14">
        <v>230</v>
      </c>
      <c r="S942" s="292">
        <v>130</v>
      </c>
      <c r="T942" s="14">
        <v>6.9999999999999991</v>
      </c>
      <c r="U942" s="14">
        <v>90</v>
      </c>
      <c r="V942" s="205">
        <v>63</v>
      </c>
      <c r="W942" s="205">
        <v>80</v>
      </c>
      <c r="X942" s="14"/>
      <c r="AC942" s="14"/>
      <c r="AE942" s="14"/>
    </row>
    <row r="943" spans="1:31" s="133" customFormat="1">
      <c r="A943" s="14"/>
      <c r="B943" s="34">
        <v>18.510000000000055</v>
      </c>
      <c r="C943" s="292">
        <v>66</v>
      </c>
      <c r="D943" s="14">
        <v>36</v>
      </c>
      <c r="E943" s="14">
        <v>92</v>
      </c>
      <c r="F943" s="14">
        <v>282</v>
      </c>
      <c r="G943" s="292">
        <v>134</v>
      </c>
      <c r="H943" s="14">
        <v>10.200000000000003</v>
      </c>
      <c r="I943" s="14">
        <v>92</v>
      </c>
      <c r="J943" s="205">
        <v>69</v>
      </c>
      <c r="K943" s="205">
        <v>84</v>
      </c>
      <c r="L943" s="141"/>
      <c r="M943" s="141"/>
      <c r="N943" s="34">
        <v>20.510000000000332</v>
      </c>
      <c r="O943" s="292">
        <v>66</v>
      </c>
      <c r="P943" s="14">
        <v>24</v>
      </c>
      <c r="Q943" s="14">
        <v>92</v>
      </c>
      <c r="R943" s="14">
        <v>232</v>
      </c>
      <c r="S943" s="292">
        <v>134</v>
      </c>
      <c r="T943" s="14">
        <v>7.1999999999999993</v>
      </c>
      <c r="U943" s="14">
        <v>92</v>
      </c>
      <c r="V943" s="205">
        <v>64</v>
      </c>
      <c r="W943" s="205">
        <v>84</v>
      </c>
      <c r="X943" s="14"/>
      <c r="AC943" s="14"/>
      <c r="AE943" s="14"/>
    </row>
    <row r="944" spans="1:31" s="133" customFormat="1">
      <c r="A944" s="14"/>
      <c r="B944" s="34">
        <v>18.710000000000058</v>
      </c>
      <c r="C944" s="292">
        <v>62</v>
      </c>
      <c r="D944" s="14">
        <v>37</v>
      </c>
      <c r="E944" s="14">
        <v>94</v>
      </c>
      <c r="F944" s="14">
        <v>284</v>
      </c>
      <c r="G944" s="292">
        <v>138</v>
      </c>
      <c r="H944" s="14">
        <v>10.400000000000002</v>
      </c>
      <c r="I944" s="14">
        <v>94</v>
      </c>
      <c r="J944" s="205">
        <v>70</v>
      </c>
      <c r="K944" s="205">
        <v>88</v>
      </c>
      <c r="L944" s="141"/>
      <c r="M944" s="141"/>
      <c r="N944" s="34">
        <v>20.710000000000349</v>
      </c>
      <c r="O944" s="292">
        <v>62</v>
      </c>
      <c r="P944" s="14">
        <v>25</v>
      </c>
      <c r="Q944" s="14">
        <v>94</v>
      </c>
      <c r="R944" s="14">
        <v>234</v>
      </c>
      <c r="S944" s="292">
        <v>138</v>
      </c>
      <c r="T944" s="14">
        <v>7.3999999999999995</v>
      </c>
      <c r="U944" s="14">
        <v>94</v>
      </c>
      <c r="V944" s="205">
        <v>65</v>
      </c>
      <c r="W944" s="205">
        <v>88</v>
      </c>
      <c r="X944" s="14"/>
      <c r="AC944" s="14"/>
      <c r="AE944" s="14"/>
    </row>
    <row r="945" spans="1:31" s="133" customFormat="1">
      <c r="A945" s="14"/>
      <c r="B945" s="34">
        <v>18.910000000000061</v>
      </c>
      <c r="C945" s="292">
        <v>58</v>
      </c>
      <c r="D945" s="14">
        <v>38</v>
      </c>
      <c r="E945" s="14">
        <v>96</v>
      </c>
      <c r="F945" s="14">
        <v>286</v>
      </c>
      <c r="G945" s="292">
        <v>142</v>
      </c>
      <c r="H945" s="14">
        <v>10.600000000000001</v>
      </c>
      <c r="I945" s="14">
        <v>96</v>
      </c>
      <c r="J945" s="205">
        <v>71</v>
      </c>
      <c r="K945" s="205">
        <v>92</v>
      </c>
      <c r="L945" s="141"/>
      <c r="M945" s="141"/>
      <c r="N945" s="34">
        <v>20.910000000000366</v>
      </c>
      <c r="O945" s="292">
        <v>58</v>
      </c>
      <c r="P945" s="14">
        <v>26</v>
      </c>
      <c r="Q945" s="14">
        <v>96</v>
      </c>
      <c r="R945" s="14">
        <v>236</v>
      </c>
      <c r="S945" s="292">
        <v>142</v>
      </c>
      <c r="T945" s="14">
        <v>7.6</v>
      </c>
      <c r="U945" s="14">
        <v>96</v>
      </c>
      <c r="V945" s="205">
        <v>66</v>
      </c>
      <c r="W945" s="205">
        <v>92</v>
      </c>
      <c r="X945" s="14"/>
      <c r="AC945" s="14"/>
      <c r="AE945" s="14"/>
    </row>
    <row r="946" spans="1:31" s="133" customFormat="1">
      <c r="A946" s="14"/>
      <c r="B946" s="34">
        <v>19.110000000000063</v>
      </c>
      <c r="C946" s="292">
        <v>54</v>
      </c>
      <c r="D946" s="14">
        <v>39</v>
      </c>
      <c r="E946" s="14">
        <v>98</v>
      </c>
      <c r="F946" s="14">
        <v>288</v>
      </c>
      <c r="G946" s="292">
        <v>146</v>
      </c>
      <c r="H946" s="14">
        <v>10.8</v>
      </c>
      <c r="I946" s="14">
        <v>98</v>
      </c>
      <c r="J946" s="205">
        <v>72</v>
      </c>
      <c r="K946" s="205">
        <v>96</v>
      </c>
      <c r="L946" s="141"/>
      <c r="M946" s="141"/>
      <c r="N946" s="34">
        <v>21.110000000000383</v>
      </c>
      <c r="O946" s="292">
        <v>54</v>
      </c>
      <c r="P946" s="14">
        <v>27</v>
      </c>
      <c r="Q946" s="14">
        <v>98</v>
      </c>
      <c r="R946" s="14">
        <v>238</v>
      </c>
      <c r="S946" s="14">
        <v>146</v>
      </c>
      <c r="T946" s="14">
        <v>7.8</v>
      </c>
      <c r="U946" s="14">
        <v>98</v>
      </c>
      <c r="V946" s="205">
        <v>67</v>
      </c>
      <c r="W946" s="205">
        <v>96</v>
      </c>
      <c r="X946" s="14"/>
      <c r="AC946" s="14"/>
      <c r="AE946" s="14"/>
    </row>
    <row r="947" spans="1:31" s="133" customFormat="1">
      <c r="A947" s="14"/>
      <c r="B947" s="34">
        <v>19.310000000000066</v>
      </c>
      <c r="C947" s="292">
        <v>50</v>
      </c>
      <c r="D947" s="14">
        <v>40</v>
      </c>
      <c r="E947" s="14">
        <v>100</v>
      </c>
      <c r="F947" s="14">
        <v>290</v>
      </c>
      <c r="G947" s="292">
        <v>150</v>
      </c>
      <c r="H947" s="14">
        <v>11</v>
      </c>
      <c r="I947" s="14">
        <v>100</v>
      </c>
      <c r="J947" s="205">
        <v>73</v>
      </c>
      <c r="K947" s="205">
        <v>100</v>
      </c>
      <c r="L947" s="141"/>
      <c r="M947" s="141"/>
      <c r="N947" s="34">
        <v>21.3100000000004</v>
      </c>
      <c r="O947" s="292">
        <v>50</v>
      </c>
      <c r="P947" s="14">
        <v>28</v>
      </c>
      <c r="Q947" s="14">
        <v>100</v>
      </c>
      <c r="R947" s="14">
        <v>240</v>
      </c>
      <c r="S947" s="14">
        <v>150</v>
      </c>
      <c r="T947" s="14">
        <v>8</v>
      </c>
      <c r="U947" s="14">
        <v>100</v>
      </c>
      <c r="V947" s="205">
        <v>68</v>
      </c>
      <c r="W947" s="205">
        <v>100</v>
      </c>
      <c r="X947" s="14"/>
      <c r="AC947" s="14"/>
      <c r="AE947" s="14"/>
    </row>
    <row r="950" spans="1:31" s="133" customFormat="1">
      <c r="A950" s="14" t="s">
        <v>292</v>
      </c>
      <c r="B950" s="14" t="s">
        <v>448</v>
      </c>
      <c r="C950" s="14" t="s">
        <v>471</v>
      </c>
      <c r="D950" s="14" t="s">
        <v>457</v>
      </c>
      <c r="E950" s="14" t="s">
        <v>471</v>
      </c>
      <c r="F950" s="319" t="s">
        <v>439</v>
      </c>
      <c r="G950" s="319" t="s">
        <v>471</v>
      </c>
      <c r="H950" s="14" t="s">
        <v>455</v>
      </c>
      <c r="I950" s="14" t="s">
        <v>471</v>
      </c>
      <c r="J950" s="14" t="s">
        <v>452</v>
      </c>
      <c r="K950" s="14" t="s">
        <v>471</v>
      </c>
      <c r="L950" s="14"/>
      <c r="M950" s="14"/>
      <c r="N950" s="14" t="s">
        <v>448</v>
      </c>
      <c r="O950" s="14" t="s">
        <v>471</v>
      </c>
      <c r="P950" s="14" t="s">
        <v>457</v>
      </c>
      <c r="Q950" s="14" t="s">
        <v>471</v>
      </c>
      <c r="R950" s="319" t="s">
        <v>439</v>
      </c>
      <c r="S950" s="319" t="s">
        <v>471</v>
      </c>
      <c r="T950" s="14" t="s">
        <v>455</v>
      </c>
      <c r="U950" s="14" t="s">
        <v>471</v>
      </c>
      <c r="V950" s="6" t="s">
        <v>452</v>
      </c>
      <c r="W950" s="6" t="s">
        <v>471</v>
      </c>
      <c r="X950" s="14"/>
      <c r="AC950" s="14"/>
      <c r="AE950" s="14"/>
    </row>
    <row r="951" spans="1:31" s="133" customFormat="1">
      <c r="A951" s="14"/>
      <c r="B951" s="56">
        <v>0</v>
      </c>
      <c r="C951" s="56">
        <v>19</v>
      </c>
      <c r="D951" s="34">
        <v>0</v>
      </c>
      <c r="E951" s="56">
        <v>38</v>
      </c>
      <c r="F951" s="327">
        <v>0</v>
      </c>
      <c r="G951" s="327">
        <v>19</v>
      </c>
      <c r="H951" s="14">
        <v>0</v>
      </c>
      <c r="I951" s="56">
        <v>19</v>
      </c>
      <c r="J951" s="14">
        <v>0</v>
      </c>
      <c r="K951" s="56">
        <v>19</v>
      </c>
      <c r="L951" s="14"/>
      <c r="M951" s="14"/>
      <c r="N951" s="56">
        <v>0</v>
      </c>
      <c r="O951" s="56">
        <v>19</v>
      </c>
      <c r="P951" s="34">
        <v>0</v>
      </c>
      <c r="Q951" s="56">
        <v>38</v>
      </c>
      <c r="R951" s="327">
        <v>0</v>
      </c>
      <c r="S951" s="327">
        <v>19</v>
      </c>
      <c r="T951" s="14">
        <v>0</v>
      </c>
      <c r="U951" s="56">
        <v>19</v>
      </c>
      <c r="V951" s="6">
        <v>0</v>
      </c>
      <c r="W951" s="56">
        <v>19</v>
      </c>
      <c r="X951" s="14"/>
      <c r="AC951" s="14"/>
      <c r="AE951" s="14"/>
    </row>
    <row r="952" spans="1:31" s="133" customFormat="1">
      <c r="A952" s="14"/>
      <c r="B952" s="56">
        <v>215</v>
      </c>
      <c r="C952" s="56">
        <v>21</v>
      </c>
      <c r="D952" s="34">
        <v>8.2799999999999994</v>
      </c>
      <c r="E952" s="56">
        <v>37</v>
      </c>
      <c r="F952" s="327">
        <v>67</v>
      </c>
      <c r="G952" s="327">
        <v>21</v>
      </c>
      <c r="H952" s="14">
        <v>16</v>
      </c>
      <c r="I952" s="56">
        <v>21</v>
      </c>
      <c r="J952" s="14">
        <v>8.8000000000001357</v>
      </c>
      <c r="K952" s="56">
        <v>21</v>
      </c>
      <c r="L952" s="14"/>
      <c r="M952" s="14"/>
      <c r="N952" s="56">
        <v>146</v>
      </c>
      <c r="O952" s="56">
        <v>21</v>
      </c>
      <c r="P952" s="34">
        <v>9.1999999999999993</v>
      </c>
      <c r="Q952" s="56">
        <v>37</v>
      </c>
      <c r="R952" s="327">
        <v>53</v>
      </c>
      <c r="S952" s="327">
        <v>21</v>
      </c>
      <c r="T952" s="14">
        <v>16</v>
      </c>
      <c r="U952" s="56">
        <v>21</v>
      </c>
      <c r="V952" s="6">
        <v>7.1</v>
      </c>
      <c r="W952" s="56">
        <v>21</v>
      </c>
      <c r="X952" s="14"/>
      <c r="AC952" s="14"/>
      <c r="AE952" s="14"/>
    </row>
    <row r="953" spans="1:31" s="133" customFormat="1">
      <c r="A953" s="14"/>
      <c r="B953" s="56">
        <v>223</v>
      </c>
      <c r="C953" s="56">
        <v>23</v>
      </c>
      <c r="D953" s="34">
        <v>8.4600000000000009</v>
      </c>
      <c r="E953" s="56">
        <v>35</v>
      </c>
      <c r="F953" s="327">
        <v>75</v>
      </c>
      <c r="G953" s="327">
        <v>23</v>
      </c>
      <c r="H953" s="14">
        <v>18</v>
      </c>
      <c r="I953" s="56">
        <v>23</v>
      </c>
      <c r="J953" s="14">
        <v>9.2000000000001201</v>
      </c>
      <c r="K953" s="56">
        <v>23</v>
      </c>
      <c r="L953" s="14"/>
      <c r="M953" s="14"/>
      <c r="N953" s="56">
        <v>155</v>
      </c>
      <c r="O953" s="56">
        <v>23</v>
      </c>
      <c r="P953" s="34">
        <v>9.4499999999999993</v>
      </c>
      <c r="Q953" s="56">
        <v>35</v>
      </c>
      <c r="R953" s="327">
        <v>61</v>
      </c>
      <c r="S953" s="327">
        <v>23</v>
      </c>
      <c r="T953" s="14">
        <v>18</v>
      </c>
      <c r="U953" s="56">
        <v>23</v>
      </c>
      <c r="V953" s="6">
        <v>7.5</v>
      </c>
      <c r="W953" s="56">
        <v>23</v>
      </c>
      <c r="X953" s="14"/>
      <c r="AC953" s="14"/>
      <c r="AE953" s="14"/>
    </row>
    <row r="954" spans="1:31" s="133" customFormat="1">
      <c r="A954" s="14"/>
      <c r="B954" s="56">
        <v>230</v>
      </c>
      <c r="C954" s="56">
        <v>25</v>
      </c>
      <c r="D954" s="34">
        <v>8.64</v>
      </c>
      <c r="E954" s="56">
        <v>33</v>
      </c>
      <c r="F954" s="327">
        <v>83</v>
      </c>
      <c r="G954" s="327">
        <v>25</v>
      </c>
      <c r="H954" s="14">
        <v>20</v>
      </c>
      <c r="I954" s="56">
        <v>25</v>
      </c>
      <c r="J954" s="14">
        <v>9.6000000000001044</v>
      </c>
      <c r="K954" s="56">
        <v>25</v>
      </c>
      <c r="L954" s="14"/>
      <c r="M954" s="14"/>
      <c r="N954" s="56">
        <v>165</v>
      </c>
      <c r="O954" s="56">
        <v>25</v>
      </c>
      <c r="P954" s="34">
        <v>9.7100000000000009</v>
      </c>
      <c r="Q954" s="56">
        <v>33</v>
      </c>
      <c r="R954" s="327">
        <v>70</v>
      </c>
      <c r="S954" s="327">
        <v>25</v>
      </c>
      <c r="T954" s="14">
        <v>20</v>
      </c>
      <c r="U954" s="56">
        <v>25</v>
      </c>
      <c r="V954" s="6">
        <v>7.8</v>
      </c>
      <c r="W954" s="56">
        <v>25</v>
      </c>
      <c r="X954" s="14"/>
      <c r="AC954" s="14"/>
      <c r="AE954" s="14"/>
    </row>
    <row r="955" spans="1:31" s="133" customFormat="1">
      <c r="A955" s="14"/>
      <c r="B955" s="56">
        <v>238</v>
      </c>
      <c r="C955" s="56">
        <v>27</v>
      </c>
      <c r="D955" s="34">
        <v>8.82</v>
      </c>
      <c r="E955" s="56">
        <v>31</v>
      </c>
      <c r="F955" s="327">
        <v>91</v>
      </c>
      <c r="G955" s="327">
        <v>27</v>
      </c>
      <c r="H955" s="14">
        <v>22</v>
      </c>
      <c r="I955" s="56">
        <v>27</v>
      </c>
      <c r="J955" s="14">
        <v>10.000000000000087</v>
      </c>
      <c r="K955" s="56">
        <v>27</v>
      </c>
      <c r="L955" s="14"/>
      <c r="M955" s="14"/>
      <c r="N955" s="56">
        <v>174</v>
      </c>
      <c r="O955" s="56">
        <v>27</v>
      </c>
      <c r="P955" s="34">
        <v>9.9600000000000009</v>
      </c>
      <c r="Q955" s="56">
        <v>31</v>
      </c>
      <c r="R955" s="327">
        <v>78</v>
      </c>
      <c r="S955" s="327">
        <v>27</v>
      </c>
      <c r="T955" s="14">
        <v>22</v>
      </c>
      <c r="U955" s="56">
        <v>27</v>
      </c>
      <c r="V955" s="6">
        <v>8.1</v>
      </c>
      <c r="W955" s="56">
        <v>27</v>
      </c>
      <c r="X955" s="14"/>
      <c r="AC955" s="14"/>
      <c r="AE955" s="14"/>
    </row>
    <row r="956" spans="1:31" s="133" customFormat="1">
      <c r="A956" s="14"/>
      <c r="B956" s="56">
        <v>246</v>
      </c>
      <c r="C956" s="56">
        <v>29</v>
      </c>
      <c r="D956" s="34">
        <v>9</v>
      </c>
      <c r="E956" s="56">
        <v>29</v>
      </c>
      <c r="F956" s="327">
        <v>99</v>
      </c>
      <c r="G956" s="327">
        <v>29</v>
      </c>
      <c r="H956" s="14">
        <v>24</v>
      </c>
      <c r="I956" s="56">
        <v>29</v>
      </c>
      <c r="J956" s="14">
        <v>10.400000000000071</v>
      </c>
      <c r="K956" s="56">
        <v>29</v>
      </c>
      <c r="L956" s="14"/>
      <c r="M956" s="14"/>
      <c r="N956" s="56">
        <v>184</v>
      </c>
      <c r="O956" s="56">
        <v>29</v>
      </c>
      <c r="P956" s="34">
        <v>10.220000000000001</v>
      </c>
      <c r="Q956" s="56">
        <v>29</v>
      </c>
      <c r="R956" s="327">
        <v>87</v>
      </c>
      <c r="S956" s="327">
        <v>29</v>
      </c>
      <c r="T956" s="14">
        <v>24</v>
      </c>
      <c r="U956" s="56">
        <v>29</v>
      </c>
      <c r="V956" s="6">
        <v>8.4</v>
      </c>
      <c r="W956" s="56">
        <v>29</v>
      </c>
      <c r="X956" s="14"/>
      <c r="AC956" s="14"/>
      <c r="AE956" s="14"/>
    </row>
    <row r="957" spans="1:31" s="133" customFormat="1">
      <c r="A957" s="14"/>
      <c r="B957" s="56">
        <v>253</v>
      </c>
      <c r="C957" s="56">
        <v>31</v>
      </c>
      <c r="D957" s="34">
        <v>9.19</v>
      </c>
      <c r="E957" s="56">
        <v>27</v>
      </c>
      <c r="F957" s="327">
        <v>108</v>
      </c>
      <c r="G957" s="327">
        <v>31</v>
      </c>
      <c r="H957" s="14">
        <v>26</v>
      </c>
      <c r="I957" s="56">
        <v>31</v>
      </c>
      <c r="J957" s="14">
        <v>10.800000000000056</v>
      </c>
      <c r="K957" s="56">
        <v>31</v>
      </c>
      <c r="L957" s="14"/>
      <c r="M957" s="14"/>
      <c r="N957" s="56">
        <v>193</v>
      </c>
      <c r="O957" s="56">
        <v>31</v>
      </c>
      <c r="P957" s="34">
        <v>10.47</v>
      </c>
      <c r="Q957" s="56">
        <v>27</v>
      </c>
      <c r="R957" s="327">
        <v>95</v>
      </c>
      <c r="S957" s="327">
        <v>31</v>
      </c>
      <c r="T957" s="14">
        <v>26</v>
      </c>
      <c r="U957" s="56">
        <v>31</v>
      </c>
      <c r="V957" s="6">
        <v>8.6999999999999993</v>
      </c>
      <c r="W957" s="56">
        <v>31</v>
      </c>
      <c r="X957" s="14"/>
      <c r="AC957" s="14"/>
      <c r="AE957" s="14"/>
    </row>
    <row r="958" spans="1:31" s="133" customFormat="1">
      <c r="A958" s="14"/>
      <c r="B958" s="56">
        <v>261</v>
      </c>
      <c r="C958" s="56">
        <v>33</v>
      </c>
      <c r="D958" s="34">
        <v>9.3699999999999992</v>
      </c>
      <c r="E958" s="56">
        <v>25</v>
      </c>
      <c r="F958" s="327">
        <v>116</v>
      </c>
      <c r="G958" s="327">
        <v>33</v>
      </c>
      <c r="H958" s="14">
        <v>27</v>
      </c>
      <c r="I958" s="56">
        <v>33</v>
      </c>
      <c r="J958" s="14">
        <v>11.20000000000004</v>
      </c>
      <c r="K958" s="56">
        <v>33</v>
      </c>
      <c r="L958" s="14"/>
      <c r="M958" s="14"/>
      <c r="N958" s="56">
        <v>203</v>
      </c>
      <c r="O958" s="56">
        <v>33</v>
      </c>
      <c r="P958" s="34">
        <v>10.73</v>
      </c>
      <c r="Q958" s="56">
        <v>25</v>
      </c>
      <c r="R958" s="327">
        <v>104</v>
      </c>
      <c r="S958" s="327">
        <v>33</v>
      </c>
      <c r="T958" s="14">
        <v>27</v>
      </c>
      <c r="U958" s="56">
        <v>33</v>
      </c>
      <c r="V958" s="6">
        <v>9.100000000000021</v>
      </c>
      <c r="W958" s="56">
        <v>33</v>
      </c>
      <c r="X958" s="14"/>
      <c r="AC958" s="14"/>
      <c r="AE958" s="14"/>
    </row>
    <row r="959" spans="1:31" s="133" customFormat="1">
      <c r="A959" s="14"/>
      <c r="B959" s="56">
        <v>269</v>
      </c>
      <c r="C959" s="56">
        <v>35</v>
      </c>
      <c r="D959" s="34">
        <v>9.5500000000000007</v>
      </c>
      <c r="E959" s="56">
        <v>23</v>
      </c>
      <c r="F959" s="327">
        <v>124</v>
      </c>
      <c r="G959" s="327">
        <v>35</v>
      </c>
      <c r="H959" s="14">
        <v>28</v>
      </c>
      <c r="I959" s="56">
        <v>35</v>
      </c>
      <c r="J959" s="14">
        <v>11.600000000000023</v>
      </c>
      <c r="K959" s="56">
        <v>35</v>
      </c>
      <c r="L959" s="14"/>
      <c r="M959" s="14"/>
      <c r="N959" s="56">
        <v>212</v>
      </c>
      <c r="O959" s="56">
        <v>35</v>
      </c>
      <c r="P959" s="34">
        <v>10.98</v>
      </c>
      <c r="Q959" s="56">
        <v>23</v>
      </c>
      <c r="R959" s="327">
        <v>112</v>
      </c>
      <c r="S959" s="327">
        <v>35</v>
      </c>
      <c r="T959" s="14">
        <v>28</v>
      </c>
      <c r="U959" s="56">
        <v>35</v>
      </c>
      <c r="V959" s="6">
        <v>9.4000000000000128</v>
      </c>
      <c r="W959" s="56">
        <v>35</v>
      </c>
      <c r="X959" s="14"/>
      <c r="AC959" s="14"/>
      <c r="AE959" s="14"/>
    </row>
    <row r="960" spans="1:31" s="133" customFormat="1">
      <c r="A960" s="14"/>
      <c r="B960" s="56">
        <v>276</v>
      </c>
      <c r="C960" s="56">
        <v>37</v>
      </c>
      <c r="D960" s="34">
        <v>9.73</v>
      </c>
      <c r="E960" s="56">
        <v>21</v>
      </c>
      <c r="F960" s="327">
        <v>132</v>
      </c>
      <c r="G960" s="327">
        <v>37</v>
      </c>
      <c r="H960" s="14">
        <v>29</v>
      </c>
      <c r="I960" s="56">
        <v>37</v>
      </c>
      <c r="J960" s="14">
        <v>12</v>
      </c>
      <c r="K960" s="56">
        <v>37</v>
      </c>
      <c r="L960" s="14"/>
      <c r="M960" s="14"/>
      <c r="N960" s="56">
        <v>222</v>
      </c>
      <c r="O960" s="56">
        <v>37</v>
      </c>
      <c r="P960" s="34">
        <v>11.24</v>
      </c>
      <c r="Q960" s="56">
        <v>21</v>
      </c>
      <c r="R960" s="327">
        <v>121</v>
      </c>
      <c r="S960" s="327">
        <v>37</v>
      </c>
      <c r="T960" s="14">
        <v>29</v>
      </c>
      <c r="U960" s="56">
        <v>37</v>
      </c>
      <c r="V960" s="6">
        <v>9.6999999999999993</v>
      </c>
      <c r="W960" s="56">
        <v>37</v>
      </c>
      <c r="X960" s="14"/>
      <c r="AC960" s="14"/>
      <c r="AE960" s="14"/>
    </row>
    <row r="961" spans="1:31" s="133" customFormat="1">
      <c r="A961" s="14"/>
      <c r="B961" s="56">
        <v>284</v>
      </c>
      <c r="C961" s="56">
        <v>38</v>
      </c>
      <c r="D961" s="34">
        <v>9.91</v>
      </c>
      <c r="E961" s="56">
        <v>19</v>
      </c>
      <c r="F961" s="327">
        <v>140</v>
      </c>
      <c r="G961" s="327">
        <v>38</v>
      </c>
      <c r="H961" s="14">
        <v>30</v>
      </c>
      <c r="I961" s="56">
        <v>38</v>
      </c>
      <c r="J961" s="14">
        <v>12.4</v>
      </c>
      <c r="K961" s="56">
        <v>38</v>
      </c>
      <c r="L961" s="14"/>
      <c r="M961" s="14"/>
      <c r="N961" s="56">
        <v>231</v>
      </c>
      <c r="O961" s="56">
        <v>38</v>
      </c>
      <c r="P961" s="34">
        <v>11.49</v>
      </c>
      <c r="Q961" s="56">
        <v>19</v>
      </c>
      <c r="R961" s="327">
        <v>129</v>
      </c>
      <c r="S961" s="327">
        <v>38</v>
      </c>
      <c r="T961" s="14">
        <v>30</v>
      </c>
      <c r="U961" s="56">
        <v>38</v>
      </c>
      <c r="V961" s="6">
        <v>10</v>
      </c>
      <c r="W961" s="56">
        <v>38</v>
      </c>
      <c r="X961" s="14"/>
      <c r="AC961" s="14"/>
      <c r="AE961" s="14"/>
    </row>
    <row r="962" spans="1:31" s="6" customFormat="1">
      <c r="B962" s="56"/>
      <c r="C962" s="56"/>
      <c r="D962" s="34"/>
      <c r="E962" s="56"/>
      <c r="F962" s="327"/>
      <c r="G962" s="327"/>
      <c r="I962" s="56"/>
      <c r="K962" s="56"/>
      <c r="N962" s="56"/>
      <c r="O962" s="56"/>
      <c r="P962" s="34"/>
      <c r="Q962" s="56"/>
      <c r="R962" s="327"/>
      <c r="S962" s="327"/>
      <c r="U962" s="56"/>
      <c r="W962" s="56"/>
    </row>
    <row r="963" spans="1:31" s="6" customFormat="1">
      <c r="A963" s="6" t="s">
        <v>292</v>
      </c>
      <c r="B963" s="6" t="s">
        <v>448</v>
      </c>
      <c r="C963" s="6" t="s">
        <v>471</v>
      </c>
      <c r="D963" s="6" t="s">
        <v>331</v>
      </c>
      <c r="E963" s="6" t="s">
        <v>471</v>
      </c>
      <c r="F963" s="6" t="s">
        <v>452</v>
      </c>
      <c r="G963" s="6" t="s">
        <v>471</v>
      </c>
      <c r="H963" s="6" t="s">
        <v>470</v>
      </c>
      <c r="I963" s="6" t="s">
        <v>471</v>
      </c>
      <c r="N963" s="6" t="s">
        <v>448</v>
      </c>
      <c r="O963" s="6" t="s">
        <v>471</v>
      </c>
      <c r="P963" s="6" t="s">
        <v>331</v>
      </c>
      <c r="Q963" s="6" t="s">
        <v>471</v>
      </c>
      <c r="R963" s="6" t="s">
        <v>452</v>
      </c>
      <c r="S963" s="6" t="s">
        <v>471</v>
      </c>
      <c r="T963" s="6" t="s">
        <v>470</v>
      </c>
      <c r="U963" s="6" t="s">
        <v>471</v>
      </c>
    </row>
    <row r="964" spans="1:31" s="6" customFormat="1">
      <c r="A964" s="328" t="s">
        <v>248</v>
      </c>
      <c r="B964" s="56">
        <v>0</v>
      </c>
      <c r="C964" s="56">
        <v>30</v>
      </c>
      <c r="D964" s="34">
        <v>0</v>
      </c>
      <c r="E964" s="6">
        <v>100</v>
      </c>
      <c r="F964" s="6">
        <v>0</v>
      </c>
      <c r="G964" s="56">
        <v>30</v>
      </c>
      <c r="I964" s="56"/>
      <c r="N964" s="56">
        <v>0</v>
      </c>
      <c r="O964" s="56">
        <v>30</v>
      </c>
      <c r="P964" s="6">
        <v>0</v>
      </c>
      <c r="Q964" s="6">
        <v>100</v>
      </c>
      <c r="R964" s="6">
        <v>0</v>
      </c>
      <c r="S964" s="56">
        <v>30</v>
      </c>
      <c r="U964" s="56"/>
    </row>
    <row r="965" spans="1:31" s="6" customFormat="1">
      <c r="A965" s="328">
        <v>2023</v>
      </c>
      <c r="B965" s="56">
        <v>214</v>
      </c>
      <c r="C965" s="56">
        <v>34</v>
      </c>
      <c r="D965" s="6">
        <v>11.51</v>
      </c>
      <c r="E965" s="6">
        <v>97</v>
      </c>
      <c r="F965" s="6">
        <v>6.6</v>
      </c>
      <c r="G965" s="56">
        <v>34</v>
      </c>
      <c r="I965" s="56"/>
      <c r="N965" s="56">
        <v>164</v>
      </c>
      <c r="O965" s="56">
        <v>34</v>
      </c>
      <c r="P965" s="6">
        <v>14.31</v>
      </c>
      <c r="Q965" s="6">
        <v>97</v>
      </c>
      <c r="R965" s="6">
        <v>3.5999999999999863</v>
      </c>
      <c r="S965" s="56">
        <v>34</v>
      </c>
      <c r="U965" s="56"/>
    </row>
    <row r="966" spans="1:31" s="6" customFormat="1">
      <c r="B966" s="56">
        <v>218</v>
      </c>
      <c r="C966" s="56">
        <v>37</v>
      </c>
      <c r="D966" s="34">
        <v>11.71</v>
      </c>
      <c r="E966" s="6">
        <v>94</v>
      </c>
      <c r="F966" s="6">
        <v>6.8999999999999808</v>
      </c>
      <c r="G966" s="56">
        <v>37</v>
      </c>
      <c r="I966" s="56"/>
      <c r="N966" s="56">
        <v>168</v>
      </c>
      <c r="O966" s="56">
        <v>37</v>
      </c>
      <c r="P966" s="34">
        <v>14.51</v>
      </c>
      <c r="Q966" s="6">
        <v>94</v>
      </c>
      <c r="R966" s="6">
        <v>3.8999999999999906</v>
      </c>
      <c r="S966" s="56">
        <v>37</v>
      </c>
      <c r="U966" s="56"/>
    </row>
    <row r="967" spans="1:31" s="6" customFormat="1">
      <c r="B967" s="56">
        <v>222</v>
      </c>
      <c r="C967" s="56">
        <v>40</v>
      </c>
      <c r="D967" s="6">
        <v>11.909999999999998</v>
      </c>
      <c r="E967" s="6">
        <v>91</v>
      </c>
      <c r="F967" s="6">
        <v>7.1999999999999886</v>
      </c>
      <c r="G967" s="56">
        <v>40</v>
      </c>
      <c r="I967" s="56"/>
      <c r="N967" s="56">
        <v>172</v>
      </c>
      <c r="O967" s="56">
        <v>40</v>
      </c>
      <c r="P967" s="6">
        <v>14.709999999999999</v>
      </c>
      <c r="Q967" s="6">
        <v>91</v>
      </c>
      <c r="R967" s="6">
        <v>4.1999999999999948</v>
      </c>
      <c r="S967" s="56">
        <v>40</v>
      </c>
      <c r="U967" s="56"/>
    </row>
    <row r="968" spans="1:31" s="6" customFormat="1">
      <c r="B968" s="56">
        <v>226</v>
      </c>
      <c r="C968" s="56">
        <v>43</v>
      </c>
      <c r="D968" s="34">
        <v>12.109999999999998</v>
      </c>
      <c r="E968" s="6">
        <v>88</v>
      </c>
      <c r="F968" s="6">
        <v>7.5</v>
      </c>
      <c r="G968" s="56">
        <v>43</v>
      </c>
      <c r="I968" s="56"/>
      <c r="N968" s="56">
        <v>176</v>
      </c>
      <c r="O968" s="56">
        <v>43</v>
      </c>
      <c r="P968" s="34">
        <v>14.909999999999998</v>
      </c>
      <c r="Q968" s="6">
        <v>88</v>
      </c>
      <c r="R968" s="6">
        <v>4.5</v>
      </c>
      <c r="S968" s="56">
        <v>43</v>
      </c>
      <c r="U968" s="56"/>
    </row>
    <row r="969" spans="1:31" s="6" customFormat="1">
      <c r="B969" s="56">
        <v>230</v>
      </c>
      <c r="C969" s="56">
        <v>46</v>
      </c>
      <c r="D969" s="6">
        <v>12.309999999999999</v>
      </c>
      <c r="E969" s="6">
        <v>85</v>
      </c>
      <c r="F969" s="6">
        <v>7.8</v>
      </c>
      <c r="G969" s="56">
        <v>46</v>
      </c>
      <c r="I969" s="56"/>
      <c r="N969" s="56">
        <v>180</v>
      </c>
      <c r="O969" s="56">
        <v>46</v>
      </c>
      <c r="P969" s="6">
        <v>15.11</v>
      </c>
      <c r="Q969" s="6">
        <v>85</v>
      </c>
      <c r="R969" s="6">
        <v>4.8</v>
      </c>
      <c r="S969" s="56">
        <v>46</v>
      </c>
      <c r="U969" s="56"/>
    </row>
    <row r="970" spans="1:31" s="6" customFormat="1">
      <c r="B970" s="56">
        <v>234</v>
      </c>
      <c r="C970" s="56">
        <v>49</v>
      </c>
      <c r="D970" s="34">
        <v>12.509999999999998</v>
      </c>
      <c r="E970" s="6">
        <v>82</v>
      </c>
      <c r="F970" s="6">
        <v>8.1000000000005556</v>
      </c>
      <c r="G970" s="56">
        <v>49</v>
      </c>
      <c r="I970" s="56"/>
      <c r="N970" s="56">
        <v>184</v>
      </c>
      <c r="O970" s="56">
        <v>49</v>
      </c>
      <c r="P970" s="34">
        <v>15.309999999999999</v>
      </c>
      <c r="Q970" s="6">
        <v>82</v>
      </c>
      <c r="R970" s="6">
        <v>5.0999999999999996</v>
      </c>
      <c r="S970" s="56">
        <v>49</v>
      </c>
      <c r="U970" s="56"/>
    </row>
    <row r="971" spans="1:31" s="6" customFormat="1">
      <c r="B971" s="56">
        <v>237</v>
      </c>
      <c r="C971" s="56">
        <v>52</v>
      </c>
      <c r="D971" s="6">
        <v>12.66</v>
      </c>
      <c r="E971" s="6">
        <v>79</v>
      </c>
      <c r="F971" s="6">
        <v>8.3000000000004999</v>
      </c>
      <c r="G971" s="56">
        <v>52</v>
      </c>
      <c r="I971" s="56"/>
      <c r="N971" s="56">
        <v>187</v>
      </c>
      <c r="O971" s="56">
        <v>52</v>
      </c>
      <c r="P971" s="6">
        <v>15.46</v>
      </c>
      <c r="Q971" s="6">
        <v>79</v>
      </c>
      <c r="R971" s="6">
        <v>5.299999999999681</v>
      </c>
      <c r="S971" s="56">
        <v>52</v>
      </c>
      <c r="U971" s="56"/>
    </row>
    <row r="972" spans="1:31" s="6" customFormat="1">
      <c r="B972" s="56">
        <v>240</v>
      </c>
      <c r="C972" s="56">
        <v>55</v>
      </c>
      <c r="D972" s="34">
        <v>12.81</v>
      </c>
      <c r="E972" s="6">
        <v>76</v>
      </c>
      <c r="F972" s="6">
        <v>8.5000000000004441</v>
      </c>
      <c r="G972" s="56">
        <v>55</v>
      </c>
      <c r="H972" s="6">
        <v>0</v>
      </c>
      <c r="I972" s="56">
        <v>30</v>
      </c>
      <c r="N972" s="56">
        <v>190</v>
      </c>
      <c r="O972" s="56">
        <v>55</v>
      </c>
      <c r="P972" s="34">
        <v>15.610000000000001</v>
      </c>
      <c r="Q972" s="6">
        <v>76</v>
      </c>
      <c r="R972" s="6">
        <v>5.499999999999714</v>
      </c>
      <c r="S972" s="56">
        <v>55</v>
      </c>
      <c r="T972" s="6">
        <v>0</v>
      </c>
      <c r="U972" s="56">
        <v>30</v>
      </c>
    </row>
    <row r="973" spans="1:31" s="6" customFormat="1">
      <c r="B973" s="56">
        <v>243</v>
      </c>
      <c r="C973" s="56">
        <v>58</v>
      </c>
      <c r="D973" s="6">
        <v>12.96</v>
      </c>
      <c r="E973" s="6">
        <v>73</v>
      </c>
      <c r="F973" s="6">
        <v>8.7000000000003883</v>
      </c>
      <c r="G973" s="56">
        <v>58</v>
      </c>
      <c r="H973" s="6">
        <v>7</v>
      </c>
      <c r="I973" s="56">
        <v>58</v>
      </c>
      <c r="N973" s="56">
        <v>193</v>
      </c>
      <c r="O973" s="56">
        <v>58</v>
      </c>
      <c r="P973" s="6">
        <v>15.76</v>
      </c>
      <c r="Q973" s="6">
        <v>73</v>
      </c>
      <c r="R973" s="6">
        <v>5.6999999999997453</v>
      </c>
      <c r="S973" s="56">
        <v>58</v>
      </c>
      <c r="T973" s="6">
        <v>3</v>
      </c>
      <c r="U973" s="56">
        <v>58</v>
      </c>
    </row>
    <row r="974" spans="1:31" s="6" customFormat="1">
      <c r="B974" s="56">
        <v>246</v>
      </c>
      <c r="C974" s="56">
        <v>61</v>
      </c>
      <c r="D974" s="34">
        <v>13.11</v>
      </c>
      <c r="E974" s="6">
        <v>70</v>
      </c>
      <c r="F974" s="6">
        <v>8.9000000000003325</v>
      </c>
      <c r="G974" s="56">
        <v>61</v>
      </c>
      <c r="H974" s="6">
        <v>8</v>
      </c>
      <c r="I974" s="56">
        <v>61</v>
      </c>
      <c r="N974" s="56">
        <v>196</v>
      </c>
      <c r="O974" s="56">
        <v>61</v>
      </c>
      <c r="P974" s="34">
        <v>15.91</v>
      </c>
      <c r="Q974" s="6">
        <v>70</v>
      </c>
      <c r="R974" s="6">
        <v>5.8999999999997774</v>
      </c>
      <c r="S974" s="56">
        <v>61</v>
      </c>
      <c r="T974" s="6">
        <v>4</v>
      </c>
      <c r="U974" s="56">
        <v>61</v>
      </c>
    </row>
    <row r="975" spans="1:31" s="6" customFormat="1">
      <c r="B975" s="56">
        <v>249</v>
      </c>
      <c r="C975" s="56">
        <v>64</v>
      </c>
      <c r="D975" s="6">
        <v>13.26</v>
      </c>
      <c r="E975" s="6">
        <v>67</v>
      </c>
      <c r="F975" s="6">
        <v>9.1000000000002768</v>
      </c>
      <c r="G975" s="56">
        <v>64</v>
      </c>
      <c r="H975" s="6">
        <v>9</v>
      </c>
      <c r="I975" s="56">
        <v>64</v>
      </c>
      <c r="N975" s="56">
        <v>199</v>
      </c>
      <c r="O975" s="56">
        <v>64</v>
      </c>
      <c r="P975" s="6">
        <v>16.060000000000002</v>
      </c>
      <c r="Q975" s="6">
        <v>67</v>
      </c>
      <c r="R975" s="6">
        <v>6.0999999999998096</v>
      </c>
      <c r="S975" s="56">
        <v>64</v>
      </c>
      <c r="T975" s="6">
        <v>5</v>
      </c>
      <c r="U975" s="56">
        <v>64</v>
      </c>
    </row>
    <row r="976" spans="1:31" s="6" customFormat="1">
      <c r="B976" s="56">
        <v>252</v>
      </c>
      <c r="C976" s="56">
        <v>67</v>
      </c>
      <c r="D976" s="34">
        <v>13.41</v>
      </c>
      <c r="E976" s="6">
        <v>64</v>
      </c>
      <c r="F976" s="6">
        <v>9.300000000000221</v>
      </c>
      <c r="G976" s="56">
        <v>67</v>
      </c>
      <c r="H976" s="6">
        <v>10</v>
      </c>
      <c r="I976" s="56">
        <v>67</v>
      </c>
      <c r="N976" s="56">
        <v>202</v>
      </c>
      <c r="O976" s="56">
        <v>67</v>
      </c>
      <c r="P976" s="34">
        <v>16.21</v>
      </c>
      <c r="Q976" s="6">
        <v>64</v>
      </c>
      <c r="R976" s="6">
        <v>6.2999999999998417</v>
      </c>
      <c r="S976" s="56">
        <v>67</v>
      </c>
      <c r="T976" s="6">
        <v>6</v>
      </c>
      <c r="U976" s="56">
        <v>67</v>
      </c>
    </row>
    <row r="977" spans="1:21" s="6" customFormat="1">
      <c r="B977" s="56">
        <v>255</v>
      </c>
      <c r="C977" s="56">
        <v>70</v>
      </c>
      <c r="D977" s="6">
        <v>13.56</v>
      </c>
      <c r="E977" s="6">
        <v>61</v>
      </c>
      <c r="F977" s="6">
        <v>9.5000000000001634</v>
      </c>
      <c r="G977" s="56">
        <v>70</v>
      </c>
      <c r="H977" s="6">
        <v>11</v>
      </c>
      <c r="I977" s="56">
        <v>70</v>
      </c>
      <c r="N977" s="56">
        <v>205</v>
      </c>
      <c r="O977" s="56">
        <v>70</v>
      </c>
      <c r="P977" s="6">
        <v>16.36</v>
      </c>
      <c r="Q977" s="6">
        <v>61</v>
      </c>
      <c r="R977" s="6">
        <v>6.4999999999998739</v>
      </c>
      <c r="S977" s="56">
        <v>70</v>
      </c>
      <c r="T977" s="6">
        <v>7</v>
      </c>
      <c r="U977" s="56">
        <v>70</v>
      </c>
    </row>
    <row r="978" spans="1:21" s="6" customFormat="1">
      <c r="B978" s="56">
        <v>258</v>
      </c>
      <c r="C978" s="56">
        <v>73</v>
      </c>
      <c r="D978" s="34">
        <v>13.71</v>
      </c>
      <c r="E978" s="6">
        <v>58</v>
      </c>
      <c r="F978" s="6">
        <v>9.7000000000001076</v>
      </c>
      <c r="G978" s="56">
        <v>73</v>
      </c>
      <c r="H978" s="6">
        <v>12</v>
      </c>
      <c r="I978" s="56">
        <v>73</v>
      </c>
      <c r="N978" s="56">
        <v>208</v>
      </c>
      <c r="O978" s="56">
        <v>73</v>
      </c>
      <c r="P978" s="34">
        <v>16.510000000000002</v>
      </c>
      <c r="Q978" s="6">
        <v>58</v>
      </c>
      <c r="R978" s="6">
        <v>6.699999999999906</v>
      </c>
      <c r="S978" s="56">
        <v>73</v>
      </c>
      <c r="T978" s="6">
        <v>8</v>
      </c>
      <c r="U978" s="56">
        <v>73</v>
      </c>
    </row>
    <row r="979" spans="1:21" s="6" customFormat="1">
      <c r="B979" s="56">
        <v>261</v>
      </c>
      <c r="C979" s="56">
        <v>76</v>
      </c>
      <c r="D979" s="6">
        <v>13.86</v>
      </c>
      <c r="E979" s="6">
        <v>55</v>
      </c>
      <c r="F979" s="6">
        <v>9.9000000000000519</v>
      </c>
      <c r="G979" s="56">
        <v>76</v>
      </c>
      <c r="H979" s="6">
        <v>13</v>
      </c>
      <c r="I979" s="56">
        <v>76</v>
      </c>
      <c r="N979" s="56">
        <v>211</v>
      </c>
      <c r="O979" s="56">
        <v>76</v>
      </c>
      <c r="P979" s="6">
        <v>16.66</v>
      </c>
      <c r="Q979" s="6">
        <v>55</v>
      </c>
      <c r="R979" s="6">
        <v>6.8999999999999382</v>
      </c>
      <c r="S979" s="56">
        <v>76</v>
      </c>
      <c r="T979" s="6">
        <v>9</v>
      </c>
      <c r="U979" s="56">
        <v>76</v>
      </c>
    </row>
    <row r="980" spans="1:21" s="6" customFormat="1">
      <c r="B980" s="56">
        <v>264</v>
      </c>
      <c r="C980" s="56">
        <v>79</v>
      </c>
      <c r="D980" s="34">
        <v>14.01</v>
      </c>
      <c r="E980" s="6">
        <v>52</v>
      </c>
      <c r="F980" s="6">
        <v>10.1</v>
      </c>
      <c r="G980" s="56">
        <v>79</v>
      </c>
      <c r="H980" s="6">
        <v>14</v>
      </c>
      <c r="I980" s="56">
        <v>79</v>
      </c>
      <c r="N980" s="56">
        <v>214</v>
      </c>
      <c r="O980" s="56">
        <v>79</v>
      </c>
      <c r="P980" s="34">
        <v>16.810000000000002</v>
      </c>
      <c r="Q980" s="6">
        <v>52</v>
      </c>
      <c r="R980" s="6">
        <v>7.0999999999999694</v>
      </c>
      <c r="S980" s="56">
        <v>79</v>
      </c>
      <c r="T980" s="6">
        <v>10</v>
      </c>
      <c r="U980" s="56">
        <v>79</v>
      </c>
    </row>
    <row r="981" spans="1:21" s="6" customFormat="1">
      <c r="B981" s="56">
        <v>267</v>
      </c>
      <c r="C981" s="56">
        <v>82</v>
      </c>
      <c r="D981" s="6">
        <v>14.16</v>
      </c>
      <c r="E981" s="6">
        <v>49</v>
      </c>
      <c r="F981" s="6">
        <v>10.3</v>
      </c>
      <c r="G981" s="56">
        <v>82</v>
      </c>
      <c r="H981" s="6">
        <v>15</v>
      </c>
      <c r="I981" s="56">
        <v>82</v>
      </c>
      <c r="N981" s="56">
        <v>217</v>
      </c>
      <c r="O981" s="56">
        <v>82</v>
      </c>
      <c r="P981" s="6">
        <v>16.959999999999997</v>
      </c>
      <c r="Q981" s="6">
        <v>49</v>
      </c>
      <c r="R981" s="6">
        <v>7.3</v>
      </c>
      <c r="S981" s="56">
        <v>82</v>
      </c>
      <c r="T981" s="6">
        <v>11</v>
      </c>
      <c r="U981" s="56">
        <v>82</v>
      </c>
    </row>
    <row r="982" spans="1:21" s="6" customFormat="1">
      <c r="B982" s="56">
        <v>270</v>
      </c>
      <c r="C982" s="56">
        <v>85</v>
      </c>
      <c r="D982" s="34">
        <v>14.31</v>
      </c>
      <c r="E982" s="6">
        <v>46</v>
      </c>
      <c r="F982" s="6">
        <v>10.5</v>
      </c>
      <c r="G982" s="56">
        <v>85</v>
      </c>
      <c r="H982" s="6">
        <v>16</v>
      </c>
      <c r="I982" s="56">
        <v>85</v>
      </c>
      <c r="N982" s="56">
        <v>220</v>
      </c>
      <c r="O982" s="56">
        <v>85</v>
      </c>
      <c r="P982" s="34">
        <v>17.109999999999996</v>
      </c>
      <c r="Q982" s="6">
        <v>46</v>
      </c>
      <c r="R982" s="6">
        <v>7.5000000000000364</v>
      </c>
      <c r="S982" s="56">
        <v>85</v>
      </c>
      <c r="T982" s="6">
        <v>12</v>
      </c>
      <c r="U982" s="56">
        <v>85</v>
      </c>
    </row>
    <row r="983" spans="1:21" s="6" customFormat="1">
      <c r="B983" s="56">
        <v>274</v>
      </c>
      <c r="C983" s="56">
        <v>88</v>
      </c>
      <c r="D983" s="6">
        <v>14.51</v>
      </c>
      <c r="E983" s="6">
        <v>43</v>
      </c>
      <c r="F983" s="6">
        <v>10.800000000000029</v>
      </c>
      <c r="G983" s="56">
        <v>88</v>
      </c>
      <c r="H983" s="6">
        <v>17</v>
      </c>
      <c r="I983" s="56">
        <v>88</v>
      </c>
      <c r="N983" s="56">
        <v>224</v>
      </c>
      <c r="O983" s="56">
        <v>88</v>
      </c>
      <c r="P983" s="6">
        <v>17.309999999999999</v>
      </c>
      <c r="Q983" s="6">
        <v>43</v>
      </c>
      <c r="R983" s="6">
        <v>7.8000000000000282</v>
      </c>
      <c r="S983" s="56">
        <v>88</v>
      </c>
      <c r="T983" s="6">
        <v>13</v>
      </c>
      <c r="U983" s="56">
        <v>88</v>
      </c>
    </row>
    <row r="984" spans="1:21" s="6" customFormat="1">
      <c r="B984" s="56">
        <v>278</v>
      </c>
      <c r="C984" s="56">
        <v>91</v>
      </c>
      <c r="D984" s="34">
        <v>14.709999999999999</v>
      </c>
      <c r="E984" s="6">
        <v>40</v>
      </c>
      <c r="F984" s="6">
        <v>11.100000000000021</v>
      </c>
      <c r="G984" s="56">
        <v>91</v>
      </c>
      <c r="H984" s="6">
        <v>18</v>
      </c>
      <c r="I984" s="56">
        <v>91</v>
      </c>
      <c r="N984" s="56">
        <v>228</v>
      </c>
      <c r="O984" s="56">
        <v>91</v>
      </c>
      <c r="P984" s="34">
        <v>17.509999999999994</v>
      </c>
      <c r="Q984" s="6">
        <v>40</v>
      </c>
      <c r="R984" s="6">
        <v>8.100000000000021</v>
      </c>
      <c r="S984" s="56">
        <v>91</v>
      </c>
      <c r="T984" s="6">
        <v>14</v>
      </c>
      <c r="U984" s="56">
        <v>91</v>
      </c>
    </row>
    <row r="985" spans="1:21" s="6" customFormat="1">
      <c r="B985" s="56">
        <v>282</v>
      </c>
      <c r="C985" s="56">
        <v>94</v>
      </c>
      <c r="D985" s="6">
        <v>14.909999999999998</v>
      </c>
      <c r="E985" s="6">
        <v>37</v>
      </c>
      <c r="F985" s="6">
        <v>11.400000000000013</v>
      </c>
      <c r="G985" s="56">
        <v>94</v>
      </c>
      <c r="H985" s="6">
        <v>19</v>
      </c>
      <c r="I985" s="56">
        <v>94</v>
      </c>
      <c r="N985" s="56">
        <v>232</v>
      </c>
      <c r="O985" s="56">
        <v>94</v>
      </c>
      <c r="P985" s="6">
        <v>17.709999999999997</v>
      </c>
      <c r="Q985" s="6">
        <v>37</v>
      </c>
      <c r="R985" s="6">
        <v>8.4000000000000128</v>
      </c>
      <c r="S985" s="56">
        <v>94</v>
      </c>
      <c r="T985" s="6">
        <v>15</v>
      </c>
      <c r="U985" s="56">
        <v>94</v>
      </c>
    </row>
    <row r="986" spans="1:21" s="6" customFormat="1">
      <c r="B986" s="56">
        <v>286</v>
      </c>
      <c r="C986" s="56">
        <v>97</v>
      </c>
      <c r="D986" s="34">
        <v>15.11</v>
      </c>
      <c r="E986" s="6">
        <v>34</v>
      </c>
      <c r="F986" s="6">
        <v>11.7</v>
      </c>
      <c r="G986" s="56">
        <v>97</v>
      </c>
      <c r="H986" s="6">
        <v>20</v>
      </c>
      <c r="I986" s="56">
        <v>97</v>
      </c>
      <c r="N986" s="56">
        <v>236</v>
      </c>
      <c r="O986" s="56">
        <v>97</v>
      </c>
      <c r="P986" s="34">
        <v>17.909999999999997</v>
      </c>
      <c r="Q986" s="6">
        <v>34</v>
      </c>
      <c r="R986" s="6">
        <v>8.6999999999999993</v>
      </c>
      <c r="S986" s="56">
        <v>97</v>
      </c>
      <c r="T986" s="6">
        <v>16</v>
      </c>
      <c r="U986" s="56">
        <v>97</v>
      </c>
    </row>
    <row r="987" spans="1:21" s="6" customFormat="1">
      <c r="B987" s="56">
        <v>290</v>
      </c>
      <c r="C987" s="56">
        <v>100</v>
      </c>
      <c r="D987" s="6">
        <v>15.309999999999999</v>
      </c>
      <c r="E987" s="56">
        <v>30</v>
      </c>
      <c r="F987" s="6">
        <v>12</v>
      </c>
      <c r="G987" s="56">
        <v>100</v>
      </c>
      <c r="H987" s="6">
        <v>21</v>
      </c>
      <c r="I987" s="56">
        <v>100</v>
      </c>
      <c r="N987" s="56">
        <v>240</v>
      </c>
      <c r="O987" s="56">
        <v>100</v>
      </c>
      <c r="P987" s="6">
        <v>18.109999999999996</v>
      </c>
      <c r="Q987" s="56">
        <v>30</v>
      </c>
      <c r="R987" s="6">
        <v>9</v>
      </c>
      <c r="S987" s="56">
        <v>100</v>
      </c>
      <c r="T987" s="6">
        <v>17</v>
      </c>
      <c r="U987" s="56">
        <v>100</v>
      </c>
    </row>
    <row r="988" spans="1:21" s="13" customFormat="1">
      <c r="B988" s="56"/>
      <c r="C988" s="56"/>
      <c r="D988" s="34"/>
      <c r="E988" s="56"/>
      <c r="F988" s="56"/>
      <c r="G988" s="56"/>
      <c r="I988" s="56"/>
      <c r="N988" s="56"/>
      <c r="O988" s="56"/>
      <c r="P988" s="34"/>
      <c r="Q988" s="56"/>
      <c r="R988" s="56"/>
      <c r="S988" s="56"/>
      <c r="U988" s="56"/>
    </row>
    <row r="989" spans="1:21" s="13" customFormat="1">
      <c r="A989" s="13" t="s">
        <v>78</v>
      </c>
      <c r="B989" s="13" t="s">
        <v>448</v>
      </c>
      <c r="C989" s="13" t="s">
        <v>471</v>
      </c>
      <c r="D989" s="56" t="s">
        <v>457</v>
      </c>
      <c r="E989" s="56" t="s">
        <v>471</v>
      </c>
      <c r="F989" s="56"/>
      <c r="G989" s="56"/>
      <c r="I989" s="56"/>
      <c r="N989" s="13" t="s">
        <v>448</v>
      </c>
      <c r="O989" s="13" t="s">
        <v>471</v>
      </c>
      <c r="P989" s="56" t="s">
        <v>457</v>
      </c>
      <c r="Q989" s="56" t="s">
        <v>471</v>
      </c>
      <c r="R989" s="56"/>
      <c r="S989" s="56"/>
      <c r="U989" s="56"/>
    </row>
    <row r="990" spans="1:21" s="13" customFormat="1">
      <c r="A990" s="13" t="s">
        <v>263</v>
      </c>
      <c r="B990" s="56">
        <v>0</v>
      </c>
      <c r="C990" s="56">
        <v>70</v>
      </c>
      <c r="D990" s="34">
        <v>0</v>
      </c>
      <c r="E990" s="56">
        <v>100</v>
      </c>
      <c r="F990" s="56"/>
      <c r="G990" s="56"/>
      <c r="I990" s="56"/>
      <c r="N990" s="56">
        <v>0</v>
      </c>
      <c r="O990" s="56">
        <v>70</v>
      </c>
      <c r="P990" s="34">
        <v>0</v>
      </c>
      <c r="Q990" s="56">
        <v>100</v>
      </c>
      <c r="R990" s="56"/>
      <c r="S990" s="56"/>
      <c r="U990" s="56"/>
    </row>
    <row r="991" spans="1:21" s="13" customFormat="1">
      <c r="A991" s="13" t="s">
        <v>321</v>
      </c>
      <c r="B991" s="56">
        <v>231</v>
      </c>
      <c r="C991" s="56">
        <v>73</v>
      </c>
      <c r="D991" s="34">
        <v>8.51</v>
      </c>
      <c r="E991" s="56">
        <v>97</v>
      </c>
      <c r="F991" s="56"/>
      <c r="G991" s="56"/>
      <c r="I991" s="56"/>
      <c r="N991" s="56">
        <v>188</v>
      </c>
      <c r="O991" s="56">
        <v>73</v>
      </c>
      <c r="P991" s="34">
        <v>9.81</v>
      </c>
      <c r="Q991" s="56">
        <v>97</v>
      </c>
      <c r="R991" s="56"/>
      <c r="S991" s="56"/>
      <c r="U991" s="56"/>
    </row>
    <row r="992" spans="1:21" s="13" customFormat="1">
      <c r="B992" s="56">
        <v>236</v>
      </c>
      <c r="C992" s="56">
        <v>76</v>
      </c>
      <c r="D992" s="34">
        <v>8.7100000000000009</v>
      </c>
      <c r="E992" s="56">
        <v>94</v>
      </c>
      <c r="F992" s="56"/>
      <c r="G992" s="56"/>
      <c r="I992" s="56"/>
      <c r="N992" s="56">
        <v>193</v>
      </c>
      <c r="O992" s="56">
        <v>76</v>
      </c>
      <c r="P992" s="34">
        <v>10.01</v>
      </c>
      <c r="Q992" s="56">
        <v>94</v>
      </c>
      <c r="R992" s="56"/>
      <c r="S992" s="56"/>
      <c r="U992" s="56"/>
    </row>
    <row r="993" spans="1:31" s="13" customFormat="1">
      <c r="B993" s="56">
        <v>241</v>
      </c>
      <c r="C993" s="56">
        <v>79</v>
      </c>
      <c r="D993" s="34">
        <v>8.9099999999999984</v>
      </c>
      <c r="E993" s="56">
        <v>91</v>
      </c>
      <c r="F993" s="56"/>
      <c r="G993" s="56"/>
      <c r="I993" s="56"/>
      <c r="N993" s="56">
        <v>198</v>
      </c>
      <c r="O993" s="56">
        <v>79</v>
      </c>
      <c r="P993" s="34">
        <v>10.209999999999999</v>
      </c>
      <c r="Q993" s="56">
        <v>91</v>
      </c>
      <c r="R993" s="56"/>
      <c r="S993" s="56"/>
      <c r="U993" s="56"/>
    </row>
    <row r="994" spans="1:31" s="13" customFormat="1">
      <c r="B994" s="56">
        <v>246</v>
      </c>
      <c r="C994" s="56">
        <v>82</v>
      </c>
      <c r="D994" s="34">
        <v>9.1099999999999977</v>
      </c>
      <c r="E994" s="56">
        <v>88</v>
      </c>
      <c r="F994" s="56"/>
      <c r="G994" s="56"/>
      <c r="I994" s="56"/>
      <c r="N994" s="56">
        <v>203</v>
      </c>
      <c r="O994" s="56">
        <v>82</v>
      </c>
      <c r="P994" s="34">
        <v>10.409999999999998</v>
      </c>
      <c r="Q994" s="56">
        <v>88</v>
      </c>
      <c r="R994" s="56"/>
      <c r="S994" s="56"/>
      <c r="U994" s="56"/>
    </row>
    <row r="995" spans="1:31" s="13" customFormat="1">
      <c r="B995" s="56">
        <v>251</v>
      </c>
      <c r="C995" s="56">
        <v>85</v>
      </c>
      <c r="D995" s="34">
        <v>9.3099999999999987</v>
      </c>
      <c r="E995" s="56">
        <v>85</v>
      </c>
      <c r="F995" s="56"/>
      <c r="G995" s="56"/>
      <c r="I995" s="56"/>
      <c r="N995" s="56">
        <v>208</v>
      </c>
      <c r="O995" s="56">
        <v>85</v>
      </c>
      <c r="P995" s="34">
        <v>10.61</v>
      </c>
      <c r="Q995" s="56">
        <v>85</v>
      </c>
      <c r="R995" s="56"/>
      <c r="S995" s="56"/>
      <c r="U995" s="56"/>
    </row>
    <row r="996" spans="1:31" s="13" customFormat="1">
      <c r="B996" s="56">
        <v>256</v>
      </c>
      <c r="C996" s="56">
        <v>88</v>
      </c>
      <c r="D996" s="34">
        <v>9.509999999999998</v>
      </c>
      <c r="E996" s="56">
        <v>82</v>
      </c>
      <c r="F996" s="56"/>
      <c r="G996" s="56"/>
      <c r="I996" s="56"/>
      <c r="N996" s="56">
        <v>213</v>
      </c>
      <c r="O996" s="56">
        <v>88</v>
      </c>
      <c r="P996" s="34">
        <v>10.809999999999999</v>
      </c>
      <c r="Q996" s="56">
        <v>82</v>
      </c>
      <c r="R996" s="56"/>
      <c r="S996" s="56"/>
      <c r="U996" s="56"/>
    </row>
    <row r="997" spans="1:31" s="13" customFormat="1">
      <c r="B997" s="56">
        <v>261</v>
      </c>
      <c r="C997" s="56">
        <v>91</v>
      </c>
      <c r="D997" s="34">
        <v>9.7099999999999973</v>
      </c>
      <c r="E997" s="56">
        <v>79</v>
      </c>
      <c r="F997" s="56"/>
      <c r="G997" s="56"/>
      <c r="I997" s="56"/>
      <c r="N997" s="56">
        <v>218</v>
      </c>
      <c r="O997" s="56">
        <v>91</v>
      </c>
      <c r="P997" s="34">
        <v>11.009999999999998</v>
      </c>
      <c r="Q997" s="56">
        <v>79</v>
      </c>
      <c r="R997" s="56"/>
      <c r="S997" s="56"/>
      <c r="U997" s="56"/>
    </row>
    <row r="998" spans="1:31" s="13" customFormat="1">
      <c r="B998" s="56">
        <v>266</v>
      </c>
      <c r="C998" s="56">
        <v>94</v>
      </c>
      <c r="D998" s="34">
        <v>9.9099999999999984</v>
      </c>
      <c r="E998" s="56">
        <v>76</v>
      </c>
      <c r="F998" s="56"/>
      <c r="G998" s="56"/>
      <c r="I998" s="56"/>
      <c r="N998" s="56">
        <v>223</v>
      </c>
      <c r="O998" s="56">
        <v>94</v>
      </c>
      <c r="P998" s="34">
        <v>11.209999999999999</v>
      </c>
      <c r="Q998" s="56">
        <v>76</v>
      </c>
      <c r="R998" s="56"/>
      <c r="S998" s="56"/>
      <c r="U998" s="56"/>
    </row>
    <row r="999" spans="1:31" s="13" customFormat="1">
      <c r="B999" s="56">
        <v>271</v>
      </c>
      <c r="C999" s="56">
        <v>97</v>
      </c>
      <c r="D999" s="34">
        <v>10.109999999999998</v>
      </c>
      <c r="E999" s="56">
        <v>73</v>
      </c>
      <c r="F999" s="56"/>
      <c r="G999" s="56"/>
      <c r="I999" s="56"/>
      <c r="N999" s="56">
        <v>228</v>
      </c>
      <c r="O999" s="56">
        <v>97</v>
      </c>
      <c r="P999" s="34">
        <v>11.409999999999998</v>
      </c>
      <c r="Q999" s="56">
        <v>73</v>
      </c>
      <c r="R999" s="56"/>
      <c r="S999" s="56"/>
      <c r="U999" s="56"/>
    </row>
    <row r="1000" spans="1:31">
      <c r="B1000" s="56">
        <v>276</v>
      </c>
      <c r="C1000" s="56">
        <v>100</v>
      </c>
      <c r="D1000" s="34">
        <v>10.309999999999999</v>
      </c>
      <c r="E1000" s="56">
        <v>70</v>
      </c>
      <c r="N1000" s="56">
        <v>233</v>
      </c>
      <c r="O1000" s="56">
        <v>100</v>
      </c>
      <c r="P1000" s="34">
        <v>11.61</v>
      </c>
      <c r="Q1000" s="56">
        <v>70</v>
      </c>
    </row>
    <row r="1002" spans="1:31" s="133" customForma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AC1002" s="14"/>
      <c r="AE1002" s="14"/>
    </row>
    <row r="1003" spans="1:31" s="133" customFormat="1">
      <c r="A1003" s="14" t="s">
        <v>406</v>
      </c>
      <c r="B1003" s="14" t="s">
        <v>473</v>
      </c>
      <c r="C1003" s="14" t="s">
        <v>471</v>
      </c>
      <c r="D1003" s="14" t="s">
        <v>426</v>
      </c>
      <c r="E1003" s="14" t="s">
        <v>471</v>
      </c>
      <c r="F1003" s="14" t="s">
        <v>448</v>
      </c>
      <c r="G1003" s="14" t="s">
        <v>471</v>
      </c>
      <c r="H1003" s="14"/>
      <c r="I1003" s="14"/>
      <c r="J1003" s="14"/>
      <c r="K1003" s="14"/>
      <c r="L1003" s="14"/>
      <c r="M1003" s="14"/>
      <c r="N1003" s="14" t="s">
        <v>473</v>
      </c>
      <c r="O1003" s="14" t="s">
        <v>471</v>
      </c>
      <c r="P1003" s="14" t="s">
        <v>426</v>
      </c>
      <c r="Q1003" s="14" t="s">
        <v>471</v>
      </c>
      <c r="R1003" s="14" t="s">
        <v>448</v>
      </c>
      <c r="S1003" s="14" t="s">
        <v>471</v>
      </c>
      <c r="T1003" s="14"/>
      <c r="U1003" s="14"/>
      <c r="V1003" s="14"/>
      <c r="W1003" s="14"/>
      <c r="X1003" s="14"/>
      <c r="AC1003" s="14"/>
      <c r="AE1003" s="14"/>
    </row>
    <row r="1004" spans="1:31" s="133" customFormat="1">
      <c r="A1004" s="31"/>
      <c r="B1004" s="63">
        <v>0</v>
      </c>
      <c r="C1004" s="73">
        <v>300</v>
      </c>
      <c r="D1004" s="73"/>
      <c r="E1004" s="191"/>
      <c r="F1004" s="73">
        <v>0</v>
      </c>
      <c r="G1004" s="73">
        <v>150</v>
      </c>
      <c r="H1004" s="14"/>
      <c r="I1004" s="14"/>
      <c r="J1004" s="14"/>
      <c r="K1004" s="14"/>
      <c r="L1004" s="14"/>
      <c r="M1004" s="14"/>
      <c r="N1004" s="63">
        <v>0</v>
      </c>
      <c r="O1004" s="73">
        <v>300</v>
      </c>
      <c r="P1004" s="73"/>
      <c r="Q1004" s="191"/>
      <c r="R1004" s="73">
        <v>0</v>
      </c>
      <c r="S1004" s="73">
        <v>150</v>
      </c>
      <c r="T1004" s="14"/>
      <c r="U1004" s="14"/>
      <c r="V1004" s="14"/>
      <c r="W1004" s="14"/>
      <c r="X1004" s="14"/>
      <c r="AC1004" s="14"/>
      <c r="AE1004" s="14"/>
    </row>
    <row r="1005" spans="1:31" s="133" customFormat="1">
      <c r="A1005" s="190" t="s">
        <v>422</v>
      </c>
      <c r="B1005" s="63">
        <v>14.2</v>
      </c>
      <c r="C1005" s="73">
        <v>290</v>
      </c>
      <c r="D1005" s="73">
        <v>0</v>
      </c>
      <c r="E1005" s="191">
        <v>150</v>
      </c>
      <c r="F1005" s="73">
        <v>245</v>
      </c>
      <c r="G1005" s="73">
        <v>205</v>
      </c>
      <c r="H1005" s="14"/>
      <c r="I1005" s="14"/>
      <c r="J1005" s="14"/>
      <c r="K1005" s="14"/>
      <c r="L1005" s="14"/>
      <c r="M1005" s="14"/>
      <c r="N1005" s="63">
        <v>16.2</v>
      </c>
      <c r="O1005" s="73">
        <v>290</v>
      </c>
      <c r="P1005" s="73">
        <v>0</v>
      </c>
      <c r="Q1005" s="103">
        <v>150</v>
      </c>
      <c r="R1005" s="73">
        <v>195</v>
      </c>
      <c r="S1005" s="73">
        <v>205</v>
      </c>
      <c r="T1005" s="14"/>
      <c r="U1005" s="14"/>
      <c r="V1005" s="14"/>
      <c r="W1005" s="14"/>
      <c r="X1005" s="14"/>
      <c r="AC1005" s="14"/>
      <c r="AE1005" s="14"/>
    </row>
    <row r="1006" spans="1:31" s="133" customFormat="1">
      <c r="A1006" s="190" t="s">
        <v>545</v>
      </c>
      <c r="B1006" s="63">
        <v>14.35</v>
      </c>
      <c r="C1006" s="73">
        <v>280</v>
      </c>
      <c r="D1006" s="73">
        <v>40</v>
      </c>
      <c r="E1006" s="191">
        <v>210</v>
      </c>
      <c r="F1006" s="73">
        <v>250</v>
      </c>
      <c r="G1006" s="73">
        <v>210</v>
      </c>
      <c r="H1006" s="14"/>
      <c r="I1006" s="14"/>
      <c r="J1006" s="14"/>
      <c r="K1006" s="14"/>
      <c r="L1006" s="14"/>
      <c r="M1006" s="14"/>
      <c r="N1006" s="63">
        <v>16.350000000000001</v>
      </c>
      <c r="O1006" s="73">
        <v>280</v>
      </c>
      <c r="P1006" s="73">
        <v>30</v>
      </c>
      <c r="Q1006" s="103">
        <v>210</v>
      </c>
      <c r="R1006" s="73">
        <v>200</v>
      </c>
      <c r="S1006" s="73">
        <v>210</v>
      </c>
      <c r="T1006" s="14"/>
      <c r="U1006" s="14"/>
      <c r="V1006" s="14"/>
      <c r="W1006" s="14"/>
      <c r="X1006" s="14"/>
      <c r="AC1006" s="14"/>
      <c r="AE1006" s="14"/>
    </row>
    <row r="1007" spans="1:31" s="133" customFormat="1">
      <c r="A1007" s="14"/>
      <c r="B1007" s="63">
        <v>14.500000000000023</v>
      </c>
      <c r="C1007" s="73">
        <v>270</v>
      </c>
      <c r="D1007" s="73">
        <v>45</v>
      </c>
      <c r="E1007" s="191">
        <v>215</v>
      </c>
      <c r="F1007" s="73">
        <v>255</v>
      </c>
      <c r="G1007" s="73">
        <v>215</v>
      </c>
      <c r="H1007" s="14"/>
      <c r="I1007" s="14"/>
      <c r="J1007" s="14"/>
      <c r="K1007" s="14"/>
      <c r="L1007" s="14"/>
      <c r="M1007" s="14"/>
      <c r="N1007" s="63">
        <v>16.500000000000046</v>
      </c>
      <c r="O1007" s="73">
        <v>270</v>
      </c>
      <c r="P1007" s="73">
        <v>35</v>
      </c>
      <c r="Q1007" s="103">
        <v>215</v>
      </c>
      <c r="R1007" s="73">
        <v>205</v>
      </c>
      <c r="S1007" s="73">
        <v>215</v>
      </c>
      <c r="T1007" s="14"/>
      <c r="U1007" s="14"/>
      <c r="V1007" s="14"/>
      <c r="W1007" s="14"/>
      <c r="X1007" s="14"/>
      <c r="AC1007" s="14"/>
      <c r="AE1007" s="14"/>
    </row>
    <row r="1008" spans="1:31" s="133" customFormat="1">
      <c r="A1008" s="14" t="s">
        <v>522</v>
      </c>
      <c r="B1008" s="63">
        <v>14.650000000000038</v>
      </c>
      <c r="C1008" s="73">
        <v>260</v>
      </c>
      <c r="D1008" s="73">
        <v>50</v>
      </c>
      <c r="E1008" s="191">
        <v>220</v>
      </c>
      <c r="F1008" s="73">
        <v>260</v>
      </c>
      <c r="G1008" s="73">
        <v>220</v>
      </c>
      <c r="H1008" s="14"/>
      <c r="I1008" s="14"/>
      <c r="J1008" s="329"/>
      <c r="K1008" s="14"/>
      <c r="L1008" s="14"/>
      <c r="M1008" s="14"/>
      <c r="N1008" s="63">
        <v>16.650000000000077</v>
      </c>
      <c r="O1008" s="73">
        <v>260</v>
      </c>
      <c r="P1008" s="73">
        <v>40</v>
      </c>
      <c r="Q1008" s="103">
        <v>220</v>
      </c>
      <c r="R1008" s="73">
        <v>210</v>
      </c>
      <c r="S1008" s="73">
        <v>220</v>
      </c>
      <c r="T1008" s="14"/>
      <c r="U1008" s="14"/>
      <c r="V1008" s="14"/>
      <c r="W1008" s="14"/>
      <c r="X1008" s="14"/>
      <c r="AC1008" s="14"/>
      <c r="AE1008" s="14"/>
    </row>
    <row r="1009" spans="1:31" s="133" customFormat="1">
      <c r="A1009" s="14"/>
      <c r="B1009" s="63">
        <v>14.85</v>
      </c>
      <c r="C1009" s="73">
        <v>250</v>
      </c>
      <c r="D1009" s="73">
        <v>55</v>
      </c>
      <c r="E1009" s="191">
        <v>225</v>
      </c>
      <c r="F1009" s="73">
        <v>265</v>
      </c>
      <c r="G1009" s="73">
        <v>225</v>
      </c>
      <c r="H1009" s="14"/>
      <c r="I1009" s="14"/>
      <c r="J1009" s="14"/>
      <c r="K1009" s="14"/>
      <c r="L1009" s="14"/>
      <c r="M1009" s="14"/>
      <c r="N1009" s="63">
        <v>16.850000000000001</v>
      </c>
      <c r="O1009" s="73">
        <v>250</v>
      </c>
      <c r="P1009" s="73">
        <v>45</v>
      </c>
      <c r="Q1009" s="103">
        <v>225</v>
      </c>
      <c r="R1009" s="73">
        <v>215</v>
      </c>
      <c r="S1009" s="73">
        <v>225</v>
      </c>
      <c r="T1009" s="14"/>
      <c r="U1009" s="14"/>
      <c r="V1009" s="14"/>
      <c r="W1009" s="14"/>
      <c r="X1009" s="14"/>
      <c r="AC1009" s="14"/>
      <c r="AE1009" s="14"/>
    </row>
    <row r="1010" spans="1:31" s="133" customFormat="1">
      <c r="A1010" s="14"/>
      <c r="B1010" s="63">
        <v>15</v>
      </c>
      <c r="C1010" s="73">
        <v>240</v>
      </c>
      <c r="D1010" s="73">
        <v>60</v>
      </c>
      <c r="E1010" s="191">
        <v>230</v>
      </c>
      <c r="F1010" s="73">
        <v>270</v>
      </c>
      <c r="G1010" s="73">
        <v>230</v>
      </c>
      <c r="H1010" s="14"/>
      <c r="I1010" s="14"/>
      <c r="J1010" s="14"/>
      <c r="K1010" s="14"/>
      <c r="L1010" s="14"/>
      <c r="M1010" s="14"/>
      <c r="N1010" s="63">
        <v>17</v>
      </c>
      <c r="O1010" s="73">
        <v>240</v>
      </c>
      <c r="P1010" s="73">
        <v>50</v>
      </c>
      <c r="Q1010" s="103">
        <v>230</v>
      </c>
      <c r="R1010" s="73">
        <v>220</v>
      </c>
      <c r="S1010" s="73">
        <v>230</v>
      </c>
      <c r="T1010" s="14"/>
      <c r="U1010" s="14"/>
      <c r="V1010" s="14"/>
      <c r="W1010" s="14"/>
      <c r="X1010" s="14"/>
      <c r="AC1010" s="14"/>
      <c r="AE1010" s="14"/>
    </row>
    <row r="1011" spans="1:31" s="133" customFormat="1">
      <c r="A1011" s="14"/>
      <c r="B1011" s="63">
        <v>15.149999999999977</v>
      </c>
      <c r="C1011" s="73">
        <v>230</v>
      </c>
      <c r="D1011" s="73">
        <v>65</v>
      </c>
      <c r="E1011" s="191">
        <v>235</v>
      </c>
      <c r="F1011" s="73">
        <v>275</v>
      </c>
      <c r="G1011" s="73">
        <v>235</v>
      </c>
      <c r="H1011" s="14"/>
      <c r="I1011" s="14"/>
      <c r="J1011" s="14"/>
      <c r="K1011" s="14"/>
      <c r="L1011" s="14"/>
      <c r="M1011" s="14"/>
      <c r="N1011" s="63">
        <v>17.149999999999977</v>
      </c>
      <c r="O1011" s="73">
        <v>230</v>
      </c>
      <c r="P1011" s="73">
        <v>55</v>
      </c>
      <c r="Q1011" s="103">
        <v>235</v>
      </c>
      <c r="R1011" s="73">
        <v>225</v>
      </c>
      <c r="S1011" s="73">
        <v>235</v>
      </c>
      <c r="T1011" s="14"/>
      <c r="U1011" s="14"/>
      <c r="V1011" s="14"/>
      <c r="W1011" s="14"/>
      <c r="X1011" s="14"/>
      <c r="AC1011" s="14"/>
      <c r="AE1011" s="14"/>
    </row>
    <row r="1012" spans="1:31" s="133" customFormat="1">
      <c r="A1012" s="14"/>
      <c r="B1012" s="63">
        <v>15.29999999999996</v>
      </c>
      <c r="C1012" s="73">
        <v>220</v>
      </c>
      <c r="D1012" s="73">
        <v>70</v>
      </c>
      <c r="E1012" s="191">
        <v>240</v>
      </c>
      <c r="F1012" s="73">
        <v>280</v>
      </c>
      <c r="G1012" s="73">
        <v>240</v>
      </c>
      <c r="H1012" s="14"/>
      <c r="I1012" s="14"/>
      <c r="J1012" s="14"/>
      <c r="K1012" s="14"/>
      <c r="L1012" s="14"/>
      <c r="M1012" s="14"/>
      <c r="N1012" s="63">
        <v>17.299999999999962</v>
      </c>
      <c r="O1012" s="73">
        <v>220</v>
      </c>
      <c r="P1012" s="73">
        <v>60</v>
      </c>
      <c r="Q1012" s="103">
        <v>240</v>
      </c>
      <c r="R1012" s="73">
        <v>230</v>
      </c>
      <c r="S1012" s="73">
        <v>240</v>
      </c>
      <c r="T1012" s="14"/>
      <c r="U1012" s="14"/>
      <c r="V1012" s="14"/>
      <c r="W1012" s="14"/>
      <c r="X1012" s="14"/>
      <c r="AC1012" s="14"/>
      <c r="AE1012" s="14"/>
    </row>
    <row r="1013" spans="1:31" s="133" customFormat="1">
      <c r="A1013" s="14"/>
      <c r="B1013" s="63">
        <v>15.449999999999944</v>
      </c>
      <c r="C1013" s="73">
        <v>210</v>
      </c>
      <c r="D1013" s="73">
        <v>75</v>
      </c>
      <c r="E1013" s="191">
        <v>245</v>
      </c>
      <c r="F1013" s="73">
        <v>285</v>
      </c>
      <c r="G1013" s="73">
        <v>245</v>
      </c>
      <c r="H1013" s="14"/>
      <c r="I1013" s="14"/>
      <c r="J1013" s="14"/>
      <c r="K1013" s="14"/>
      <c r="L1013" s="14"/>
      <c r="M1013" s="14"/>
      <c r="N1013" s="63">
        <v>17.449999999999946</v>
      </c>
      <c r="O1013" s="73">
        <v>210</v>
      </c>
      <c r="P1013" s="73">
        <v>65</v>
      </c>
      <c r="Q1013" s="103">
        <v>245</v>
      </c>
      <c r="R1013" s="73">
        <v>235</v>
      </c>
      <c r="S1013" s="73">
        <v>245</v>
      </c>
      <c r="T1013" s="14"/>
      <c r="U1013" s="14"/>
      <c r="V1013" s="14"/>
      <c r="W1013" s="14"/>
      <c r="X1013" s="14"/>
      <c r="AC1013" s="14"/>
      <c r="AE1013" s="14"/>
    </row>
    <row r="1014" spans="1:31" s="133" customFormat="1">
      <c r="A1014" s="14"/>
      <c r="B1014" s="63">
        <v>15.599999999999929</v>
      </c>
      <c r="C1014" s="73">
        <v>200</v>
      </c>
      <c r="D1014" s="73">
        <v>80</v>
      </c>
      <c r="E1014" s="191">
        <v>250</v>
      </c>
      <c r="F1014" s="73">
        <v>290</v>
      </c>
      <c r="G1014" s="73">
        <v>250</v>
      </c>
      <c r="H1014" s="14"/>
      <c r="I1014" s="14"/>
      <c r="J1014" s="14"/>
      <c r="K1014" s="14"/>
      <c r="L1014" s="14"/>
      <c r="M1014" s="14"/>
      <c r="N1014" s="63">
        <v>17.59999999999993</v>
      </c>
      <c r="O1014" s="73">
        <v>200</v>
      </c>
      <c r="P1014" s="73">
        <v>70</v>
      </c>
      <c r="Q1014" s="103">
        <v>250</v>
      </c>
      <c r="R1014" s="73">
        <v>240</v>
      </c>
      <c r="S1014" s="73">
        <v>250</v>
      </c>
      <c r="T1014" s="14"/>
      <c r="U1014" s="14"/>
      <c r="V1014" s="14"/>
      <c r="W1014" s="14"/>
      <c r="X1014" s="14"/>
      <c r="AC1014" s="14"/>
      <c r="AE1014" s="14"/>
    </row>
    <row r="1015" spans="1:31" s="133" customFormat="1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AC1015" s="14"/>
      <c r="AE1015" s="14"/>
    </row>
    <row r="1016" spans="1:31" s="133" customFormat="1">
      <c r="A1016" s="14" t="s">
        <v>294</v>
      </c>
      <c r="B1016" s="14" t="s">
        <v>457</v>
      </c>
      <c r="C1016" s="14" t="s">
        <v>471</v>
      </c>
      <c r="D1016" s="14" t="s">
        <v>430</v>
      </c>
      <c r="E1016" s="14" t="s">
        <v>471</v>
      </c>
      <c r="F1016" s="14" t="s">
        <v>426</v>
      </c>
      <c r="G1016" s="14" t="s">
        <v>471</v>
      </c>
      <c r="H1016" s="14"/>
      <c r="I1016" s="14"/>
      <c r="J1016" s="14"/>
      <c r="K1016" s="14"/>
      <c r="L1016" s="14"/>
      <c r="M1016" s="14"/>
      <c r="N1016" s="14" t="s">
        <v>457</v>
      </c>
      <c r="O1016" s="14" t="s">
        <v>471</v>
      </c>
      <c r="P1016" s="14" t="s">
        <v>430</v>
      </c>
      <c r="Q1016" s="14" t="s">
        <v>471</v>
      </c>
      <c r="R1016" s="14" t="s">
        <v>426</v>
      </c>
      <c r="S1016" s="14" t="s">
        <v>471</v>
      </c>
      <c r="T1016" s="14"/>
      <c r="U1016" s="14"/>
      <c r="V1016" s="14"/>
      <c r="W1016" s="14"/>
      <c r="X1016" s="14"/>
      <c r="AC1016" s="14"/>
      <c r="AE1016" s="14"/>
    </row>
    <row r="1017" spans="1:31" s="133" customFormat="1">
      <c r="A1017" s="14"/>
      <c r="B1017" s="34">
        <v>0</v>
      </c>
      <c r="C1017" s="56">
        <v>160</v>
      </c>
      <c r="D1017" s="56">
        <v>0</v>
      </c>
      <c r="E1017" s="56">
        <v>170</v>
      </c>
      <c r="F1017" s="14">
        <v>0</v>
      </c>
      <c r="G1017" s="56">
        <v>50</v>
      </c>
      <c r="H1017" s="14"/>
      <c r="I1017" s="14"/>
      <c r="J1017" s="14"/>
      <c r="K1017" s="14"/>
      <c r="L1017" s="14"/>
      <c r="M1017" s="14"/>
      <c r="N1017" s="34">
        <v>0</v>
      </c>
      <c r="O1017" s="56">
        <v>160</v>
      </c>
      <c r="P1017" s="56">
        <v>0</v>
      </c>
      <c r="Q1017" s="56">
        <v>170</v>
      </c>
      <c r="R1017" s="14">
        <v>0</v>
      </c>
      <c r="S1017" s="56">
        <v>50</v>
      </c>
      <c r="T1017" s="14"/>
      <c r="U1017" s="14"/>
      <c r="V1017" s="14"/>
      <c r="W1017" s="14"/>
      <c r="X1017" s="14"/>
      <c r="AC1017" s="14"/>
      <c r="AE1017" s="14"/>
    </row>
    <row r="1018" spans="1:31" s="133" customFormat="1">
      <c r="A1018" s="14"/>
      <c r="B1018" s="34">
        <v>9.2100000000000009</v>
      </c>
      <c r="C1018" s="56">
        <v>145</v>
      </c>
      <c r="D1018" s="34">
        <v>13.51</v>
      </c>
      <c r="E1018" s="56">
        <v>155</v>
      </c>
      <c r="F1018" s="14">
        <v>45</v>
      </c>
      <c r="G1018" s="56">
        <v>65</v>
      </c>
      <c r="H1018" s="14"/>
      <c r="I1018" s="14"/>
      <c r="J1018" s="14"/>
      <c r="K1018" s="14"/>
      <c r="L1018" s="14"/>
      <c r="M1018" s="14"/>
      <c r="N1018" s="34">
        <v>10.210000000000001</v>
      </c>
      <c r="O1018" s="56">
        <v>145</v>
      </c>
      <c r="P1018" s="34">
        <v>15.01</v>
      </c>
      <c r="Q1018" s="56">
        <v>155</v>
      </c>
      <c r="R1018" s="14">
        <v>35</v>
      </c>
      <c r="S1018" s="56">
        <v>65</v>
      </c>
      <c r="T1018" s="14"/>
      <c r="U1018" s="14"/>
      <c r="V1018" s="14"/>
      <c r="W1018" s="14"/>
      <c r="X1018" s="14"/>
      <c r="AC1018" s="14"/>
      <c r="AE1018" s="14"/>
    </row>
    <row r="1019" spans="1:31" s="133" customFormat="1">
      <c r="A1019" s="14"/>
      <c r="B1019" s="34">
        <v>9.51</v>
      </c>
      <c r="C1019" s="56">
        <v>130</v>
      </c>
      <c r="D1019" s="34">
        <v>14.01</v>
      </c>
      <c r="E1019" s="56">
        <v>140</v>
      </c>
      <c r="F1019" s="14">
        <v>50</v>
      </c>
      <c r="G1019" s="56">
        <v>80</v>
      </c>
      <c r="H1019" s="14"/>
      <c r="I1019" s="14"/>
      <c r="J1019" s="14"/>
      <c r="K1019" s="14"/>
      <c r="L1019" s="14"/>
      <c r="M1019" s="14"/>
      <c r="N1019" s="34">
        <v>10.51</v>
      </c>
      <c r="O1019" s="56">
        <v>130</v>
      </c>
      <c r="P1019" s="34">
        <v>15.51</v>
      </c>
      <c r="Q1019" s="56">
        <v>140</v>
      </c>
      <c r="R1019" s="14">
        <v>40</v>
      </c>
      <c r="S1019" s="56">
        <v>80</v>
      </c>
      <c r="T1019" s="14"/>
      <c r="U1019" s="14"/>
      <c r="V1019" s="14"/>
      <c r="W1019" s="14"/>
      <c r="X1019" s="14"/>
      <c r="AC1019" s="14"/>
      <c r="AE1019" s="14"/>
    </row>
    <row r="1020" spans="1:31" s="133" customFormat="1">
      <c r="A1020" s="14"/>
      <c r="B1020" s="34">
        <v>9.81</v>
      </c>
      <c r="C1020" s="56">
        <v>115</v>
      </c>
      <c r="D1020" s="34">
        <v>14.51</v>
      </c>
      <c r="E1020" s="56">
        <v>125</v>
      </c>
      <c r="F1020" s="14">
        <v>55</v>
      </c>
      <c r="G1020" s="56">
        <v>95</v>
      </c>
      <c r="H1020" s="14"/>
      <c r="I1020" s="14"/>
      <c r="J1020" s="14"/>
      <c r="K1020" s="14"/>
      <c r="L1020" s="14"/>
      <c r="M1020" s="14"/>
      <c r="N1020" s="34">
        <v>10.81</v>
      </c>
      <c r="O1020" s="56">
        <v>115</v>
      </c>
      <c r="P1020" s="34">
        <v>16.010000000000002</v>
      </c>
      <c r="Q1020" s="56">
        <v>125</v>
      </c>
      <c r="R1020" s="14">
        <v>45</v>
      </c>
      <c r="S1020" s="56">
        <v>95</v>
      </c>
      <c r="T1020" s="14"/>
      <c r="U1020" s="14"/>
      <c r="V1020" s="14"/>
      <c r="W1020" s="14"/>
      <c r="X1020" s="14"/>
      <c r="AC1020" s="14"/>
      <c r="AE1020" s="14"/>
    </row>
    <row r="1021" spans="1:31" s="133" customFormat="1">
      <c r="A1021" s="14"/>
      <c r="B1021" s="34">
        <v>10.11</v>
      </c>
      <c r="C1021" s="56">
        <v>100</v>
      </c>
      <c r="D1021" s="34">
        <v>15.01</v>
      </c>
      <c r="E1021" s="56">
        <v>110</v>
      </c>
      <c r="F1021" s="14">
        <v>60</v>
      </c>
      <c r="G1021" s="56">
        <v>110</v>
      </c>
      <c r="H1021" s="14"/>
      <c r="I1021" s="14"/>
      <c r="J1021" s="14"/>
      <c r="K1021" s="14"/>
      <c r="L1021" s="14"/>
      <c r="M1021" s="14"/>
      <c r="N1021" s="34">
        <v>11.11</v>
      </c>
      <c r="O1021" s="56">
        <v>100</v>
      </c>
      <c r="P1021" s="34">
        <v>16.510000000000002</v>
      </c>
      <c r="Q1021" s="56">
        <v>110</v>
      </c>
      <c r="R1021" s="14">
        <v>50</v>
      </c>
      <c r="S1021" s="56">
        <v>110</v>
      </c>
      <c r="T1021" s="14"/>
      <c r="U1021" s="14"/>
      <c r="V1021" s="14"/>
      <c r="W1021" s="14"/>
      <c r="X1021" s="14"/>
      <c r="AC1021" s="14"/>
      <c r="AE1021" s="14"/>
    </row>
    <row r="1022" spans="1:31" s="133" customFormat="1">
      <c r="A1022" s="14"/>
      <c r="B1022" s="34">
        <v>10.41</v>
      </c>
      <c r="C1022" s="56">
        <v>85</v>
      </c>
      <c r="D1022" s="34">
        <v>15.51</v>
      </c>
      <c r="E1022" s="56">
        <v>95</v>
      </c>
      <c r="F1022" s="14">
        <v>65</v>
      </c>
      <c r="G1022" s="56">
        <v>125</v>
      </c>
      <c r="H1022" s="14"/>
      <c r="I1022" s="14"/>
      <c r="J1022" s="14"/>
      <c r="K1022" s="14"/>
      <c r="L1022" s="14"/>
      <c r="M1022" s="14"/>
      <c r="N1022" s="34">
        <v>11.41</v>
      </c>
      <c r="O1022" s="56">
        <v>85</v>
      </c>
      <c r="P1022" s="34">
        <v>17.010000000000002</v>
      </c>
      <c r="Q1022" s="56">
        <v>95</v>
      </c>
      <c r="R1022" s="14">
        <v>55</v>
      </c>
      <c r="S1022" s="56">
        <v>125</v>
      </c>
      <c r="T1022" s="14"/>
      <c r="U1022" s="14"/>
      <c r="V1022" s="14"/>
      <c r="W1022" s="14"/>
      <c r="X1022" s="14"/>
      <c r="AC1022" s="14"/>
      <c r="AE1022" s="14"/>
    </row>
    <row r="1023" spans="1:31" s="133" customFormat="1">
      <c r="A1023" s="14"/>
      <c r="B1023" s="34">
        <v>10.71</v>
      </c>
      <c r="C1023" s="56">
        <v>70</v>
      </c>
      <c r="D1023" s="34">
        <v>16.010000000000002</v>
      </c>
      <c r="E1023" s="56">
        <v>80</v>
      </c>
      <c r="F1023" s="14">
        <v>70</v>
      </c>
      <c r="G1023" s="56">
        <v>140</v>
      </c>
      <c r="H1023" s="14"/>
      <c r="I1023" s="14"/>
      <c r="J1023" s="14"/>
      <c r="K1023" s="14"/>
      <c r="L1023" s="14"/>
      <c r="M1023" s="14"/>
      <c r="N1023" s="34">
        <v>11.71</v>
      </c>
      <c r="O1023" s="56">
        <v>70</v>
      </c>
      <c r="P1023" s="34">
        <v>17.510000000000002</v>
      </c>
      <c r="Q1023" s="56">
        <v>80</v>
      </c>
      <c r="R1023" s="14">
        <v>60</v>
      </c>
      <c r="S1023" s="56">
        <v>140</v>
      </c>
      <c r="T1023" s="14"/>
      <c r="U1023" s="14"/>
      <c r="V1023" s="14"/>
      <c r="W1023" s="14"/>
      <c r="X1023" s="14"/>
      <c r="AC1023" s="14"/>
      <c r="AE1023" s="14"/>
    </row>
    <row r="1024" spans="1:31" s="133" customFormat="1">
      <c r="A1024" s="14"/>
      <c r="B1024" s="34">
        <v>11.01</v>
      </c>
      <c r="C1024" s="56">
        <v>55</v>
      </c>
      <c r="D1024" s="34">
        <v>16.510000000000002</v>
      </c>
      <c r="E1024" s="56">
        <v>65</v>
      </c>
      <c r="F1024" s="14">
        <v>75</v>
      </c>
      <c r="G1024" s="56">
        <v>155</v>
      </c>
      <c r="H1024" s="14"/>
      <c r="I1024" s="14"/>
      <c r="J1024" s="14"/>
      <c r="K1024" s="14"/>
      <c r="L1024" s="14"/>
      <c r="M1024" s="14"/>
      <c r="N1024" s="34">
        <v>12.01</v>
      </c>
      <c r="O1024" s="56">
        <v>55</v>
      </c>
      <c r="P1024" s="34">
        <v>18.010000000000002</v>
      </c>
      <c r="Q1024" s="56">
        <v>65</v>
      </c>
      <c r="R1024" s="14">
        <v>65</v>
      </c>
      <c r="S1024" s="56">
        <v>155</v>
      </c>
      <c r="T1024" s="14"/>
      <c r="U1024" s="14"/>
      <c r="V1024" s="14"/>
      <c r="W1024" s="14"/>
      <c r="X1024" s="14"/>
      <c r="AC1024" s="14"/>
      <c r="AE1024" s="14"/>
    </row>
    <row r="1025" spans="1:31" s="133" customFormat="1">
      <c r="A1025" s="14"/>
      <c r="B1025" s="34">
        <v>11.31</v>
      </c>
      <c r="C1025" s="56">
        <v>40</v>
      </c>
      <c r="D1025" s="34">
        <v>17.010000000000002</v>
      </c>
      <c r="E1025" s="56">
        <v>50</v>
      </c>
      <c r="F1025" s="14">
        <v>80</v>
      </c>
      <c r="G1025" s="56">
        <v>170</v>
      </c>
      <c r="H1025" s="14"/>
      <c r="I1025" s="14"/>
      <c r="J1025" s="14"/>
      <c r="K1025" s="14"/>
      <c r="L1025" s="14"/>
      <c r="M1025" s="14"/>
      <c r="N1025" s="34">
        <v>12.31</v>
      </c>
      <c r="O1025" s="56">
        <v>40</v>
      </c>
      <c r="P1025" s="34">
        <v>18.510000000000002</v>
      </c>
      <c r="Q1025" s="56">
        <v>50</v>
      </c>
      <c r="R1025" s="14">
        <v>70</v>
      </c>
      <c r="S1025" s="56">
        <v>170</v>
      </c>
      <c r="T1025" s="14"/>
      <c r="U1025" s="14"/>
      <c r="V1025" s="14"/>
      <c r="W1025" s="14"/>
      <c r="X1025" s="14"/>
      <c r="AC1025" s="14"/>
      <c r="AE1025" s="14"/>
    </row>
    <row r="1026" spans="1:31" s="133" customFormat="1">
      <c r="A1026" s="31" t="s">
        <v>459</v>
      </c>
      <c r="B1026" s="319" t="s">
        <v>426</v>
      </c>
      <c r="C1026" s="319" t="s">
        <v>471</v>
      </c>
      <c r="D1026" s="14" t="s">
        <v>446</v>
      </c>
      <c r="E1026" s="14" t="s">
        <v>471</v>
      </c>
      <c r="F1026" s="14" t="s">
        <v>448</v>
      </c>
      <c r="G1026" s="14" t="s">
        <v>471</v>
      </c>
      <c r="H1026" s="14" t="s">
        <v>473</v>
      </c>
      <c r="I1026" s="14" t="s">
        <v>471</v>
      </c>
      <c r="J1026" s="14"/>
      <c r="K1026" s="292" t="s">
        <v>448</v>
      </c>
      <c r="L1026" s="292" t="s">
        <v>448</v>
      </c>
      <c r="M1026" s="292" t="s">
        <v>473</v>
      </c>
      <c r="N1026" s="319" t="s">
        <v>426</v>
      </c>
      <c r="O1026" s="319" t="s">
        <v>471</v>
      </c>
      <c r="P1026" s="6" t="s">
        <v>446</v>
      </c>
      <c r="Q1026" s="6" t="s">
        <v>471</v>
      </c>
      <c r="R1026" s="14" t="s">
        <v>448</v>
      </c>
      <c r="S1026" s="14" t="s">
        <v>471</v>
      </c>
      <c r="T1026" s="14" t="s">
        <v>473</v>
      </c>
      <c r="U1026" s="14" t="s">
        <v>471</v>
      </c>
      <c r="V1026" s="14"/>
      <c r="W1026" s="14"/>
      <c r="X1026" s="14"/>
      <c r="AC1026" s="14"/>
      <c r="AE1026" s="14"/>
    </row>
    <row r="1027" spans="1:31" s="133" customFormat="1">
      <c r="A1027" s="98" t="s">
        <v>280</v>
      </c>
      <c r="B1027" s="330">
        <v>0</v>
      </c>
      <c r="C1027" s="331">
        <v>50</v>
      </c>
      <c r="D1027" s="14"/>
      <c r="E1027" s="31"/>
      <c r="F1027" s="31">
        <v>0</v>
      </c>
      <c r="G1027" s="31">
        <v>50</v>
      </c>
      <c r="H1027" s="31">
        <v>0</v>
      </c>
      <c r="I1027" s="31">
        <v>100</v>
      </c>
      <c r="J1027" s="14"/>
      <c r="K1027" s="31">
        <v>0</v>
      </c>
      <c r="L1027" s="73">
        <v>0</v>
      </c>
      <c r="M1027" s="31">
        <v>0</v>
      </c>
      <c r="N1027" s="330">
        <v>0</v>
      </c>
      <c r="O1027" s="331">
        <v>50</v>
      </c>
      <c r="P1027" s="31"/>
      <c r="Q1027" s="31"/>
      <c r="R1027" s="73">
        <v>0</v>
      </c>
      <c r="S1027" s="31">
        <v>50</v>
      </c>
      <c r="T1027" s="31">
        <v>0</v>
      </c>
      <c r="U1027" s="31">
        <v>100</v>
      </c>
      <c r="V1027" s="14"/>
      <c r="W1027" s="14"/>
      <c r="X1027" s="14"/>
      <c r="AC1027" s="14"/>
      <c r="AE1027" s="14"/>
    </row>
    <row r="1028" spans="1:31" s="133" customFormat="1">
      <c r="A1028" s="98" t="s">
        <v>329</v>
      </c>
      <c r="B1028" s="330">
        <v>44</v>
      </c>
      <c r="C1028" s="331">
        <v>52</v>
      </c>
      <c r="D1028" s="14"/>
      <c r="E1028" s="31"/>
      <c r="F1028" s="308">
        <v>229</v>
      </c>
      <c r="G1028" s="31">
        <v>52</v>
      </c>
      <c r="H1028" s="31">
        <v>15.01</v>
      </c>
      <c r="I1028" s="31">
        <v>98</v>
      </c>
      <c r="J1028" s="14"/>
      <c r="K1028" s="31">
        <v>232</v>
      </c>
      <c r="L1028" s="73">
        <v>187</v>
      </c>
      <c r="M1028" s="31">
        <v>16.809999999999999</v>
      </c>
      <c r="N1028" s="330">
        <v>37</v>
      </c>
      <c r="O1028" s="331">
        <v>52</v>
      </c>
      <c r="P1028" s="31"/>
      <c r="Q1028" s="31"/>
      <c r="R1028" s="187">
        <v>174</v>
      </c>
      <c r="S1028" s="31">
        <v>52</v>
      </c>
      <c r="T1028" s="308">
        <v>17.809999999999999</v>
      </c>
      <c r="U1028" s="31">
        <v>98</v>
      </c>
      <c r="V1028" s="14"/>
      <c r="W1028" s="14"/>
      <c r="X1028" s="14"/>
      <c r="AC1028" s="14"/>
      <c r="AE1028" s="14"/>
    </row>
    <row r="1029" spans="1:31" s="133" customFormat="1">
      <c r="A1029" s="190" t="s">
        <v>422</v>
      </c>
      <c r="B1029" s="330">
        <v>45</v>
      </c>
      <c r="C1029" s="331">
        <v>54</v>
      </c>
      <c r="D1029" s="14"/>
      <c r="E1029" s="31"/>
      <c r="F1029" s="308">
        <v>231</v>
      </c>
      <c r="G1029" s="31">
        <v>54</v>
      </c>
      <c r="H1029" s="31">
        <v>15.21</v>
      </c>
      <c r="I1029" s="31">
        <v>96</v>
      </c>
      <c r="J1029" s="14"/>
      <c r="K1029" s="31">
        <v>233</v>
      </c>
      <c r="L1029" s="73">
        <v>188</v>
      </c>
      <c r="M1029" s="31">
        <v>17.010000000000002</v>
      </c>
      <c r="N1029" s="330">
        <v>38</v>
      </c>
      <c r="O1029" s="331">
        <v>54</v>
      </c>
      <c r="P1029" s="31"/>
      <c r="Q1029" s="31"/>
      <c r="R1029" s="187">
        <v>176</v>
      </c>
      <c r="S1029" s="31">
        <v>54</v>
      </c>
      <c r="T1029" s="308">
        <v>18.010000000000002</v>
      </c>
      <c r="U1029" s="31">
        <v>96</v>
      </c>
      <c r="V1029" s="14"/>
      <c r="W1029" s="14"/>
      <c r="X1029" s="14"/>
      <c r="AC1029" s="14"/>
      <c r="AE1029" s="14"/>
    </row>
    <row r="1030" spans="1:31" s="133" customFormat="1">
      <c r="A1030" s="190" t="s">
        <v>532</v>
      </c>
      <c r="B1030" s="330">
        <v>46</v>
      </c>
      <c r="C1030" s="331">
        <v>56</v>
      </c>
      <c r="D1030" s="14"/>
      <c r="E1030" s="31"/>
      <c r="F1030" s="308">
        <v>233</v>
      </c>
      <c r="G1030" s="31">
        <v>56</v>
      </c>
      <c r="H1030" s="31">
        <v>15.410000000000002</v>
      </c>
      <c r="I1030" s="31">
        <v>94</v>
      </c>
      <c r="J1030" s="14"/>
      <c r="K1030" s="31">
        <v>234</v>
      </c>
      <c r="L1030" s="73">
        <v>189</v>
      </c>
      <c r="M1030" s="31">
        <v>17.21</v>
      </c>
      <c r="N1030" s="330">
        <v>39</v>
      </c>
      <c r="O1030" s="331">
        <v>56</v>
      </c>
      <c r="P1030" s="31"/>
      <c r="Q1030" s="31"/>
      <c r="R1030" s="187">
        <v>178</v>
      </c>
      <c r="S1030" s="31">
        <v>56</v>
      </c>
      <c r="T1030" s="308">
        <v>18.21</v>
      </c>
      <c r="U1030" s="31">
        <v>94</v>
      </c>
      <c r="V1030" s="14"/>
      <c r="W1030" s="14"/>
      <c r="X1030" s="14"/>
      <c r="AC1030" s="14"/>
      <c r="AE1030" s="14"/>
    </row>
    <row r="1031" spans="1:31" s="133" customFormat="1">
      <c r="A1031" s="190" t="s">
        <v>206</v>
      </c>
      <c r="B1031" s="330">
        <v>47</v>
      </c>
      <c r="C1031" s="331">
        <v>57</v>
      </c>
      <c r="D1031" s="14"/>
      <c r="E1031" s="31"/>
      <c r="F1031" s="308">
        <v>235</v>
      </c>
      <c r="G1031" s="31">
        <v>57</v>
      </c>
      <c r="H1031" s="31">
        <v>15.610000000000003</v>
      </c>
      <c r="I1031" s="31">
        <v>92</v>
      </c>
      <c r="J1031" s="14"/>
      <c r="K1031" s="31">
        <v>235</v>
      </c>
      <c r="L1031" s="73">
        <v>190</v>
      </c>
      <c r="M1031" s="31">
        <v>17.41</v>
      </c>
      <c r="N1031" s="330">
        <v>40</v>
      </c>
      <c r="O1031" s="331">
        <v>57</v>
      </c>
      <c r="P1031" s="31"/>
      <c r="Q1031" s="31"/>
      <c r="R1031" s="187">
        <v>180</v>
      </c>
      <c r="S1031" s="31">
        <v>57</v>
      </c>
      <c r="T1031" s="308">
        <v>18.41</v>
      </c>
      <c r="U1031" s="31">
        <v>92</v>
      </c>
      <c r="V1031" s="14"/>
      <c r="W1031" s="14"/>
      <c r="X1031" s="14"/>
      <c r="AC1031" s="14"/>
      <c r="AE1031" s="14"/>
    </row>
    <row r="1032" spans="1:31" s="133" customFormat="1">
      <c r="A1032" s="14"/>
      <c r="B1032" s="330">
        <v>48</v>
      </c>
      <c r="C1032" s="331">
        <v>58</v>
      </c>
      <c r="D1032" s="14"/>
      <c r="E1032" s="31"/>
      <c r="F1032" s="308">
        <v>237</v>
      </c>
      <c r="G1032" s="31">
        <v>58</v>
      </c>
      <c r="H1032" s="31">
        <v>15.810000000000004</v>
      </c>
      <c r="I1032" s="31">
        <v>90</v>
      </c>
      <c r="J1032" s="14"/>
      <c r="K1032" s="31">
        <v>236</v>
      </c>
      <c r="L1032" s="73">
        <v>191</v>
      </c>
      <c r="M1032" s="31">
        <v>17.61</v>
      </c>
      <c r="N1032" s="330">
        <v>41</v>
      </c>
      <c r="O1032" s="331">
        <v>58</v>
      </c>
      <c r="P1032" s="31"/>
      <c r="Q1032" s="31"/>
      <c r="R1032" s="187">
        <v>182</v>
      </c>
      <c r="S1032" s="31">
        <v>58</v>
      </c>
      <c r="T1032" s="308">
        <v>18.61</v>
      </c>
      <c r="U1032" s="31">
        <v>90</v>
      </c>
      <c r="V1032" s="14"/>
      <c r="W1032" s="14"/>
      <c r="X1032" s="14"/>
      <c r="AC1032" s="14"/>
      <c r="AE1032" s="14"/>
    </row>
    <row r="1033" spans="1:31" s="133" customFormat="1">
      <c r="A1033" s="14"/>
      <c r="B1033" s="330">
        <v>49</v>
      </c>
      <c r="C1033" s="331">
        <v>59</v>
      </c>
      <c r="D1033" s="14"/>
      <c r="E1033" s="31"/>
      <c r="F1033" s="308">
        <v>239</v>
      </c>
      <c r="G1033" s="31">
        <v>59</v>
      </c>
      <c r="H1033" s="31">
        <v>16.010000000000005</v>
      </c>
      <c r="I1033" s="31">
        <v>88</v>
      </c>
      <c r="J1033" s="14"/>
      <c r="K1033" s="31">
        <v>237</v>
      </c>
      <c r="L1033" s="73">
        <v>192</v>
      </c>
      <c r="M1033" s="31">
        <v>17.809999999999999</v>
      </c>
      <c r="N1033" s="330">
        <v>42</v>
      </c>
      <c r="O1033" s="331">
        <v>59</v>
      </c>
      <c r="P1033" s="31"/>
      <c r="Q1033" s="31"/>
      <c r="R1033" s="187">
        <v>184</v>
      </c>
      <c r="S1033" s="31">
        <v>59</v>
      </c>
      <c r="T1033" s="308">
        <v>18.809999999999999</v>
      </c>
      <c r="U1033" s="31">
        <v>88</v>
      </c>
      <c r="V1033" s="14"/>
      <c r="W1033" s="14"/>
      <c r="X1033" s="14"/>
      <c r="AC1033" s="14"/>
      <c r="AE1033" s="14"/>
    </row>
    <row r="1034" spans="1:31" s="133" customFormat="1">
      <c r="A1034" s="454" t="s">
        <v>684</v>
      </c>
      <c r="B1034" s="330">
        <v>50</v>
      </c>
      <c r="C1034" s="331">
        <v>60</v>
      </c>
      <c r="D1034" s="14"/>
      <c r="E1034" s="31"/>
      <c r="F1034" s="308">
        <v>241</v>
      </c>
      <c r="G1034" s="31">
        <v>60</v>
      </c>
      <c r="H1034" s="31">
        <v>16.210000000000008</v>
      </c>
      <c r="I1034" s="31">
        <v>86</v>
      </c>
      <c r="J1034" s="14"/>
      <c r="K1034" s="31">
        <v>238</v>
      </c>
      <c r="L1034" s="73">
        <v>193</v>
      </c>
      <c r="M1034" s="31">
        <v>18.010000000000002</v>
      </c>
      <c r="N1034" s="330">
        <v>43</v>
      </c>
      <c r="O1034" s="331">
        <v>60</v>
      </c>
      <c r="P1034" s="31"/>
      <c r="Q1034" s="31"/>
      <c r="R1034" s="187">
        <v>186</v>
      </c>
      <c r="S1034" s="31">
        <v>60</v>
      </c>
      <c r="T1034" s="308">
        <v>19.010000000000002</v>
      </c>
      <c r="U1034" s="31">
        <v>86</v>
      </c>
      <c r="V1034" s="14"/>
      <c r="W1034" s="14"/>
      <c r="X1034" s="14"/>
      <c r="AC1034" s="14"/>
      <c r="AE1034" s="14"/>
    </row>
    <row r="1035" spans="1:31" s="133" customFormat="1">
      <c r="A1035" s="454" t="s">
        <v>685</v>
      </c>
      <c r="B1035" s="330">
        <v>51</v>
      </c>
      <c r="C1035" s="331">
        <v>61</v>
      </c>
      <c r="D1035" s="14"/>
      <c r="E1035" s="31"/>
      <c r="F1035" s="308">
        <v>243</v>
      </c>
      <c r="G1035" s="31">
        <v>61</v>
      </c>
      <c r="H1035" s="31">
        <v>16.410000000000007</v>
      </c>
      <c r="I1035" s="31">
        <v>84</v>
      </c>
      <c r="J1035" s="14"/>
      <c r="K1035" s="31">
        <v>239</v>
      </c>
      <c r="L1035" s="73">
        <v>194</v>
      </c>
      <c r="M1035" s="31">
        <v>18.21</v>
      </c>
      <c r="N1035" s="330">
        <v>44</v>
      </c>
      <c r="O1035" s="331">
        <v>61</v>
      </c>
      <c r="P1035" s="31"/>
      <c r="Q1035" s="31"/>
      <c r="R1035" s="187">
        <v>188</v>
      </c>
      <c r="S1035" s="31">
        <v>61</v>
      </c>
      <c r="T1035" s="308">
        <v>19.21</v>
      </c>
      <c r="U1035" s="31">
        <v>84</v>
      </c>
      <c r="V1035" s="14"/>
      <c r="W1035" s="14"/>
      <c r="X1035" s="14"/>
      <c r="AC1035" s="14"/>
      <c r="AE1035" s="14"/>
    </row>
    <row r="1036" spans="1:31" s="133" customFormat="1">
      <c r="A1036" s="454" t="s">
        <v>686</v>
      </c>
      <c r="B1036" s="330">
        <v>52</v>
      </c>
      <c r="C1036" s="331">
        <v>62</v>
      </c>
      <c r="D1036" s="14">
        <v>0</v>
      </c>
      <c r="E1036" s="31">
        <v>50</v>
      </c>
      <c r="F1036" s="308">
        <v>245</v>
      </c>
      <c r="G1036" s="31">
        <v>62</v>
      </c>
      <c r="H1036" s="31">
        <v>16.610000000000007</v>
      </c>
      <c r="I1036" s="31">
        <v>82</v>
      </c>
      <c r="J1036" s="14"/>
      <c r="K1036" s="31">
        <v>240</v>
      </c>
      <c r="L1036" s="73">
        <v>195</v>
      </c>
      <c r="M1036" s="31">
        <v>18.41</v>
      </c>
      <c r="N1036" s="330">
        <v>45</v>
      </c>
      <c r="O1036" s="331">
        <v>62</v>
      </c>
      <c r="P1036" s="31">
        <v>0</v>
      </c>
      <c r="Q1036" s="31">
        <v>50</v>
      </c>
      <c r="R1036" s="187">
        <v>190</v>
      </c>
      <c r="S1036" s="31">
        <v>62</v>
      </c>
      <c r="T1036" s="308">
        <v>19.41</v>
      </c>
      <c r="U1036" s="31">
        <v>80</v>
      </c>
      <c r="V1036" s="14"/>
      <c r="W1036" s="14"/>
      <c r="X1036" s="14"/>
      <c r="AC1036" s="14"/>
      <c r="AE1036" s="14"/>
    </row>
    <row r="1037" spans="1:31" s="133" customFormat="1">
      <c r="A1037" s="454" t="s">
        <v>687</v>
      </c>
      <c r="B1037" s="330">
        <v>53</v>
      </c>
      <c r="C1037" s="331">
        <v>63</v>
      </c>
      <c r="D1037" s="14">
        <v>50</v>
      </c>
      <c r="E1037" s="31">
        <v>52</v>
      </c>
      <c r="F1037" s="308">
        <v>247</v>
      </c>
      <c r="G1037" s="31">
        <v>63</v>
      </c>
      <c r="H1037" s="31">
        <v>16.810000000000009</v>
      </c>
      <c r="I1037" s="31">
        <v>80</v>
      </c>
      <c r="J1037" s="14"/>
      <c r="K1037" s="31">
        <v>242</v>
      </c>
      <c r="L1037" s="73">
        <v>197</v>
      </c>
      <c r="M1037" s="31">
        <v>18.61</v>
      </c>
      <c r="N1037" s="330">
        <v>46</v>
      </c>
      <c r="O1037" s="331">
        <v>63</v>
      </c>
      <c r="P1037" s="31">
        <v>35</v>
      </c>
      <c r="Q1037" s="31">
        <v>52</v>
      </c>
      <c r="R1037" s="187">
        <v>192</v>
      </c>
      <c r="S1037" s="31">
        <v>63</v>
      </c>
      <c r="T1037" s="308">
        <v>19.61</v>
      </c>
      <c r="U1037" s="31">
        <v>76</v>
      </c>
      <c r="V1037" s="14"/>
      <c r="W1037" s="14"/>
      <c r="X1037" s="14"/>
      <c r="AC1037" s="14"/>
      <c r="AE1037" s="14"/>
    </row>
    <row r="1038" spans="1:31" s="133" customFormat="1">
      <c r="A1038" s="454" t="s">
        <v>688</v>
      </c>
      <c r="B1038" s="330">
        <v>54</v>
      </c>
      <c r="C1038" s="331">
        <v>64</v>
      </c>
      <c r="D1038" s="14">
        <v>52</v>
      </c>
      <c r="E1038" s="31">
        <v>54</v>
      </c>
      <c r="F1038" s="308">
        <v>249</v>
      </c>
      <c r="G1038" s="31">
        <v>64</v>
      </c>
      <c r="H1038" s="31">
        <v>17.010000000000012</v>
      </c>
      <c r="I1038" s="31">
        <v>78</v>
      </c>
      <c r="J1038" s="14"/>
      <c r="K1038" s="31">
        <v>244</v>
      </c>
      <c r="L1038" s="73">
        <v>199</v>
      </c>
      <c r="M1038" s="31">
        <v>18.809999999999999</v>
      </c>
      <c r="N1038" s="330">
        <v>47</v>
      </c>
      <c r="O1038" s="331">
        <v>64</v>
      </c>
      <c r="P1038" s="31">
        <v>37</v>
      </c>
      <c r="Q1038" s="31">
        <v>54</v>
      </c>
      <c r="R1038" s="187">
        <v>194</v>
      </c>
      <c r="S1038" s="31">
        <v>64</v>
      </c>
      <c r="T1038" s="308">
        <v>19.809999999999999</v>
      </c>
      <c r="U1038" s="31">
        <v>73</v>
      </c>
      <c r="V1038" s="14"/>
      <c r="W1038" s="14"/>
      <c r="X1038" s="14"/>
      <c r="AC1038" s="14"/>
      <c r="AE1038" s="14"/>
    </row>
    <row r="1039" spans="1:31" s="133" customFormat="1">
      <c r="A1039" s="454" t="s">
        <v>689</v>
      </c>
      <c r="B1039" s="330">
        <v>55</v>
      </c>
      <c r="C1039" s="331">
        <v>65</v>
      </c>
      <c r="D1039" s="14">
        <v>54</v>
      </c>
      <c r="E1039" s="31">
        <v>56</v>
      </c>
      <c r="F1039" s="308">
        <v>251</v>
      </c>
      <c r="G1039" s="31">
        <v>65</v>
      </c>
      <c r="H1039" s="31">
        <v>17.210000000000015</v>
      </c>
      <c r="I1039" s="31">
        <v>74</v>
      </c>
      <c r="J1039" s="14"/>
      <c r="K1039" s="31">
        <v>246</v>
      </c>
      <c r="L1039" s="73">
        <v>201</v>
      </c>
      <c r="M1039" s="31">
        <v>19.009999999999998</v>
      </c>
      <c r="N1039" s="330">
        <v>48</v>
      </c>
      <c r="O1039" s="331">
        <v>65</v>
      </c>
      <c r="P1039" s="31">
        <v>39</v>
      </c>
      <c r="Q1039" s="31">
        <v>56</v>
      </c>
      <c r="R1039" s="187">
        <v>196</v>
      </c>
      <c r="S1039" s="31">
        <v>65</v>
      </c>
      <c r="T1039" s="308">
        <v>20.010000000000002</v>
      </c>
      <c r="U1039" s="31">
        <v>71</v>
      </c>
      <c r="V1039" s="14"/>
      <c r="W1039" s="14"/>
      <c r="X1039" s="14"/>
      <c r="AC1039" s="14"/>
      <c r="AE1039" s="14"/>
    </row>
    <row r="1040" spans="1:31" s="133" customFormat="1">
      <c r="A1040" s="454" t="s">
        <v>690</v>
      </c>
      <c r="B1040" s="330">
        <v>56</v>
      </c>
      <c r="C1040" s="331">
        <v>66</v>
      </c>
      <c r="D1040" s="14">
        <v>56</v>
      </c>
      <c r="E1040" s="31">
        <v>58</v>
      </c>
      <c r="F1040" s="308">
        <v>253</v>
      </c>
      <c r="G1040" s="31">
        <v>66</v>
      </c>
      <c r="H1040" s="31">
        <v>17.410000000000018</v>
      </c>
      <c r="I1040" s="31">
        <v>72</v>
      </c>
      <c r="J1040" s="14"/>
      <c r="K1040" s="31">
        <v>248</v>
      </c>
      <c r="L1040" s="73">
        <v>203</v>
      </c>
      <c r="M1040" s="31">
        <v>19.209999999999997</v>
      </c>
      <c r="N1040" s="330">
        <v>49</v>
      </c>
      <c r="O1040" s="331">
        <v>66</v>
      </c>
      <c r="P1040" s="31">
        <v>41</v>
      </c>
      <c r="Q1040" s="31">
        <v>58</v>
      </c>
      <c r="R1040" s="187">
        <v>198</v>
      </c>
      <c r="S1040" s="31">
        <v>66</v>
      </c>
      <c r="T1040" s="308">
        <v>20.21</v>
      </c>
      <c r="U1040" s="31">
        <v>69</v>
      </c>
      <c r="V1040" s="14"/>
      <c r="W1040" s="14"/>
      <c r="X1040" s="14"/>
      <c r="AC1040" s="14"/>
      <c r="AE1040" s="14"/>
    </row>
    <row r="1041" spans="1:31" s="133" customFormat="1">
      <c r="A1041" s="14"/>
      <c r="B1041" s="330">
        <v>57</v>
      </c>
      <c r="C1041" s="331">
        <v>67</v>
      </c>
      <c r="D1041" s="14">
        <v>58</v>
      </c>
      <c r="E1041" s="31">
        <v>60</v>
      </c>
      <c r="F1041" s="308">
        <v>255</v>
      </c>
      <c r="G1041" s="31">
        <v>67</v>
      </c>
      <c r="H1041" s="31">
        <v>17.610000000000021</v>
      </c>
      <c r="I1041" s="31">
        <v>70</v>
      </c>
      <c r="J1041" s="14"/>
      <c r="K1041" s="31">
        <v>250</v>
      </c>
      <c r="L1041" s="73">
        <v>205</v>
      </c>
      <c r="M1041" s="31">
        <v>19.409999999999997</v>
      </c>
      <c r="N1041" s="330">
        <v>50</v>
      </c>
      <c r="O1041" s="331">
        <v>67</v>
      </c>
      <c r="P1041" s="31">
        <v>43</v>
      </c>
      <c r="Q1041" s="31">
        <v>60</v>
      </c>
      <c r="R1041" s="187">
        <v>200</v>
      </c>
      <c r="S1041" s="31">
        <v>67</v>
      </c>
      <c r="T1041" s="308">
        <v>20.41</v>
      </c>
      <c r="U1041" s="31">
        <v>67</v>
      </c>
      <c r="V1041" s="14"/>
      <c r="W1041" s="14"/>
      <c r="X1041" s="14"/>
      <c r="AC1041" s="14"/>
      <c r="AE1041" s="14"/>
    </row>
    <row r="1042" spans="1:31" s="133" customFormat="1">
      <c r="A1042" s="14"/>
      <c r="B1042" s="330">
        <v>58</v>
      </c>
      <c r="C1042" s="331">
        <v>68</v>
      </c>
      <c r="D1042" s="14">
        <v>60</v>
      </c>
      <c r="E1042" s="31">
        <v>62</v>
      </c>
      <c r="F1042" s="308">
        <v>257</v>
      </c>
      <c r="G1042" s="31">
        <v>68</v>
      </c>
      <c r="H1042" s="31">
        <v>17.810000000000024</v>
      </c>
      <c r="I1042" s="31">
        <v>68</v>
      </c>
      <c r="J1042" s="14"/>
      <c r="K1042" s="31">
        <v>252</v>
      </c>
      <c r="L1042" s="73">
        <v>207</v>
      </c>
      <c r="M1042" s="31">
        <v>19.609999999999996</v>
      </c>
      <c r="N1042" s="330">
        <v>51</v>
      </c>
      <c r="O1042" s="331">
        <v>68</v>
      </c>
      <c r="P1042" s="31">
        <v>45</v>
      </c>
      <c r="Q1042" s="31">
        <v>62</v>
      </c>
      <c r="R1042" s="187">
        <v>202</v>
      </c>
      <c r="S1042" s="31">
        <v>68</v>
      </c>
      <c r="T1042" s="308">
        <v>20.61</v>
      </c>
      <c r="U1042" s="31">
        <v>65</v>
      </c>
      <c r="V1042" s="14"/>
      <c r="W1042" s="14"/>
      <c r="X1042" s="14"/>
      <c r="AC1042" s="14"/>
      <c r="AE1042" s="14"/>
    </row>
    <row r="1043" spans="1:31" s="133" customFormat="1">
      <c r="A1043" s="14"/>
      <c r="B1043" s="330">
        <v>59</v>
      </c>
      <c r="C1043" s="331">
        <v>69</v>
      </c>
      <c r="D1043" s="14">
        <v>62</v>
      </c>
      <c r="E1043" s="31">
        <v>64</v>
      </c>
      <c r="F1043" s="308">
        <v>259</v>
      </c>
      <c r="G1043" s="31">
        <v>69</v>
      </c>
      <c r="H1043" s="31">
        <v>18.010000000000026</v>
      </c>
      <c r="I1043" s="31">
        <v>66</v>
      </c>
      <c r="J1043" s="14"/>
      <c r="K1043" s="31">
        <v>254</v>
      </c>
      <c r="L1043" s="73">
        <v>209</v>
      </c>
      <c r="M1043" s="31">
        <v>19.809999999999995</v>
      </c>
      <c r="N1043" s="330">
        <v>52</v>
      </c>
      <c r="O1043" s="331">
        <v>69</v>
      </c>
      <c r="P1043" s="31">
        <v>47</v>
      </c>
      <c r="Q1043" s="31">
        <v>64</v>
      </c>
      <c r="R1043" s="187">
        <v>204</v>
      </c>
      <c r="S1043" s="31">
        <v>69</v>
      </c>
      <c r="T1043" s="308">
        <v>20.81</v>
      </c>
      <c r="U1043" s="31">
        <v>63</v>
      </c>
      <c r="V1043" s="14"/>
      <c r="W1043" s="14"/>
      <c r="X1043" s="14"/>
      <c r="AC1043" s="14"/>
      <c r="AE1043" s="14"/>
    </row>
    <row r="1044" spans="1:31" s="133" customFormat="1">
      <c r="A1044" s="14"/>
      <c r="B1044" s="330">
        <v>60</v>
      </c>
      <c r="C1044" s="331">
        <v>70</v>
      </c>
      <c r="D1044" s="14">
        <v>64</v>
      </c>
      <c r="E1044" s="31">
        <v>66</v>
      </c>
      <c r="F1044" s="308">
        <v>261</v>
      </c>
      <c r="G1044" s="31">
        <v>70</v>
      </c>
      <c r="H1044" s="31">
        <v>18.210000000000029</v>
      </c>
      <c r="I1044" s="31">
        <v>64</v>
      </c>
      <c r="J1044" s="14"/>
      <c r="K1044" s="31">
        <v>256</v>
      </c>
      <c r="L1044" s="73">
        <v>211</v>
      </c>
      <c r="M1044" s="31">
        <v>20.009999999999994</v>
      </c>
      <c r="N1044" s="330">
        <v>53</v>
      </c>
      <c r="O1044" s="331">
        <v>70</v>
      </c>
      <c r="P1044" s="31">
        <v>49</v>
      </c>
      <c r="Q1044" s="31">
        <v>66</v>
      </c>
      <c r="R1044" s="187">
        <v>206</v>
      </c>
      <c r="S1044" s="31">
        <v>70</v>
      </c>
      <c r="T1044" s="308">
        <v>21.01</v>
      </c>
      <c r="U1044" s="31">
        <v>62</v>
      </c>
      <c r="V1044" s="14"/>
      <c r="W1044" s="14"/>
      <c r="X1044" s="14"/>
      <c r="AC1044" s="14"/>
      <c r="AE1044" s="14"/>
    </row>
    <row r="1045" spans="1:31" s="133" customFormat="1">
      <c r="A1045" s="14"/>
      <c r="B1045" s="330">
        <v>61</v>
      </c>
      <c r="C1045" s="331">
        <v>71</v>
      </c>
      <c r="D1045" s="14">
        <v>66</v>
      </c>
      <c r="E1045" s="31">
        <v>68</v>
      </c>
      <c r="F1045" s="308">
        <v>263</v>
      </c>
      <c r="G1045" s="31">
        <v>71</v>
      </c>
      <c r="H1045" s="31">
        <v>18.410000000000032</v>
      </c>
      <c r="I1045" s="31">
        <v>62</v>
      </c>
      <c r="J1045" s="14"/>
      <c r="K1045" s="31">
        <v>258</v>
      </c>
      <c r="L1045" s="73">
        <v>213</v>
      </c>
      <c r="M1045" s="31">
        <v>20.209999999999994</v>
      </c>
      <c r="N1045" s="330">
        <v>54</v>
      </c>
      <c r="O1045" s="331">
        <v>71</v>
      </c>
      <c r="P1045" s="31">
        <v>51</v>
      </c>
      <c r="Q1045" s="31">
        <v>68</v>
      </c>
      <c r="R1045" s="187">
        <v>208</v>
      </c>
      <c r="S1045" s="31">
        <v>71</v>
      </c>
      <c r="T1045" s="308">
        <v>21.2100000000001</v>
      </c>
      <c r="U1045" s="31">
        <v>61</v>
      </c>
      <c r="V1045" s="14"/>
      <c r="W1045" s="14"/>
      <c r="X1045" s="14"/>
      <c r="AC1045" s="14"/>
      <c r="AE1045" s="14"/>
    </row>
    <row r="1046" spans="1:31" s="133" customFormat="1">
      <c r="A1046" s="14"/>
      <c r="B1046" s="330">
        <v>62</v>
      </c>
      <c r="C1046" s="331">
        <v>72</v>
      </c>
      <c r="D1046" s="14">
        <v>68</v>
      </c>
      <c r="E1046" s="31">
        <v>70</v>
      </c>
      <c r="F1046" s="308">
        <v>265</v>
      </c>
      <c r="G1046" s="31">
        <v>72</v>
      </c>
      <c r="H1046" s="31">
        <v>18.610000000000035</v>
      </c>
      <c r="I1046" s="31">
        <v>60</v>
      </c>
      <c r="J1046" s="14"/>
      <c r="K1046" s="31">
        <v>260</v>
      </c>
      <c r="L1046" s="73">
        <v>215</v>
      </c>
      <c r="M1046" s="31">
        <v>20.409999999999993</v>
      </c>
      <c r="N1046" s="330">
        <v>55</v>
      </c>
      <c r="O1046" s="331">
        <v>72</v>
      </c>
      <c r="P1046" s="31">
        <v>53</v>
      </c>
      <c r="Q1046" s="31">
        <v>70</v>
      </c>
      <c r="R1046" s="187">
        <v>210</v>
      </c>
      <c r="S1046" s="31">
        <v>72</v>
      </c>
      <c r="T1046" s="308">
        <v>21.41</v>
      </c>
      <c r="U1046" s="31">
        <v>60</v>
      </c>
      <c r="V1046" s="14"/>
      <c r="W1046" s="14"/>
      <c r="X1046" s="14"/>
      <c r="AC1046" s="14"/>
      <c r="AE1046" s="14"/>
    </row>
    <row r="1047" spans="1:31" s="133" customFormat="1">
      <c r="A1047" s="14"/>
      <c r="B1047" s="330">
        <v>63</v>
      </c>
      <c r="C1047" s="331">
        <v>73</v>
      </c>
      <c r="D1047" s="14">
        <v>69</v>
      </c>
      <c r="E1047" s="31">
        <v>72</v>
      </c>
      <c r="F1047" s="308">
        <v>267</v>
      </c>
      <c r="G1047" s="31">
        <v>73</v>
      </c>
      <c r="H1047" s="31">
        <v>18.810000000000038</v>
      </c>
      <c r="I1047" s="31">
        <v>59</v>
      </c>
      <c r="J1047" s="14"/>
      <c r="K1047" s="31">
        <v>262</v>
      </c>
      <c r="L1047" s="73">
        <v>217</v>
      </c>
      <c r="M1047" s="31">
        <v>20.609999999999992</v>
      </c>
      <c r="N1047" s="330">
        <v>56</v>
      </c>
      <c r="O1047" s="331">
        <v>73</v>
      </c>
      <c r="P1047" s="31">
        <v>54</v>
      </c>
      <c r="Q1047" s="31">
        <v>72</v>
      </c>
      <c r="R1047" s="187">
        <v>212</v>
      </c>
      <c r="S1047" s="31">
        <v>73</v>
      </c>
      <c r="T1047" s="308">
        <v>21.61</v>
      </c>
      <c r="U1047" s="31">
        <v>59</v>
      </c>
      <c r="V1047" s="14"/>
      <c r="W1047" s="14"/>
      <c r="X1047" s="14"/>
      <c r="AC1047" s="14"/>
      <c r="AE1047" s="14"/>
    </row>
    <row r="1048" spans="1:31" s="133" customFormat="1">
      <c r="A1048" s="14"/>
      <c r="B1048" s="330">
        <v>64</v>
      </c>
      <c r="C1048" s="331">
        <v>74</v>
      </c>
      <c r="D1048" s="14">
        <v>70</v>
      </c>
      <c r="E1048" s="31">
        <v>74</v>
      </c>
      <c r="F1048" s="308">
        <v>269</v>
      </c>
      <c r="G1048" s="31">
        <v>74</v>
      </c>
      <c r="H1048" s="31">
        <v>19.010000000000041</v>
      </c>
      <c r="I1048" s="31">
        <v>58</v>
      </c>
      <c r="J1048" s="14"/>
      <c r="K1048" s="31">
        <v>264</v>
      </c>
      <c r="L1048" s="73">
        <v>219</v>
      </c>
      <c r="M1048" s="31">
        <v>20.809999999999992</v>
      </c>
      <c r="N1048" s="330">
        <v>57</v>
      </c>
      <c r="O1048" s="331">
        <v>74</v>
      </c>
      <c r="P1048" s="31">
        <v>55</v>
      </c>
      <c r="Q1048" s="31">
        <v>74</v>
      </c>
      <c r="R1048" s="187">
        <v>214</v>
      </c>
      <c r="S1048" s="31">
        <v>74</v>
      </c>
      <c r="T1048" s="308">
        <v>21.810000000000102</v>
      </c>
      <c r="U1048" s="31">
        <v>58</v>
      </c>
      <c r="V1048" s="14"/>
      <c r="W1048" s="14"/>
      <c r="X1048" s="14"/>
      <c r="AC1048" s="14"/>
      <c r="AE1048" s="14"/>
    </row>
    <row r="1049" spans="1:31" s="133" customFormat="1">
      <c r="A1049" s="14"/>
      <c r="B1049" s="330">
        <v>65</v>
      </c>
      <c r="C1049" s="331">
        <v>76</v>
      </c>
      <c r="D1049" s="14">
        <v>71</v>
      </c>
      <c r="E1049" s="31">
        <v>76</v>
      </c>
      <c r="F1049" s="308">
        <v>271</v>
      </c>
      <c r="G1049" s="31">
        <v>76</v>
      </c>
      <c r="H1049" s="31">
        <v>19.210000000000043</v>
      </c>
      <c r="I1049" s="31">
        <v>57</v>
      </c>
      <c r="J1049" s="14"/>
      <c r="K1049" s="31">
        <v>266</v>
      </c>
      <c r="L1049" s="73">
        <v>221</v>
      </c>
      <c r="M1049" s="31">
        <v>21.009999999999991</v>
      </c>
      <c r="N1049" s="330">
        <v>58</v>
      </c>
      <c r="O1049" s="331">
        <v>76</v>
      </c>
      <c r="P1049" s="31">
        <v>56</v>
      </c>
      <c r="Q1049" s="31">
        <v>76</v>
      </c>
      <c r="R1049" s="187">
        <v>216</v>
      </c>
      <c r="S1049" s="31">
        <v>76</v>
      </c>
      <c r="T1049" s="308">
        <v>22.010000000000101</v>
      </c>
      <c r="U1049" s="31">
        <v>57</v>
      </c>
      <c r="V1049" s="14"/>
      <c r="W1049" s="14"/>
      <c r="X1049" s="14"/>
      <c r="AC1049" s="14"/>
      <c r="AE1049" s="14"/>
    </row>
    <row r="1050" spans="1:31" s="133" customFormat="1">
      <c r="A1050" s="14"/>
      <c r="B1050" s="330">
        <v>66</v>
      </c>
      <c r="C1050" s="331">
        <v>78</v>
      </c>
      <c r="D1050" s="14">
        <v>72</v>
      </c>
      <c r="E1050" s="31">
        <v>78</v>
      </c>
      <c r="F1050" s="308">
        <v>273</v>
      </c>
      <c r="G1050" s="31">
        <v>78</v>
      </c>
      <c r="H1050" s="31">
        <v>19.410000000000046</v>
      </c>
      <c r="I1050" s="31">
        <v>56</v>
      </c>
      <c r="J1050" s="14"/>
      <c r="K1050" s="31">
        <v>268</v>
      </c>
      <c r="L1050" s="73">
        <v>223</v>
      </c>
      <c r="M1050" s="31">
        <v>21.20999999999999</v>
      </c>
      <c r="N1050" s="330">
        <v>59</v>
      </c>
      <c r="O1050" s="331">
        <v>78</v>
      </c>
      <c r="P1050" s="31">
        <v>57</v>
      </c>
      <c r="Q1050" s="31">
        <v>78</v>
      </c>
      <c r="R1050" s="187">
        <v>218</v>
      </c>
      <c r="S1050" s="31">
        <v>78</v>
      </c>
      <c r="T1050" s="308">
        <v>22.2100000000001</v>
      </c>
      <c r="U1050" s="31">
        <v>56</v>
      </c>
      <c r="V1050" s="14"/>
      <c r="W1050" s="14"/>
      <c r="X1050" s="14"/>
      <c r="AC1050" s="14"/>
      <c r="AE1050" s="14"/>
    </row>
    <row r="1051" spans="1:31" s="133" customFormat="1">
      <c r="A1051" s="14"/>
      <c r="B1051" s="330">
        <v>67</v>
      </c>
      <c r="C1051" s="331">
        <v>80</v>
      </c>
      <c r="D1051" s="14">
        <v>73</v>
      </c>
      <c r="E1051" s="31">
        <v>80</v>
      </c>
      <c r="F1051" s="308">
        <v>275</v>
      </c>
      <c r="G1051" s="31">
        <v>80</v>
      </c>
      <c r="H1051" s="31">
        <v>19.610000000000049</v>
      </c>
      <c r="I1051" s="31">
        <v>54</v>
      </c>
      <c r="J1051" s="14"/>
      <c r="K1051" s="31">
        <v>270</v>
      </c>
      <c r="L1051" s="73">
        <v>225</v>
      </c>
      <c r="M1051" s="31">
        <v>21.409999999999989</v>
      </c>
      <c r="N1051" s="330">
        <v>60</v>
      </c>
      <c r="O1051" s="331">
        <v>80</v>
      </c>
      <c r="P1051" s="31">
        <v>58</v>
      </c>
      <c r="Q1051" s="31">
        <v>80</v>
      </c>
      <c r="R1051" s="187">
        <v>220</v>
      </c>
      <c r="S1051" s="31">
        <v>80</v>
      </c>
      <c r="T1051" s="308">
        <v>22.4100000000001</v>
      </c>
      <c r="U1051" s="31">
        <v>54</v>
      </c>
      <c r="V1051" s="14"/>
      <c r="W1051" s="14"/>
      <c r="X1051" s="14"/>
      <c r="AC1051" s="14"/>
      <c r="AE1051" s="14"/>
    </row>
    <row r="1052" spans="1:31" s="133" customFormat="1">
      <c r="A1052" s="14"/>
      <c r="B1052" s="330">
        <v>68</v>
      </c>
      <c r="C1052" s="331">
        <v>82</v>
      </c>
      <c r="D1052" s="14">
        <v>74</v>
      </c>
      <c r="E1052" s="31">
        <v>82</v>
      </c>
      <c r="F1052" s="308">
        <v>277</v>
      </c>
      <c r="G1052" s="31">
        <v>82</v>
      </c>
      <c r="H1052" s="31">
        <v>19.810000000000052</v>
      </c>
      <c r="I1052" s="31">
        <v>52</v>
      </c>
      <c r="J1052" s="14"/>
      <c r="K1052" s="31">
        <v>272</v>
      </c>
      <c r="L1052" s="73">
        <v>227</v>
      </c>
      <c r="M1052" s="31">
        <v>21.609999999999989</v>
      </c>
      <c r="N1052" s="330">
        <v>61</v>
      </c>
      <c r="O1052" s="331">
        <v>82</v>
      </c>
      <c r="P1052" s="31">
        <v>59</v>
      </c>
      <c r="Q1052" s="31">
        <v>82</v>
      </c>
      <c r="R1052" s="187">
        <v>222</v>
      </c>
      <c r="S1052" s="31">
        <v>82</v>
      </c>
      <c r="T1052" s="308">
        <v>22.610000000000099</v>
      </c>
      <c r="U1052" s="31">
        <v>52</v>
      </c>
      <c r="V1052" s="14"/>
      <c r="W1052" s="14"/>
      <c r="X1052" s="14"/>
      <c r="AC1052" s="14"/>
      <c r="AE1052" s="14"/>
    </row>
    <row r="1053" spans="1:31" s="133" customFormat="1">
      <c r="A1053" s="14"/>
      <c r="B1053" s="330">
        <v>69</v>
      </c>
      <c r="C1053" s="331">
        <v>84</v>
      </c>
      <c r="D1053" s="14">
        <v>75</v>
      </c>
      <c r="E1053" s="31">
        <v>84</v>
      </c>
      <c r="F1053" s="308">
        <v>279</v>
      </c>
      <c r="G1053" s="31">
        <v>84</v>
      </c>
      <c r="H1053" s="31">
        <v>20.010000000000055</v>
      </c>
      <c r="I1053" s="31">
        <v>50</v>
      </c>
      <c r="J1053" s="14"/>
      <c r="K1053" s="31">
        <v>274</v>
      </c>
      <c r="L1053" s="73">
        <v>229</v>
      </c>
      <c r="M1053" s="31">
        <v>21.809999999999988</v>
      </c>
      <c r="N1053" s="330">
        <v>62</v>
      </c>
      <c r="O1053" s="331">
        <v>84</v>
      </c>
      <c r="P1053" s="31">
        <v>60</v>
      </c>
      <c r="Q1053" s="31">
        <v>84</v>
      </c>
      <c r="R1053" s="187">
        <v>224</v>
      </c>
      <c r="S1053" s="31">
        <v>84</v>
      </c>
      <c r="T1053" s="308">
        <v>22.810000000000102</v>
      </c>
      <c r="U1053" s="31">
        <v>50</v>
      </c>
      <c r="V1053" s="14"/>
      <c r="W1053" s="14"/>
      <c r="X1053" s="14"/>
      <c r="AC1053" s="14"/>
      <c r="AE1053" s="14"/>
    </row>
    <row r="1054" spans="1:31" s="133" customFormat="1">
      <c r="A1054" s="14"/>
      <c r="B1054" s="330">
        <v>70</v>
      </c>
      <c r="C1054" s="331">
        <v>86</v>
      </c>
      <c r="D1054" s="14">
        <v>76</v>
      </c>
      <c r="E1054" s="31">
        <v>86</v>
      </c>
      <c r="F1054" s="308">
        <v>281</v>
      </c>
      <c r="G1054" s="31">
        <v>86</v>
      </c>
      <c r="H1054" s="31"/>
      <c r="I1054" s="31"/>
      <c r="J1054" s="14"/>
      <c r="K1054" s="31">
        <v>276</v>
      </c>
      <c r="L1054" s="73">
        <v>231</v>
      </c>
      <c r="M1054" s="14"/>
      <c r="N1054" s="330">
        <v>63</v>
      </c>
      <c r="O1054" s="331">
        <v>86</v>
      </c>
      <c r="P1054" s="31">
        <v>61</v>
      </c>
      <c r="Q1054" s="31">
        <v>86</v>
      </c>
      <c r="R1054" s="187">
        <v>226</v>
      </c>
      <c r="S1054" s="31">
        <v>86</v>
      </c>
      <c r="T1054" s="31"/>
      <c r="U1054" s="31"/>
      <c r="V1054" s="14"/>
      <c r="W1054" s="14"/>
      <c r="X1054" s="14"/>
      <c r="AC1054" s="14"/>
      <c r="AE1054" s="14"/>
    </row>
    <row r="1055" spans="1:31" s="133" customFormat="1">
      <c r="A1055" s="14"/>
      <c r="B1055" s="330">
        <v>71</v>
      </c>
      <c r="C1055" s="331">
        <v>88</v>
      </c>
      <c r="D1055" s="14">
        <v>77</v>
      </c>
      <c r="E1055" s="31">
        <v>88</v>
      </c>
      <c r="F1055" s="308">
        <v>283</v>
      </c>
      <c r="G1055" s="31">
        <v>88</v>
      </c>
      <c r="H1055" s="31"/>
      <c r="I1055" s="31"/>
      <c r="J1055" s="14"/>
      <c r="K1055" s="31">
        <v>278</v>
      </c>
      <c r="L1055" s="73">
        <v>233</v>
      </c>
      <c r="M1055" s="14"/>
      <c r="N1055" s="330">
        <v>64</v>
      </c>
      <c r="O1055" s="331">
        <v>88</v>
      </c>
      <c r="P1055" s="31">
        <v>62</v>
      </c>
      <c r="Q1055" s="31">
        <v>88</v>
      </c>
      <c r="R1055" s="187">
        <v>228</v>
      </c>
      <c r="S1055" s="31">
        <v>88</v>
      </c>
      <c r="T1055" s="31"/>
      <c r="U1055" s="31"/>
      <c r="V1055" s="14"/>
      <c r="W1055" s="14"/>
      <c r="X1055" s="14"/>
      <c r="AC1055" s="14"/>
      <c r="AE1055" s="14"/>
    </row>
    <row r="1056" spans="1:31" s="133" customFormat="1">
      <c r="A1056" s="14"/>
      <c r="B1056" s="330">
        <v>72</v>
      </c>
      <c r="C1056" s="331">
        <v>90</v>
      </c>
      <c r="D1056" s="14">
        <v>78</v>
      </c>
      <c r="E1056" s="31">
        <v>90</v>
      </c>
      <c r="F1056" s="308">
        <v>285</v>
      </c>
      <c r="G1056" s="31">
        <v>90</v>
      </c>
      <c r="H1056" s="31"/>
      <c r="I1056" s="31"/>
      <c r="J1056" s="14"/>
      <c r="K1056" s="31">
        <v>280</v>
      </c>
      <c r="L1056" s="73">
        <v>235</v>
      </c>
      <c r="M1056" s="14"/>
      <c r="N1056" s="330">
        <v>65</v>
      </c>
      <c r="O1056" s="331">
        <v>90</v>
      </c>
      <c r="P1056" s="31">
        <v>63</v>
      </c>
      <c r="Q1056" s="31">
        <v>90</v>
      </c>
      <c r="R1056" s="187">
        <v>230</v>
      </c>
      <c r="S1056" s="31">
        <v>90</v>
      </c>
      <c r="T1056" s="31"/>
      <c r="U1056" s="31"/>
      <c r="V1056" s="14"/>
      <c r="W1056" s="14"/>
      <c r="X1056" s="14"/>
      <c r="AC1056" s="14"/>
      <c r="AE1056" s="14"/>
    </row>
    <row r="1057" spans="1:31" s="133" customFormat="1">
      <c r="A1057" s="14"/>
      <c r="B1057" s="330">
        <v>73</v>
      </c>
      <c r="C1057" s="331">
        <v>92</v>
      </c>
      <c r="D1057" s="14">
        <v>79</v>
      </c>
      <c r="E1057" s="31">
        <v>92</v>
      </c>
      <c r="F1057" s="308">
        <v>287</v>
      </c>
      <c r="G1057" s="31">
        <v>92</v>
      </c>
      <c r="H1057" s="31"/>
      <c r="I1057" s="31"/>
      <c r="J1057" s="14"/>
      <c r="K1057" s="31">
        <v>282</v>
      </c>
      <c r="L1057" s="73">
        <v>237</v>
      </c>
      <c r="M1057" s="14"/>
      <c r="N1057" s="330">
        <v>66</v>
      </c>
      <c r="O1057" s="331">
        <v>92</v>
      </c>
      <c r="P1057" s="31">
        <v>64</v>
      </c>
      <c r="Q1057" s="31">
        <v>92</v>
      </c>
      <c r="R1057" s="187">
        <v>232</v>
      </c>
      <c r="S1057" s="31">
        <v>92</v>
      </c>
      <c r="T1057" s="31"/>
      <c r="U1057" s="31"/>
      <c r="V1057" s="14"/>
      <c r="W1057" s="14"/>
      <c r="X1057" s="14"/>
      <c r="AC1057" s="14"/>
      <c r="AE1057" s="14"/>
    </row>
    <row r="1058" spans="1:31" s="133" customFormat="1">
      <c r="A1058" s="14"/>
      <c r="B1058" s="330">
        <v>74</v>
      </c>
      <c r="C1058" s="331">
        <v>94</v>
      </c>
      <c r="D1058" s="14">
        <v>80</v>
      </c>
      <c r="E1058" s="31">
        <v>94</v>
      </c>
      <c r="F1058" s="308">
        <v>289</v>
      </c>
      <c r="G1058" s="31">
        <v>94</v>
      </c>
      <c r="H1058" s="31"/>
      <c r="I1058" s="31"/>
      <c r="J1058" s="14"/>
      <c r="K1058" s="31">
        <v>284</v>
      </c>
      <c r="L1058" s="73">
        <v>239</v>
      </c>
      <c r="M1058" s="14"/>
      <c r="N1058" s="330">
        <v>67</v>
      </c>
      <c r="O1058" s="331">
        <v>94</v>
      </c>
      <c r="P1058" s="31">
        <v>65</v>
      </c>
      <c r="Q1058" s="31">
        <v>94</v>
      </c>
      <c r="R1058" s="187">
        <v>234</v>
      </c>
      <c r="S1058" s="31">
        <v>94</v>
      </c>
      <c r="T1058" s="31"/>
      <c r="U1058" s="31"/>
      <c r="V1058" s="14"/>
      <c r="W1058" s="14"/>
      <c r="X1058" s="14"/>
      <c r="AC1058" s="14"/>
      <c r="AE1058" s="14"/>
    </row>
    <row r="1059" spans="1:31" s="133" customFormat="1">
      <c r="A1059" s="14"/>
      <c r="B1059" s="330">
        <v>75</v>
      </c>
      <c r="C1059" s="331">
        <v>96</v>
      </c>
      <c r="D1059" s="14">
        <v>81</v>
      </c>
      <c r="E1059" s="31">
        <v>96</v>
      </c>
      <c r="F1059" s="308">
        <v>291</v>
      </c>
      <c r="G1059" s="31">
        <v>96</v>
      </c>
      <c r="H1059" s="31"/>
      <c r="I1059" s="31"/>
      <c r="J1059" s="14"/>
      <c r="K1059" s="31">
        <v>286</v>
      </c>
      <c r="L1059" s="73">
        <v>241</v>
      </c>
      <c r="M1059" s="14"/>
      <c r="N1059" s="330">
        <v>68</v>
      </c>
      <c r="O1059" s="331">
        <v>96</v>
      </c>
      <c r="P1059" s="31">
        <v>66</v>
      </c>
      <c r="Q1059" s="31">
        <v>96</v>
      </c>
      <c r="R1059" s="187">
        <v>236</v>
      </c>
      <c r="S1059" s="31">
        <v>96</v>
      </c>
      <c r="T1059" s="31"/>
      <c r="U1059" s="31"/>
      <c r="V1059" s="14"/>
      <c r="W1059" s="14"/>
      <c r="X1059" s="14"/>
      <c r="AC1059" s="14"/>
      <c r="AE1059" s="14"/>
    </row>
    <row r="1060" spans="1:31" s="133" customFormat="1">
      <c r="A1060" s="14"/>
      <c r="B1060" s="330">
        <v>76</v>
      </c>
      <c r="C1060" s="331">
        <v>98</v>
      </c>
      <c r="D1060" s="14">
        <v>82</v>
      </c>
      <c r="E1060" s="31">
        <v>98</v>
      </c>
      <c r="F1060" s="308">
        <v>293</v>
      </c>
      <c r="G1060" s="31">
        <v>98</v>
      </c>
      <c r="H1060" s="31"/>
      <c r="I1060" s="31"/>
      <c r="J1060" s="14"/>
      <c r="K1060" s="31">
        <v>288</v>
      </c>
      <c r="L1060" s="73">
        <v>243</v>
      </c>
      <c r="M1060" s="14"/>
      <c r="N1060" s="330">
        <v>69</v>
      </c>
      <c r="O1060" s="331">
        <v>98</v>
      </c>
      <c r="P1060" s="31">
        <v>67</v>
      </c>
      <c r="Q1060" s="31">
        <v>98</v>
      </c>
      <c r="R1060" s="187">
        <v>238</v>
      </c>
      <c r="S1060" s="31">
        <v>98</v>
      </c>
      <c r="T1060" s="31"/>
      <c r="U1060" s="31"/>
      <c r="V1060" s="14"/>
      <c r="W1060" s="14"/>
      <c r="X1060" s="14"/>
      <c r="AC1060" s="14"/>
      <c r="AE1060" s="14"/>
    </row>
    <row r="1061" spans="1:31" s="133" customFormat="1">
      <c r="A1061" s="14"/>
      <c r="B1061" s="332">
        <v>77</v>
      </c>
      <c r="C1061" s="331">
        <v>100</v>
      </c>
      <c r="D1061" s="14">
        <v>83</v>
      </c>
      <c r="E1061" s="31">
        <v>100</v>
      </c>
      <c r="F1061" s="98">
        <v>295</v>
      </c>
      <c r="G1061" s="31">
        <v>100</v>
      </c>
      <c r="H1061" s="31"/>
      <c r="I1061" s="31"/>
      <c r="J1061" s="14"/>
      <c r="K1061" s="236">
        <v>290</v>
      </c>
      <c r="L1061" s="191">
        <v>245</v>
      </c>
      <c r="M1061" s="14"/>
      <c r="N1061" s="332">
        <v>70</v>
      </c>
      <c r="O1061" s="331">
        <v>100</v>
      </c>
      <c r="P1061" s="31">
        <v>68</v>
      </c>
      <c r="Q1061" s="31">
        <v>100</v>
      </c>
      <c r="R1061" s="103">
        <v>240</v>
      </c>
      <c r="S1061" s="31">
        <v>100</v>
      </c>
      <c r="T1061" s="31"/>
      <c r="U1061" s="31"/>
      <c r="V1061" s="14"/>
      <c r="W1061" s="14"/>
      <c r="X1061" s="14"/>
      <c r="AC1061" s="14"/>
      <c r="AE1061" s="14"/>
    </row>
    <row r="1062" spans="1:31" s="133" customFormat="1">
      <c r="A1062" s="14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AC1062" s="14"/>
      <c r="AE1062" s="14"/>
    </row>
    <row r="1063" spans="1:31" s="133" customFormat="1">
      <c r="A1063" s="14" t="s">
        <v>307</v>
      </c>
      <c r="B1063" s="34" t="s">
        <v>448</v>
      </c>
      <c r="C1063" s="14" t="s">
        <v>471</v>
      </c>
      <c r="D1063" s="14" t="s">
        <v>285</v>
      </c>
      <c r="E1063" s="14" t="s">
        <v>471</v>
      </c>
      <c r="F1063" s="14" t="s">
        <v>457</v>
      </c>
      <c r="G1063" s="14" t="s">
        <v>471</v>
      </c>
      <c r="H1063" s="14" t="s">
        <v>274</v>
      </c>
      <c r="I1063" s="14" t="s">
        <v>471</v>
      </c>
      <c r="J1063" s="14"/>
      <c r="K1063" s="14" t="s">
        <v>435</v>
      </c>
      <c r="L1063" s="14"/>
      <c r="M1063" s="14"/>
      <c r="N1063" s="34" t="s">
        <v>448</v>
      </c>
      <c r="O1063" s="14" t="s">
        <v>471</v>
      </c>
      <c r="P1063" s="14" t="s">
        <v>285</v>
      </c>
      <c r="Q1063" s="14" t="s">
        <v>471</v>
      </c>
      <c r="R1063" s="14" t="s">
        <v>457</v>
      </c>
      <c r="S1063" s="14" t="s">
        <v>471</v>
      </c>
      <c r="T1063" s="14" t="s">
        <v>274</v>
      </c>
      <c r="U1063" s="14" t="s">
        <v>471</v>
      </c>
      <c r="V1063" s="14"/>
      <c r="W1063" s="14"/>
      <c r="X1063" s="14"/>
      <c r="AC1063" s="14"/>
      <c r="AE1063" s="14"/>
    </row>
    <row r="1064" spans="1:31" s="133" customFormat="1">
      <c r="A1064" s="14"/>
      <c r="B1064" s="56">
        <v>0</v>
      </c>
      <c r="C1064" s="56">
        <v>43</v>
      </c>
      <c r="D1064" s="35">
        <v>0</v>
      </c>
      <c r="E1064" s="56">
        <v>43</v>
      </c>
      <c r="F1064" s="14">
        <v>0</v>
      </c>
      <c r="G1064" s="14">
        <v>100</v>
      </c>
      <c r="H1064" s="14">
        <v>0</v>
      </c>
      <c r="I1064" s="14">
        <v>100</v>
      </c>
      <c r="J1064" s="14"/>
      <c r="K1064" s="14"/>
      <c r="L1064" s="14"/>
      <c r="M1064" s="14"/>
      <c r="N1064" s="56">
        <v>0</v>
      </c>
      <c r="O1064" s="56">
        <v>42</v>
      </c>
      <c r="P1064" s="35">
        <v>0</v>
      </c>
      <c r="Q1064" s="56">
        <v>42</v>
      </c>
      <c r="R1064" s="14">
        <v>0</v>
      </c>
      <c r="S1064" s="14">
        <v>100</v>
      </c>
      <c r="T1064" s="14">
        <v>0</v>
      </c>
      <c r="U1064" s="14">
        <v>100</v>
      </c>
      <c r="V1064" s="14"/>
      <c r="W1064" s="14"/>
      <c r="X1064" s="14"/>
      <c r="AC1064" s="14"/>
      <c r="AE1064" s="14"/>
    </row>
    <row r="1065" spans="1:31" s="133" customFormat="1">
      <c r="A1065" s="14"/>
      <c r="B1065" s="56">
        <v>210</v>
      </c>
      <c r="C1065" s="56">
        <v>46</v>
      </c>
      <c r="D1065" s="35">
        <v>5.4000000000001478</v>
      </c>
      <c r="E1065" s="56">
        <v>46</v>
      </c>
      <c r="F1065" s="34">
        <v>8.51</v>
      </c>
      <c r="G1065" s="14">
        <v>97</v>
      </c>
      <c r="H1065" s="14">
        <v>37.01</v>
      </c>
      <c r="I1065" s="14">
        <v>97</v>
      </c>
      <c r="J1065" s="14"/>
      <c r="K1065" s="14"/>
      <c r="L1065" s="14"/>
      <c r="M1065" s="14"/>
      <c r="N1065" s="56">
        <v>160</v>
      </c>
      <c r="O1065" s="56">
        <v>46</v>
      </c>
      <c r="P1065" s="35">
        <v>2.5999999999999899</v>
      </c>
      <c r="Q1065" s="56">
        <v>46</v>
      </c>
      <c r="R1065" s="14">
        <v>9.11</v>
      </c>
      <c r="S1065" s="14">
        <v>97</v>
      </c>
      <c r="T1065" s="34">
        <v>44.01</v>
      </c>
      <c r="U1065" s="14">
        <v>97</v>
      </c>
      <c r="V1065" s="14"/>
      <c r="W1065" s="14"/>
      <c r="X1065" s="14"/>
      <c r="AC1065" s="14"/>
      <c r="AE1065" s="14"/>
    </row>
    <row r="1066" spans="1:31" s="133" customFormat="1">
      <c r="A1066" s="14"/>
      <c r="B1066" s="56">
        <v>215</v>
      </c>
      <c r="C1066" s="56">
        <v>49</v>
      </c>
      <c r="D1066" s="35">
        <v>5.8000000000001393</v>
      </c>
      <c r="E1066" s="56">
        <v>49</v>
      </c>
      <c r="F1066" s="34">
        <v>8.61</v>
      </c>
      <c r="G1066" s="14">
        <v>94</v>
      </c>
      <c r="H1066" s="14">
        <v>38.01</v>
      </c>
      <c r="I1066" s="14">
        <v>94</v>
      </c>
      <c r="J1066" s="14"/>
      <c r="K1066" s="14"/>
      <c r="L1066" s="14"/>
      <c r="M1066" s="14"/>
      <c r="N1066" s="56">
        <v>165</v>
      </c>
      <c r="O1066" s="56">
        <v>49</v>
      </c>
      <c r="P1066" s="35">
        <v>2.9999999999999898</v>
      </c>
      <c r="Q1066" s="56">
        <v>49</v>
      </c>
      <c r="R1066" s="14">
        <v>9.2100000000000009</v>
      </c>
      <c r="S1066" s="14">
        <v>94</v>
      </c>
      <c r="T1066" s="14">
        <v>45.01</v>
      </c>
      <c r="U1066" s="14">
        <v>94</v>
      </c>
      <c r="V1066" s="14"/>
      <c r="W1066" s="14"/>
      <c r="X1066" s="14"/>
      <c r="AC1066" s="14"/>
      <c r="AE1066" s="14"/>
    </row>
    <row r="1067" spans="1:31" s="133" customFormat="1">
      <c r="A1067" s="14"/>
      <c r="B1067" s="56">
        <v>220</v>
      </c>
      <c r="C1067" s="56">
        <v>52</v>
      </c>
      <c r="D1067" s="35">
        <v>6.2000000000001307</v>
      </c>
      <c r="E1067" s="56">
        <v>52</v>
      </c>
      <c r="F1067" s="34">
        <v>8.7100000000000009</v>
      </c>
      <c r="G1067" s="14">
        <v>91</v>
      </c>
      <c r="H1067" s="14">
        <v>39.01</v>
      </c>
      <c r="I1067" s="14">
        <v>91</v>
      </c>
      <c r="J1067" s="14"/>
      <c r="K1067" s="14"/>
      <c r="L1067" s="14"/>
      <c r="M1067" s="14"/>
      <c r="N1067" s="56">
        <v>170</v>
      </c>
      <c r="O1067" s="56">
        <v>52</v>
      </c>
      <c r="P1067" s="35">
        <v>3.3999999999999901</v>
      </c>
      <c r="Q1067" s="56">
        <v>52</v>
      </c>
      <c r="R1067" s="14">
        <v>9.31</v>
      </c>
      <c r="S1067" s="14">
        <v>91</v>
      </c>
      <c r="T1067" s="34">
        <v>46.01</v>
      </c>
      <c r="U1067" s="14">
        <v>91</v>
      </c>
      <c r="V1067" s="14"/>
      <c r="W1067" s="14"/>
      <c r="X1067" s="14"/>
      <c r="AC1067" s="14"/>
      <c r="AE1067" s="14"/>
    </row>
    <row r="1068" spans="1:31" s="133" customFormat="1">
      <c r="A1068" s="14"/>
      <c r="B1068" s="56">
        <v>225</v>
      </c>
      <c r="C1068" s="56">
        <v>55</v>
      </c>
      <c r="D1068" s="35">
        <v>6.6000000000001222</v>
      </c>
      <c r="E1068" s="56">
        <v>55</v>
      </c>
      <c r="F1068" s="34">
        <v>8.81</v>
      </c>
      <c r="G1068" s="14">
        <v>88</v>
      </c>
      <c r="H1068" s="14">
        <v>40.01</v>
      </c>
      <c r="I1068" s="14">
        <v>88</v>
      </c>
      <c r="J1068" s="14"/>
      <c r="K1068" s="14"/>
      <c r="L1068" s="14"/>
      <c r="M1068" s="14"/>
      <c r="N1068" s="56">
        <v>175</v>
      </c>
      <c r="O1068" s="56">
        <v>55</v>
      </c>
      <c r="P1068" s="35">
        <v>3.8</v>
      </c>
      <c r="Q1068" s="56">
        <v>55</v>
      </c>
      <c r="R1068" s="14">
        <v>9.41</v>
      </c>
      <c r="S1068" s="14">
        <v>88</v>
      </c>
      <c r="T1068" s="14">
        <v>47.01</v>
      </c>
      <c r="U1068" s="14">
        <v>88</v>
      </c>
      <c r="V1068" s="14"/>
      <c r="W1068" s="14"/>
      <c r="X1068" s="14"/>
      <c r="AC1068" s="14"/>
      <c r="AE1068" s="14"/>
    </row>
    <row r="1069" spans="1:31" s="133" customFormat="1">
      <c r="A1069" s="14"/>
      <c r="B1069" s="56">
        <v>230</v>
      </c>
      <c r="C1069" s="56">
        <v>58</v>
      </c>
      <c r="D1069" s="35">
        <v>7.0000000000001137</v>
      </c>
      <c r="E1069" s="56">
        <v>58</v>
      </c>
      <c r="F1069" s="34">
        <v>8.91</v>
      </c>
      <c r="G1069" s="14">
        <v>85</v>
      </c>
      <c r="H1069" s="14">
        <v>41.01</v>
      </c>
      <c r="I1069" s="14">
        <v>85</v>
      </c>
      <c r="J1069" s="14"/>
      <c r="K1069" s="14"/>
      <c r="L1069" s="14"/>
      <c r="M1069" s="14"/>
      <c r="N1069" s="56">
        <v>180</v>
      </c>
      <c r="O1069" s="56">
        <v>58</v>
      </c>
      <c r="P1069" s="35">
        <v>4.2</v>
      </c>
      <c r="Q1069" s="56">
        <v>58</v>
      </c>
      <c r="R1069" s="14">
        <v>9.5100000000000104</v>
      </c>
      <c r="S1069" s="14">
        <v>85</v>
      </c>
      <c r="T1069" s="34">
        <v>48.01</v>
      </c>
      <c r="U1069" s="14">
        <v>85</v>
      </c>
      <c r="V1069" s="14"/>
      <c r="W1069" s="14"/>
      <c r="X1069" s="14"/>
      <c r="AC1069" s="14"/>
      <c r="AE1069" s="14"/>
    </row>
    <row r="1070" spans="1:31" s="133" customFormat="1">
      <c r="A1070" s="14"/>
      <c r="B1070" s="56">
        <v>235</v>
      </c>
      <c r="C1070" s="56">
        <v>61</v>
      </c>
      <c r="D1070" s="35">
        <v>7.4000000000001052</v>
      </c>
      <c r="E1070" s="56">
        <v>61</v>
      </c>
      <c r="F1070" s="34">
        <v>9.01</v>
      </c>
      <c r="G1070" s="14">
        <v>82</v>
      </c>
      <c r="H1070" s="14">
        <v>42.01</v>
      </c>
      <c r="I1070" s="14">
        <v>82</v>
      </c>
      <c r="J1070" s="14"/>
      <c r="K1070" s="14"/>
      <c r="L1070" s="14"/>
      <c r="M1070" s="14"/>
      <c r="N1070" s="56">
        <v>185</v>
      </c>
      <c r="O1070" s="56">
        <v>61</v>
      </c>
      <c r="P1070" s="35">
        <v>4.5999999999999996</v>
      </c>
      <c r="Q1070" s="56">
        <v>61</v>
      </c>
      <c r="R1070" s="14">
        <v>9.6100000000000101</v>
      </c>
      <c r="S1070" s="14">
        <v>82</v>
      </c>
      <c r="T1070" s="14">
        <v>49.01</v>
      </c>
      <c r="U1070" s="14">
        <v>82</v>
      </c>
      <c r="V1070" s="14"/>
      <c r="W1070" s="14"/>
      <c r="X1070" s="14"/>
      <c r="AC1070" s="14"/>
      <c r="AE1070" s="14"/>
    </row>
    <row r="1071" spans="1:31" s="133" customFormat="1">
      <c r="A1071" s="14"/>
      <c r="B1071" s="56">
        <v>240</v>
      </c>
      <c r="C1071" s="56">
        <v>64</v>
      </c>
      <c r="D1071" s="35">
        <v>7.8000000000000966</v>
      </c>
      <c r="E1071" s="56">
        <v>64</v>
      </c>
      <c r="F1071" s="34">
        <v>9.11</v>
      </c>
      <c r="G1071" s="14">
        <v>79</v>
      </c>
      <c r="H1071" s="14">
        <v>43.01</v>
      </c>
      <c r="I1071" s="14">
        <v>79</v>
      </c>
      <c r="J1071" s="14"/>
      <c r="K1071" s="14"/>
      <c r="L1071" s="14"/>
      <c r="M1071" s="14"/>
      <c r="N1071" s="56">
        <v>190</v>
      </c>
      <c r="O1071" s="56">
        <v>64</v>
      </c>
      <c r="P1071" s="35">
        <v>5</v>
      </c>
      <c r="Q1071" s="56">
        <v>64</v>
      </c>
      <c r="R1071" s="14">
        <v>9.7100000000000097</v>
      </c>
      <c r="S1071" s="14">
        <v>79</v>
      </c>
      <c r="T1071" s="34">
        <v>50.01</v>
      </c>
      <c r="U1071" s="14">
        <v>79</v>
      </c>
      <c r="V1071" s="14"/>
      <c r="W1071" s="14"/>
      <c r="X1071" s="14"/>
      <c r="AC1071" s="14"/>
      <c r="AE1071" s="14"/>
    </row>
    <row r="1072" spans="1:31" s="133" customFormat="1">
      <c r="A1072" s="14"/>
      <c r="B1072" s="56">
        <v>245</v>
      </c>
      <c r="C1072" s="56">
        <v>67</v>
      </c>
      <c r="D1072" s="35">
        <v>8.2000000000000881</v>
      </c>
      <c r="E1072" s="56">
        <v>67</v>
      </c>
      <c r="F1072" s="34">
        <v>9.2100000000000009</v>
      </c>
      <c r="G1072" s="14">
        <v>76</v>
      </c>
      <c r="H1072" s="14">
        <v>44.01</v>
      </c>
      <c r="I1072" s="14">
        <v>76</v>
      </c>
      <c r="J1072" s="14"/>
      <c r="K1072" s="14"/>
      <c r="L1072" s="14"/>
      <c r="M1072" s="14"/>
      <c r="N1072" s="56">
        <v>195</v>
      </c>
      <c r="O1072" s="56">
        <v>67</v>
      </c>
      <c r="P1072" s="35">
        <v>5.4</v>
      </c>
      <c r="Q1072" s="56">
        <v>67</v>
      </c>
      <c r="R1072" s="14">
        <v>9.8100000000000094</v>
      </c>
      <c r="S1072" s="14">
        <v>76</v>
      </c>
      <c r="T1072" s="14">
        <v>51.01</v>
      </c>
      <c r="U1072" s="14">
        <v>76</v>
      </c>
      <c r="V1072" s="14"/>
      <c r="W1072" s="14"/>
      <c r="X1072" s="14"/>
      <c r="AC1072" s="14"/>
      <c r="AE1072" s="14"/>
    </row>
    <row r="1073" spans="1:31" s="133" customFormat="1">
      <c r="A1073" s="14"/>
      <c r="B1073" s="56">
        <v>250</v>
      </c>
      <c r="C1073" s="56">
        <v>70</v>
      </c>
      <c r="D1073" s="35">
        <v>8.6000000000000796</v>
      </c>
      <c r="E1073" s="56">
        <v>70</v>
      </c>
      <c r="F1073" s="34">
        <v>9.31</v>
      </c>
      <c r="G1073" s="14">
        <v>73</v>
      </c>
      <c r="H1073" s="14">
        <v>45.01</v>
      </c>
      <c r="I1073" s="14">
        <v>73</v>
      </c>
      <c r="J1073" s="14"/>
      <c r="K1073" s="14"/>
      <c r="L1073" s="14"/>
      <c r="M1073" s="14"/>
      <c r="N1073" s="56">
        <v>200</v>
      </c>
      <c r="O1073" s="56">
        <v>70</v>
      </c>
      <c r="P1073" s="35">
        <v>5.8</v>
      </c>
      <c r="Q1073" s="56">
        <v>70</v>
      </c>
      <c r="R1073" s="14">
        <v>9.9100000000000108</v>
      </c>
      <c r="S1073" s="14">
        <v>73</v>
      </c>
      <c r="T1073" s="34">
        <v>52.01</v>
      </c>
      <c r="U1073" s="14">
        <v>73</v>
      </c>
      <c r="V1073" s="14"/>
      <c r="W1073" s="14"/>
      <c r="X1073" s="14"/>
      <c r="AC1073" s="14"/>
      <c r="AE1073" s="14"/>
    </row>
    <row r="1074" spans="1:31" s="133" customFormat="1">
      <c r="A1074" s="14"/>
      <c r="B1074" s="56">
        <v>255</v>
      </c>
      <c r="C1074" s="56">
        <v>73</v>
      </c>
      <c r="D1074" s="35">
        <v>9.0000000000000711</v>
      </c>
      <c r="E1074" s="56">
        <v>73</v>
      </c>
      <c r="F1074" s="34">
        <v>9.41</v>
      </c>
      <c r="G1074" s="14">
        <v>70</v>
      </c>
      <c r="H1074" s="14">
        <v>46.01</v>
      </c>
      <c r="I1074" s="14">
        <v>70</v>
      </c>
      <c r="J1074" s="14"/>
      <c r="K1074" s="14"/>
      <c r="L1074" s="14"/>
      <c r="M1074" s="14"/>
      <c r="N1074" s="56">
        <v>205</v>
      </c>
      <c r="O1074" s="56">
        <v>73</v>
      </c>
      <c r="P1074" s="35">
        <v>6.2</v>
      </c>
      <c r="Q1074" s="56">
        <v>73</v>
      </c>
      <c r="R1074" s="14">
        <v>10.01</v>
      </c>
      <c r="S1074" s="14">
        <v>70</v>
      </c>
      <c r="T1074" s="14">
        <v>53.01</v>
      </c>
      <c r="U1074" s="14">
        <v>70</v>
      </c>
      <c r="V1074" s="14"/>
      <c r="W1074" s="14"/>
      <c r="X1074" s="14"/>
      <c r="AC1074" s="14"/>
      <c r="AE1074" s="14"/>
    </row>
    <row r="1075" spans="1:31" s="133" customFormat="1">
      <c r="A1075" s="14"/>
      <c r="B1075" s="56">
        <v>260</v>
      </c>
      <c r="C1075" s="56">
        <v>76</v>
      </c>
      <c r="D1075" s="35">
        <v>9.4000000000000625</v>
      </c>
      <c r="E1075" s="56">
        <v>76</v>
      </c>
      <c r="F1075" s="34">
        <v>9.51</v>
      </c>
      <c r="G1075" s="14">
        <v>67</v>
      </c>
      <c r="H1075" s="14">
        <v>47.01</v>
      </c>
      <c r="I1075" s="14">
        <v>67</v>
      </c>
      <c r="J1075" s="14"/>
      <c r="K1075" s="14"/>
      <c r="L1075" s="14"/>
      <c r="M1075" s="14"/>
      <c r="N1075" s="56">
        <v>210</v>
      </c>
      <c r="O1075" s="56">
        <v>76</v>
      </c>
      <c r="P1075" s="35">
        <v>6.6</v>
      </c>
      <c r="Q1075" s="56">
        <v>76</v>
      </c>
      <c r="R1075" s="14">
        <v>10.11</v>
      </c>
      <c r="S1075" s="14">
        <v>67</v>
      </c>
      <c r="T1075" s="34">
        <v>54.01</v>
      </c>
      <c r="U1075" s="14">
        <v>67</v>
      </c>
      <c r="V1075" s="14"/>
      <c r="W1075" s="14"/>
      <c r="X1075" s="14"/>
      <c r="AC1075" s="14"/>
      <c r="AE1075" s="14"/>
    </row>
    <row r="1076" spans="1:31" s="133" customFormat="1">
      <c r="A1076" s="14"/>
      <c r="B1076" s="56">
        <v>265</v>
      </c>
      <c r="C1076" s="56">
        <v>79</v>
      </c>
      <c r="D1076" s="35">
        <v>9.800000000000054</v>
      </c>
      <c r="E1076" s="56">
        <v>79</v>
      </c>
      <c r="F1076" s="34">
        <v>9.61</v>
      </c>
      <c r="G1076" s="14">
        <v>64</v>
      </c>
      <c r="H1076" s="14">
        <v>48.01</v>
      </c>
      <c r="I1076" s="14">
        <v>64</v>
      </c>
      <c r="J1076" s="14"/>
      <c r="K1076" s="14"/>
      <c r="L1076" s="14"/>
      <c r="M1076" s="14"/>
      <c r="N1076" s="56">
        <v>215</v>
      </c>
      <c r="O1076" s="56">
        <v>79</v>
      </c>
      <c r="P1076" s="35">
        <v>7</v>
      </c>
      <c r="Q1076" s="56">
        <v>79</v>
      </c>
      <c r="R1076" s="14">
        <v>10.210000000000001</v>
      </c>
      <c r="S1076" s="14">
        <v>64</v>
      </c>
      <c r="T1076" s="14">
        <v>55.01</v>
      </c>
      <c r="U1076" s="14">
        <v>64</v>
      </c>
      <c r="V1076" s="14"/>
      <c r="W1076" s="14"/>
      <c r="X1076" s="14"/>
      <c r="AC1076" s="14"/>
      <c r="AE1076" s="14"/>
    </row>
    <row r="1077" spans="1:31" s="133" customFormat="1">
      <c r="A1077" s="14"/>
      <c r="B1077" s="56">
        <v>270</v>
      </c>
      <c r="C1077" s="56">
        <v>82</v>
      </c>
      <c r="D1077" s="35">
        <v>10.200000000000045</v>
      </c>
      <c r="E1077" s="56">
        <v>82</v>
      </c>
      <c r="F1077" s="34">
        <v>9.7100000000000009</v>
      </c>
      <c r="G1077" s="14">
        <v>61</v>
      </c>
      <c r="H1077" s="14">
        <v>49.01</v>
      </c>
      <c r="I1077" s="14">
        <v>61</v>
      </c>
      <c r="J1077" s="14"/>
      <c r="K1077" s="14"/>
      <c r="L1077" s="14"/>
      <c r="M1077" s="14"/>
      <c r="N1077" s="56">
        <v>220</v>
      </c>
      <c r="O1077" s="56">
        <v>82</v>
      </c>
      <c r="P1077" s="35">
        <v>7.4</v>
      </c>
      <c r="Q1077" s="56">
        <v>82</v>
      </c>
      <c r="R1077" s="14">
        <v>10.31</v>
      </c>
      <c r="S1077" s="14">
        <v>61</v>
      </c>
      <c r="T1077" s="34">
        <v>56.01</v>
      </c>
      <c r="U1077" s="14">
        <v>61</v>
      </c>
      <c r="V1077" s="14"/>
      <c r="W1077" s="14"/>
      <c r="X1077" s="14"/>
      <c r="AC1077" s="14"/>
      <c r="AE1077" s="14"/>
    </row>
    <row r="1078" spans="1:31" s="133" customFormat="1">
      <c r="A1078" s="14"/>
      <c r="B1078" s="56">
        <v>275</v>
      </c>
      <c r="C1078" s="56">
        <v>85</v>
      </c>
      <c r="D1078" s="35">
        <v>10.600000000000037</v>
      </c>
      <c r="E1078" s="56">
        <v>85</v>
      </c>
      <c r="F1078" s="34">
        <v>9.81</v>
      </c>
      <c r="G1078" s="14">
        <v>58</v>
      </c>
      <c r="H1078" s="14">
        <v>50.01</v>
      </c>
      <c r="I1078" s="14">
        <v>58</v>
      </c>
      <c r="J1078" s="14"/>
      <c r="K1078" s="14"/>
      <c r="L1078" s="14"/>
      <c r="M1078" s="14"/>
      <c r="N1078" s="56">
        <v>225</v>
      </c>
      <c r="O1078" s="56">
        <v>85</v>
      </c>
      <c r="P1078" s="35">
        <v>7.8</v>
      </c>
      <c r="Q1078" s="56">
        <v>85</v>
      </c>
      <c r="R1078" s="14">
        <v>10.41</v>
      </c>
      <c r="S1078" s="14">
        <v>58</v>
      </c>
      <c r="T1078" s="14">
        <v>57.01</v>
      </c>
      <c r="U1078" s="14">
        <v>58</v>
      </c>
      <c r="V1078" s="14"/>
      <c r="W1078" s="14"/>
      <c r="X1078" s="14"/>
      <c r="AC1078" s="14"/>
      <c r="AE1078" s="14"/>
    </row>
    <row r="1079" spans="1:31" s="133" customFormat="1">
      <c r="A1079" s="14"/>
      <c r="B1079" s="56">
        <v>280</v>
      </c>
      <c r="C1079" s="56">
        <v>88</v>
      </c>
      <c r="D1079" s="35">
        <v>11.000000000000028</v>
      </c>
      <c r="E1079" s="56">
        <v>88</v>
      </c>
      <c r="F1079" s="34">
        <v>9.91</v>
      </c>
      <c r="G1079" s="14">
        <v>55</v>
      </c>
      <c r="H1079" s="14">
        <v>51.01</v>
      </c>
      <c r="I1079" s="14">
        <v>55</v>
      </c>
      <c r="J1079" s="14"/>
      <c r="K1079" s="14"/>
      <c r="L1079" s="14"/>
      <c r="M1079" s="14"/>
      <c r="N1079" s="56">
        <v>230</v>
      </c>
      <c r="O1079" s="56">
        <v>88</v>
      </c>
      <c r="P1079" s="35">
        <v>8.1999999999999993</v>
      </c>
      <c r="Q1079" s="56">
        <v>88</v>
      </c>
      <c r="R1079" s="14">
        <v>10.51</v>
      </c>
      <c r="S1079" s="14">
        <v>55</v>
      </c>
      <c r="T1079" s="34">
        <v>58.01</v>
      </c>
      <c r="U1079" s="14">
        <v>55</v>
      </c>
      <c r="V1079" s="14"/>
      <c r="W1079" s="14"/>
      <c r="X1079" s="14"/>
      <c r="AC1079" s="14"/>
      <c r="AE1079" s="14"/>
    </row>
    <row r="1080" spans="1:31" s="133" customFormat="1">
      <c r="A1080" s="14"/>
      <c r="B1080" s="56">
        <v>285</v>
      </c>
      <c r="C1080" s="56">
        <v>91</v>
      </c>
      <c r="D1080" s="35">
        <v>11.40000000000002</v>
      </c>
      <c r="E1080" s="56">
        <v>91</v>
      </c>
      <c r="F1080" s="34">
        <v>10.01</v>
      </c>
      <c r="G1080" s="14">
        <v>52</v>
      </c>
      <c r="H1080" s="14">
        <v>52.01</v>
      </c>
      <c r="I1080" s="14">
        <v>52</v>
      </c>
      <c r="J1080" s="14"/>
      <c r="K1080" s="14"/>
      <c r="L1080" s="14"/>
      <c r="M1080" s="14"/>
      <c r="N1080" s="56">
        <v>235</v>
      </c>
      <c r="O1080" s="56">
        <v>91</v>
      </c>
      <c r="P1080" s="35">
        <v>8.6</v>
      </c>
      <c r="Q1080" s="56">
        <v>91</v>
      </c>
      <c r="R1080" s="14">
        <v>10.61</v>
      </c>
      <c r="S1080" s="14">
        <v>52</v>
      </c>
      <c r="T1080" s="14">
        <v>59.01</v>
      </c>
      <c r="U1080" s="14">
        <v>52</v>
      </c>
      <c r="V1080" s="14"/>
      <c r="W1080" s="14"/>
      <c r="X1080" s="14"/>
      <c r="AC1080" s="14"/>
      <c r="AE1080" s="14"/>
    </row>
    <row r="1081" spans="1:31" s="133" customFormat="1">
      <c r="A1081" s="14"/>
      <c r="B1081" s="56">
        <v>290</v>
      </c>
      <c r="C1081" s="56">
        <v>94</v>
      </c>
      <c r="D1081" s="35">
        <v>11.800000000000011</v>
      </c>
      <c r="E1081" s="56">
        <v>94</v>
      </c>
      <c r="F1081" s="34">
        <v>10.11</v>
      </c>
      <c r="G1081" s="14">
        <v>49</v>
      </c>
      <c r="H1081" s="14">
        <v>53.01</v>
      </c>
      <c r="I1081" s="14">
        <v>49</v>
      </c>
      <c r="J1081" s="14"/>
      <c r="K1081" s="14"/>
      <c r="L1081" s="14"/>
      <c r="M1081" s="14"/>
      <c r="N1081" s="56">
        <v>240</v>
      </c>
      <c r="O1081" s="56">
        <v>94</v>
      </c>
      <c r="P1081" s="35">
        <v>9</v>
      </c>
      <c r="Q1081" s="56">
        <v>94</v>
      </c>
      <c r="R1081" s="14">
        <v>10.71</v>
      </c>
      <c r="S1081" s="14">
        <v>49</v>
      </c>
      <c r="T1081" s="34">
        <v>60.01</v>
      </c>
      <c r="U1081" s="14">
        <v>49</v>
      </c>
      <c r="V1081" s="14"/>
      <c r="W1081" s="14"/>
      <c r="X1081" s="14"/>
      <c r="AC1081" s="14"/>
      <c r="AE1081" s="14"/>
    </row>
    <row r="1082" spans="1:31" s="133" customFormat="1">
      <c r="A1082" s="14"/>
      <c r="B1082" s="56">
        <v>295</v>
      </c>
      <c r="C1082" s="56">
        <v>97</v>
      </c>
      <c r="D1082" s="35">
        <v>12.2</v>
      </c>
      <c r="E1082" s="56">
        <v>97</v>
      </c>
      <c r="F1082" s="34">
        <v>10.210000000000001</v>
      </c>
      <c r="G1082" s="14">
        <v>46</v>
      </c>
      <c r="H1082" s="14">
        <v>54.01</v>
      </c>
      <c r="I1082" s="14">
        <v>46</v>
      </c>
      <c r="J1082" s="14"/>
      <c r="K1082" s="14"/>
      <c r="L1082" s="14"/>
      <c r="M1082" s="14"/>
      <c r="N1082" s="56">
        <v>245</v>
      </c>
      <c r="O1082" s="56">
        <v>97</v>
      </c>
      <c r="P1082" s="35">
        <v>9.4</v>
      </c>
      <c r="Q1082" s="56">
        <v>97</v>
      </c>
      <c r="R1082" s="14">
        <v>10.81</v>
      </c>
      <c r="S1082" s="14">
        <v>46</v>
      </c>
      <c r="T1082" s="14">
        <v>61.01</v>
      </c>
      <c r="U1082" s="14">
        <v>46</v>
      </c>
      <c r="V1082" s="14"/>
      <c r="W1082" s="14"/>
      <c r="X1082" s="14"/>
      <c r="AC1082" s="14"/>
      <c r="AE1082" s="14"/>
    </row>
    <row r="1083" spans="1:31" s="133" customFormat="1">
      <c r="A1083" s="14"/>
      <c r="B1083" s="56">
        <v>300</v>
      </c>
      <c r="C1083" s="56">
        <v>100</v>
      </c>
      <c r="D1083" s="35">
        <v>12.6</v>
      </c>
      <c r="E1083" s="56">
        <v>100</v>
      </c>
      <c r="F1083" s="34">
        <v>10.31</v>
      </c>
      <c r="G1083" s="14">
        <v>42</v>
      </c>
      <c r="H1083" s="14">
        <v>55.01</v>
      </c>
      <c r="I1083" s="14">
        <v>43</v>
      </c>
      <c r="J1083" s="14"/>
      <c r="K1083" s="14"/>
      <c r="L1083" s="14"/>
      <c r="M1083" s="14"/>
      <c r="N1083" s="56">
        <v>250</v>
      </c>
      <c r="O1083" s="56">
        <v>100</v>
      </c>
      <c r="P1083" s="35">
        <v>9.8000000000000007</v>
      </c>
      <c r="Q1083" s="56">
        <v>100</v>
      </c>
      <c r="R1083" s="14">
        <v>10.91</v>
      </c>
      <c r="S1083" s="14">
        <v>42</v>
      </c>
      <c r="T1083" s="34">
        <v>62.01</v>
      </c>
      <c r="U1083" s="14">
        <v>42</v>
      </c>
      <c r="V1083" s="14"/>
      <c r="W1083" s="14"/>
      <c r="X1083" s="14"/>
      <c r="AC1083" s="14"/>
      <c r="AE1083" s="14"/>
    </row>
    <row r="1084" spans="1:31" s="133" customFormat="1">
      <c r="A1084" s="14"/>
      <c r="B1084" s="14"/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AC1084" s="14"/>
      <c r="AE1084" s="14"/>
    </row>
    <row r="1085" spans="1:31" s="133" customFormat="1">
      <c r="A1085" s="14"/>
      <c r="B1085" s="34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AC1085" s="14"/>
      <c r="AE1085" s="14"/>
    </row>
    <row r="1086" spans="1:31" s="133" customFormat="1">
      <c r="A1086" s="14" t="s">
        <v>196</v>
      </c>
      <c r="B1086" s="14" t="s">
        <v>448</v>
      </c>
      <c r="C1086" s="14" t="s">
        <v>471</v>
      </c>
      <c r="D1086" s="375" t="s">
        <v>497</v>
      </c>
      <c r="E1086" s="14" t="s">
        <v>471</v>
      </c>
      <c r="F1086" s="14" t="s">
        <v>442</v>
      </c>
      <c r="G1086" s="14" t="s">
        <v>471</v>
      </c>
      <c r="H1086" s="305" t="s">
        <v>426</v>
      </c>
      <c r="I1086" s="305" t="s">
        <v>471</v>
      </c>
      <c r="J1086" s="305" t="s">
        <v>426</v>
      </c>
      <c r="K1086" s="305" t="s">
        <v>471</v>
      </c>
      <c r="L1086" s="14"/>
      <c r="M1086" s="14"/>
      <c r="N1086" s="14" t="s">
        <v>448</v>
      </c>
      <c r="O1086" s="14" t="s">
        <v>471</v>
      </c>
      <c r="P1086" s="375" t="s">
        <v>497</v>
      </c>
      <c r="Q1086" s="292" t="s">
        <v>471</v>
      </c>
      <c r="R1086" s="14" t="s">
        <v>442</v>
      </c>
      <c r="S1086" s="14" t="s">
        <v>471</v>
      </c>
      <c r="T1086" s="14">
        <v>2021</v>
      </c>
      <c r="U1086" s="14"/>
      <c r="V1086" s="14"/>
      <c r="W1086" s="14"/>
      <c r="X1086" s="14"/>
      <c r="AC1086" s="14"/>
      <c r="AE1086" s="14"/>
    </row>
    <row r="1087" spans="1:31" s="133" customFormat="1">
      <c r="A1087" s="190" t="s">
        <v>422</v>
      </c>
      <c r="B1087" s="56">
        <v>0</v>
      </c>
      <c r="C1087" s="56">
        <v>30</v>
      </c>
      <c r="D1087" s="56">
        <v>0</v>
      </c>
      <c r="E1087" s="56">
        <v>30</v>
      </c>
      <c r="F1087" s="35">
        <v>0</v>
      </c>
      <c r="G1087" s="56">
        <v>100</v>
      </c>
      <c r="H1087" s="306">
        <v>0</v>
      </c>
      <c r="I1087" s="306">
        <v>30</v>
      </c>
      <c r="J1087" s="306">
        <v>0</v>
      </c>
      <c r="K1087" s="306">
        <v>30</v>
      </c>
      <c r="L1087" s="54">
        <v>0</v>
      </c>
      <c r="M1087" s="73">
        <v>100</v>
      </c>
      <c r="N1087" s="56">
        <v>0</v>
      </c>
      <c r="O1087" s="56">
        <v>30</v>
      </c>
      <c r="P1087" s="56">
        <v>0</v>
      </c>
      <c r="Q1087" s="56">
        <v>30</v>
      </c>
      <c r="R1087" s="35">
        <v>0</v>
      </c>
      <c r="S1087" s="56">
        <v>100</v>
      </c>
      <c r="T1087" s="56">
        <v>0</v>
      </c>
      <c r="U1087" s="56">
        <v>30</v>
      </c>
      <c r="V1087" s="56">
        <v>0</v>
      </c>
      <c r="W1087" s="56">
        <v>30</v>
      </c>
      <c r="X1087" s="35">
        <v>0</v>
      </c>
      <c r="Y1087" s="56">
        <v>100</v>
      </c>
      <c r="AC1087" s="14"/>
      <c r="AE1087" s="14"/>
    </row>
    <row r="1088" spans="1:31" s="133" customFormat="1">
      <c r="A1088" s="190" t="s">
        <v>546</v>
      </c>
      <c r="B1088" s="56">
        <v>233</v>
      </c>
      <c r="C1088" s="56">
        <v>35</v>
      </c>
      <c r="D1088" s="35">
        <v>5.9</v>
      </c>
      <c r="E1088" s="56">
        <v>35</v>
      </c>
      <c r="F1088" s="34">
        <v>8.01</v>
      </c>
      <c r="G1088" s="56">
        <v>95</v>
      </c>
      <c r="H1088" s="306">
        <v>46</v>
      </c>
      <c r="I1088" s="306">
        <v>35</v>
      </c>
      <c r="J1088" s="306">
        <v>41</v>
      </c>
      <c r="K1088" s="306">
        <v>35</v>
      </c>
      <c r="L1088" s="63">
        <v>8.81</v>
      </c>
      <c r="M1088" s="73">
        <v>95</v>
      </c>
      <c r="N1088" s="56">
        <v>183</v>
      </c>
      <c r="O1088" s="56">
        <v>35</v>
      </c>
      <c r="P1088" s="35">
        <v>2.9</v>
      </c>
      <c r="Q1088" s="56">
        <v>35</v>
      </c>
      <c r="R1088" s="34">
        <v>9.2100000000000009</v>
      </c>
      <c r="S1088" s="56">
        <v>95</v>
      </c>
      <c r="T1088" s="56">
        <v>188</v>
      </c>
      <c r="U1088" s="56">
        <v>35</v>
      </c>
      <c r="V1088" s="56">
        <v>64</v>
      </c>
      <c r="W1088" s="56">
        <v>35</v>
      </c>
      <c r="X1088" s="34">
        <v>9.81</v>
      </c>
      <c r="Y1088" s="56">
        <v>95</v>
      </c>
      <c r="AC1088" s="14"/>
      <c r="AE1088" s="14"/>
    </row>
    <row r="1089" spans="1:31" s="133" customFormat="1">
      <c r="A1089" s="190" t="s">
        <v>534</v>
      </c>
      <c r="B1089" s="56">
        <v>237</v>
      </c>
      <c r="C1089" s="56">
        <v>40</v>
      </c>
      <c r="D1089" s="35">
        <v>6.5</v>
      </c>
      <c r="E1089" s="56">
        <v>40</v>
      </c>
      <c r="F1089" s="34">
        <v>8.11</v>
      </c>
      <c r="G1089" s="56">
        <v>90</v>
      </c>
      <c r="H1089" s="306">
        <v>48</v>
      </c>
      <c r="I1089" s="306">
        <v>40</v>
      </c>
      <c r="J1089" s="306">
        <v>43</v>
      </c>
      <c r="K1089" s="306">
        <v>40</v>
      </c>
      <c r="L1089" s="63">
        <v>8.91</v>
      </c>
      <c r="M1089" s="73">
        <v>90</v>
      </c>
      <c r="N1089" s="56">
        <v>187</v>
      </c>
      <c r="O1089" s="56">
        <v>40</v>
      </c>
      <c r="P1089" s="35">
        <v>3.5</v>
      </c>
      <c r="Q1089" s="56">
        <v>40</v>
      </c>
      <c r="R1089" s="34">
        <v>9.31</v>
      </c>
      <c r="S1089" s="56">
        <v>90</v>
      </c>
      <c r="T1089" s="56">
        <v>192</v>
      </c>
      <c r="U1089" s="56">
        <v>40</v>
      </c>
      <c r="V1089" s="56">
        <v>66</v>
      </c>
      <c r="W1089" s="56">
        <v>40</v>
      </c>
      <c r="X1089" s="34">
        <v>9.91</v>
      </c>
      <c r="Y1089" s="56">
        <v>90</v>
      </c>
      <c r="AC1089" s="14"/>
      <c r="AE1089" s="14"/>
    </row>
    <row r="1090" spans="1:31" s="133" customFormat="1">
      <c r="A1090" s="190" t="s">
        <v>533</v>
      </c>
      <c r="B1090" s="56">
        <v>241</v>
      </c>
      <c r="C1090" s="56">
        <v>45</v>
      </c>
      <c r="D1090" s="35">
        <v>7</v>
      </c>
      <c r="E1090" s="56">
        <v>45</v>
      </c>
      <c r="F1090" s="34">
        <v>8.2099999999999991</v>
      </c>
      <c r="G1090" s="56">
        <v>85</v>
      </c>
      <c r="H1090" s="306">
        <v>50</v>
      </c>
      <c r="I1090" s="306">
        <v>45</v>
      </c>
      <c r="J1090" s="306">
        <v>45</v>
      </c>
      <c r="K1090" s="306">
        <v>45</v>
      </c>
      <c r="L1090" s="63">
        <v>9.01</v>
      </c>
      <c r="M1090" s="73">
        <v>85</v>
      </c>
      <c r="N1090" s="56">
        <v>191</v>
      </c>
      <c r="O1090" s="56">
        <v>45</v>
      </c>
      <c r="P1090" s="35">
        <v>4</v>
      </c>
      <c r="Q1090" s="56">
        <v>45</v>
      </c>
      <c r="R1090" s="34">
        <v>9.41</v>
      </c>
      <c r="S1090" s="56">
        <v>85</v>
      </c>
      <c r="T1090" s="56">
        <v>196</v>
      </c>
      <c r="U1090" s="56">
        <v>45</v>
      </c>
      <c r="V1090" s="56">
        <v>68</v>
      </c>
      <c r="W1090" s="56">
        <v>45</v>
      </c>
      <c r="X1090" s="34">
        <v>10.01</v>
      </c>
      <c r="Y1090" s="56">
        <v>85</v>
      </c>
      <c r="AC1090" s="14"/>
      <c r="AE1090" s="14"/>
    </row>
    <row r="1091" spans="1:31" s="133" customFormat="1">
      <c r="A1091" s="190" t="s">
        <v>535</v>
      </c>
      <c r="B1091" s="56">
        <v>245</v>
      </c>
      <c r="C1091" s="56">
        <v>50</v>
      </c>
      <c r="D1091" s="35">
        <v>7.5</v>
      </c>
      <c r="E1091" s="56">
        <v>50</v>
      </c>
      <c r="F1091" s="34">
        <v>8.3099999999999987</v>
      </c>
      <c r="G1091" s="56">
        <v>80</v>
      </c>
      <c r="H1091" s="306">
        <v>52</v>
      </c>
      <c r="I1091" s="306">
        <v>50</v>
      </c>
      <c r="J1091" s="306">
        <v>47</v>
      </c>
      <c r="K1091" s="306">
        <v>50</v>
      </c>
      <c r="L1091" s="63">
        <v>9.11</v>
      </c>
      <c r="M1091" s="73">
        <v>80</v>
      </c>
      <c r="N1091" s="56">
        <v>195</v>
      </c>
      <c r="O1091" s="56">
        <v>50</v>
      </c>
      <c r="P1091" s="35">
        <v>4.5</v>
      </c>
      <c r="Q1091" s="56">
        <v>50</v>
      </c>
      <c r="R1091" s="34">
        <v>9.51</v>
      </c>
      <c r="S1091" s="56">
        <v>80</v>
      </c>
      <c r="T1091" s="56">
        <v>200</v>
      </c>
      <c r="U1091" s="56">
        <v>50</v>
      </c>
      <c r="V1091" s="56">
        <v>70</v>
      </c>
      <c r="W1091" s="56">
        <v>50</v>
      </c>
      <c r="X1091" s="34">
        <v>10.11</v>
      </c>
      <c r="Y1091" s="56">
        <v>80</v>
      </c>
      <c r="AC1091" s="14"/>
      <c r="AE1091" s="14"/>
    </row>
    <row r="1092" spans="1:31" s="133" customFormat="1">
      <c r="A1092" s="190" t="s">
        <v>571</v>
      </c>
      <c r="B1092" s="56">
        <v>249</v>
      </c>
      <c r="C1092" s="56">
        <v>55</v>
      </c>
      <c r="D1092" s="35">
        <v>8</v>
      </c>
      <c r="E1092" s="56">
        <v>55</v>
      </c>
      <c r="F1092" s="34">
        <v>8.4099999999999984</v>
      </c>
      <c r="G1092" s="56">
        <v>75</v>
      </c>
      <c r="H1092" s="306">
        <v>54</v>
      </c>
      <c r="I1092" s="306">
        <v>55</v>
      </c>
      <c r="J1092" s="306">
        <v>49</v>
      </c>
      <c r="K1092" s="306">
        <v>55</v>
      </c>
      <c r="L1092" s="63">
        <v>9.2100000000000009</v>
      </c>
      <c r="M1092" s="73">
        <v>75</v>
      </c>
      <c r="N1092" s="56">
        <v>199</v>
      </c>
      <c r="O1092" s="56">
        <v>55</v>
      </c>
      <c r="P1092" s="35">
        <v>5</v>
      </c>
      <c r="Q1092" s="56">
        <v>55</v>
      </c>
      <c r="R1092" s="34">
        <v>9.61</v>
      </c>
      <c r="S1092" s="56">
        <v>75</v>
      </c>
      <c r="T1092" s="56">
        <v>204</v>
      </c>
      <c r="U1092" s="56">
        <v>55</v>
      </c>
      <c r="V1092" s="56">
        <v>72</v>
      </c>
      <c r="W1092" s="56">
        <v>55</v>
      </c>
      <c r="X1092" s="34">
        <v>10.210000000000001</v>
      </c>
      <c r="Y1092" s="56">
        <v>75</v>
      </c>
      <c r="AC1092" s="14"/>
      <c r="AE1092" s="14"/>
    </row>
    <row r="1093" spans="1:31" s="133" customFormat="1">
      <c r="A1093" s="236" t="s">
        <v>576</v>
      </c>
      <c r="B1093" s="56">
        <v>253</v>
      </c>
      <c r="C1093" s="56">
        <v>60</v>
      </c>
      <c r="D1093" s="35">
        <v>8.5</v>
      </c>
      <c r="E1093" s="56">
        <v>60</v>
      </c>
      <c r="F1093" s="34">
        <v>8.509999999999998</v>
      </c>
      <c r="G1093" s="56">
        <v>70</v>
      </c>
      <c r="H1093" s="306">
        <v>56</v>
      </c>
      <c r="I1093" s="306">
        <v>60</v>
      </c>
      <c r="J1093" s="306">
        <v>51</v>
      </c>
      <c r="K1093" s="306">
        <v>60</v>
      </c>
      <c r="L1093" s="63">
        <v>9.31</v>
      </c>
      <c r="M1093" s="73">
        <v>70</v>
      </c>
      <c r="N1093" s="56">
        <v>203</v>
      </c>
      <c r="O1093" s="56">
        <v>60</v>
      </c>
      <c r="P1093" s="35">
        <v>5.5</v>
      </c>
      <c r="Q1093" s="56">
        <v>60</v>
      </c>
      <c r="R1093" s="34">
        <v>9.7099999999999991</v>
      </c>
      <c r="S1093" s="56">
        <v>70</v>
      </c>
      <c r="T1093" s="56">
        <v>208</v>
      </c>
      <c r="U1093" s="56">
        <v>60</v>
      </c>
      <c r="V1093" s="56">
        <v>74</v>
      </c>
      <c r="W1093" s="56">
        <v>60</v>
      </c>
      <c r="X1093" s="34">
        <v>10.31</v>
      </c>
      <c r="Y1093" s="56">
        <v>70</v>
      </c>
      <c r="AC1093" s="14"/>
      <c r="AE1093" s="14"/>
    </row>
    <row r="1094" spans="1:31" s="133" customFormat="1">
      <c r="A1094" s="14"/>
      <c r="B1094" s="56">
        <v>257</v>
      </c>
      <c r="C1094" s="56">
        <v>65</v>
      </c>
      <c r="D1094" s="35">
        <v>8.9</v>
      </c>
      <c r="E1094" s="56">
        <v>65</v>
      </c>
      <c r="F1094" s="34">
        <v>8.6099999999999977</v>
      </c>
      <c r="G1094" s="56">
        <v>65</v>
      </c>
      <c r="H1094" s="306">
        <v>58</v>
      </c>
      <c r="I1094" s="306">
        <v>65</v>
      </c>
      <c r="J1094" s="306">
        <v>53</v>
      </c>
      <c r="K1094" s="306">
        <v>65</v>
      </c>
      <c r="L1094" s="63">
        <v>9.41</v>
      </c>
      <c r="M1094" s="73">
        <v>65</v>
      </c>
      <c r="N1094" s="56">
        <v>207</v>
      </c>
      <c r="O1094" s="56">
        <v>65</v>
      </c>
      <c r="P1094" s="35">
        <v>5.9</v>
      </c>
      <c r="Q1094" s="56">
        <v>65</v>
      </c>
      <c r="R1094" s="34">
        <v>9.8099999999999987</v>
      </c>
      <c r="S1094" s="56">
        <v>65</v>
      </c>
      <c r="T1094" s="56">
        <v>212</v>
      </c>
      <c r="U1094" s="56">
        <v>65</v>
      </c>
      <c r="V1094" s="56">
        <v>76</v>
      </c>
      <c r="W1094" s="56">
        <v>65</v>
      </c>
      <c r="X1094" s="34">
        <v>10.41</v>
      </c>
      <c r="Y1094" s="56">
        <v>65</v>
      </c>
      <c r="AC1094" s="14"/>
      <c r="AE1094" s="14"/>
    </row>
    <row r="1095" spans="1:31" s="133" customFormat="1">
      <c r="A1095" s="14"/>
      <c r="B1095" s="56">
        <v>261</v>
      </c>
      <c r="C1095" s="56">
        <v>70</v>
      </c>
      <c r="D1095" s="35">
        <v>9.3000000000000007</v>
      </c>
      <c r="E1095" s="56">
        <v>70</v>
      </c>
      <c r="F1095" s="34">
        <v>8.7099999999999973</v>
      </c>
      <c r="G1095" s="56">
        <v>60</v>
      </c>
      <c r="H1095" s="306">
        <v>60</v>
      </c>
      <c r="I1095" s="306">
        <v>70</v>
      </c>
      <c r="J1095" s="306">
        <v>55</v>
      </c>
      <c r="K1095" s="306">
        <v>70</v>
      </c>
      <c r="L1095" s="63">
        <v>9.51</v>
      </c>
      <c r="M1095" s="73">
        <v>60</v>
      </c>
      <c r="N1095" s="56">
        <v>211</v>
      </c>
      <c r="O1095" s="56">
        <v>70</v>
      </c>
      <c r="P1095" s="35">
        <v>6.3</v>
      </c>
      <c r="Q1095" s="56">
        <v>70</v>
      </c>
      <c r="R1095" s="34">
        <v>9.9099999999999984</v>
      </c>
      <c r="S1095" s="56">
        <v>60</v>
      </c>
      <c r="T1095" s="56">
        <v>216</v>
      </c>
      <c r="U1095" s="56">
        <v>70</v>
      </c>
      <c r="V1095" s="56">
        <v>78</v>
      </c>
      <c r="W1095" s="56">
        <v>70</v>
      </c>
      <c r="X1095" s="34">
        <v>10.51</v>
      </c>
      <c r="Y1095" s="56">
        <v>60</v>
      </c>
      <c r="AC1095" s="14"/>
      <c r="AE1095" s="14"/>
    </row>
    <row r="1096" spans="1:31" s="133" customFormat="1">
      <c r="A1096" s="14"/>
      <c r="B1096" s="56">
        <v>265</v>
      </c>
      <c r="C1096" s="56">
        <v>75</v>
      </c>
      <c r="D1096" s="35">
        <v>9.6999999999999993</v>
      </c>
      <c r="E1096" s="56">
        <v>75</v>
      </c>
      <c r="F1096" s="34">
        <v>8.8099999999999969</v>
      </c>
      <c r="G1096" s="56">
        <v>55</v>
      </c>
      <c r="H1096" s="306">
        <v>62</v>
      </c>
      <c r="I1096" s="306">
        <v>75</v>
      </c>
      <c r="J1096" s="306">
        <v>57</v>
      </c>
      <c r="K1096" s="306">
        <v>75</v>
      </c>
      <c r="L1096" s="63">
        <v>9.61</v>
      </c>
      <c r="M1096" s="73">
        <v>55</v>
      </c>
      <c r="N1096" s="56">
        <v>215</v>
      </c>
      <c r="O1096" s="56">
        <v>75</v>
      </c>
      <c r="P1096" s="35">
        <v>6.7</v>
      </c>
      <c r="Q1096" s="56">
        <v>75</v>
      </c>
      <c r="R1096" s="34">
        <v>10.009999999999998</v>
      </c>
      <c r="S1096" s="56">
        <v>55</v>
      </c>
      <c r="T1096" s="56">
        <v>220</v>
      </c>
      <c r="U1096" s="56">
        <v>75</v>
      </c>
      <c r="V1096" s="56">
        <v>80</v>
      </c>
      <c r="W1096" s="56">
        <v>75</v>
      </c>
      <c r="X1096" s="34">
        <v>10.61</v>
      </c>
      <c r="Y1096" s="56">
        <v>55</v>
      </c>
      <c r="AC1096" s="14"/>
      <c r="AE1096" s="14"/>
    </row>
    <row r="1097" spans="1:31" s="133" customFormat="1">
      <c r="A1097" s="14"/>
      <c r="B1097" s="56">
        <v>269</v>
      </c>
      <c r="C1097" s="56">
        <v>80</v>
      </c>
      <c r="D1097" s="35">
        <v>10</v>
      </c>
      <c r="E1097" s="56">
        <v>80</v>
      </c>
      <c r="F1097" s="34">
        <v>8.9099999999999966</v>
      </c>
      <c r="G1097" s="56">
        <v>50</v>
      </c>
      <c r="H1097" s="306">
        <v>64</v>
      </c>
      <c r="I1097" s="306">
        <v>80</v>
      </c>
      <c r="J1097" s="306">
        <v>59</v>
      </c>
      <c r="K1097" s="306">
        <v>80</v>
      </c>
      <c r="L1097" s="63">
        <v>9.7100000000000009</v>
      </c>
      <c r="M1097" s="73">
        <v>50</v>
      </c>
      <c r="N1097" s="56">
        <v>219</v>
      </c>
      <c r="O1097" s="56">
        <v>80</v>
      </c>
      <c r="P1097" s="35">
        <v>7</v>
      </c>
      <c r="Q1097" s="56">
        <v>80</v>
      </c>
      <c r="R1097" s="34">
        <v>10.109999999999998</v>
      </c>
      <c r="S1097" s="56">
        <v>50</v>
      </c>
      <c r="T1097" s="56">
        <v>224</v>
      </c>
      <c r="U1097" s="56">
        <v>80</v>
      </c>
      <c r="V1097" s="56">
        <v>82</v>
      </c>
      <c r="W1097" s="56">
        <v>80</v>
      </c>
      <c r="X1097" s="34">
        <v>10.71</v>
      </c>
      <c r="Y1097" s="56">
        <v>50</v>
      </c>
      <c r="AC1097" s="14"/>
      <c r="AE1097" s="14"/>
    </row>
    <row r="1098" spans="1:31" s="133" customFormat="1">
      <c r="A1098" s="14"/>
      <c r="B1098" s="56">
        <v>273</v>
      </c>
      <c r="C1098" s="56">
        <v>85</v>
      </c>
      <c r="D1098" s="35">
        <v>10.3</v>
      </c>
      <c r="E1098" s="56">
        <v>85</v>
      </c>
      <c r="F1098" s="34">
        <v>9.0099999999999962</v>
      </c>
      <c r="G1098" s="56">
        <v>45</v>
      </c>
      <c r="H1098" s="306">
        <v>66</v>
      </c>
      <c r="I1098" s="306">
        <v>85</v>
      </c>
      <c r="J1098" s="306">
        <v>61</v>
      </c>
      <c r="K1098" s="306">
        <v>85</v>
      </c>
      <c r="L1098" s="63">
        <v>9.81</v>
      </c>
      <c r="M1098" s="73">
        <v>45</v>
      </c>
      <c r="N1098" s="56">
        <v>223</v>
      </c>
      <c r="O1098" s="56">
        <v>85</v>
      </c>
      <c r="P1098" s="35">
        <v>7.3</v>
      </c>
      <c r="Q1098" s="56">
        <v>85</v>
      </c>
      <c r="R1098" s="34">
        <v>10.209999999999997</v>
      </c>
      <c r="S1098" s="56">
        <v>45</v>
      </c>
      <c r="T1098" s="56">
        <v>228</v>
      </c>
      <c r="U1098" s="56">
        <v>85</v>
      </c>
      <c r="V1098" s="56">
        <v>84</v>
      </c>
      <c r="W1098" s="56">
        <v>85</v>
      </c>
      <c r="X1098" s="34">
        <v>10.81</v>
      </c>
      <c r="Y1098" s="56">
        <v>45</v>
      </c>
      <c r="AC1098" s="14"/>
      <c r="AE1098" s="14"/>
    </row>
    <row r="1099" spans="1:31" s="133" customFormat="1">
      <c r="A1099" s="14"/>
      <c r="B1099" s="56">
        <v>277</v>
      </c>
      <c r="C1099" s="56">
        <v>90</v>
      </c>
      <c r="D1099" s="35">
        <v>10.6</v>
      </c>
      <c r="E1099" s="56">
        <v>90</v>
      </c>
      <c r="F1099" s="34">
        <v>9.1099999999999959</v>
      </c>
      <c r="G1099" s="56">
        <v>40</v>
      </c>
      <c r="H1099" s="306">
        <v>68</v>
      </c>
      <c r="I1099" s="306">
        <v>90</v>
      </c>
      <c r="J1099" s="306">
        <v>63</v>
      </c>
      <c r="K1099" s="306">
        <v>90</v>
      </c>
      <c r="L1099" s="63">
        <v>9.91</v>
      </c>
      <c r="M1099" s="73">
        <v>40</v>
      </c>
      <c r="N1099" s="56">
        <v>227</v>
      </c>
      <c r="O1099" s="56">
        <v>90</v>
      </c>
      <c r="P1099" s="35">
        <v>7.6</v>
      </c>
      <c r="Q1099" s="56">
        <v>90</v>
      </c>
      <c r="R1099" s="34">
        <v>10.309999999999997</v>
      </c>
      <c r="S1099" s="56">
        <v>40</v>
      </c>
      <c r="T1099" s="56">
        <v>232</v>
      </c>
      <c r="U1099" s="56">
        <v>90</v>
      </c>
      <c r="V1099" s="56">
        <v>86</v>
      </c>
      <c r="W1099" s="56">
        <v>90</v>
      </c>
      <c r="X1099" s="34">
        <v>10.91</v>
      </c>
      <c r="Y1099" s="56">
        <v>40</v>
      </c>
      <c r="AC1099" s="14"/>
      <c r="AE1099" s="14"/>
    </row>
    <row r="1100" spans="1:31" s="133" customFormat="1">
      <c r="A1100" s="14"/>
      <c r="B1100" s="56">
        <v>281</v>
      </c>
      <c r="C1100" s="56">
        <v>95</v>
      </c>
      <c r="D1100" s="35">
        <v>10.8</v>
      </c>
      <c r="E1100" s="56">
        <v>95</v>
      </c>
      <c r="F1100" s="34">
        <v>9.2099999999999955</v>
      </c>
      <c r="G1100" s="56">
        <v>35</v>
      </c>
      <c r="H1100" s="306">
        <v>70</v>
      </c>
      <c r="I1100" s="306">
        <v>95</v>
      </c>
      <c r="J1100" s="306">
        <v>65</v>
      </c>
      <c r="K1100" s="306">
        <v>95</v>
      </c>
      <c r="L1100" s="63">
        <v>10.01</v>
      </c>
      <c r="M1100" s="73">
        <v>35</v>
      </c>
      <c r="N1100" s="56">
        <v>231</v>
      </c>
      <c r="O1100" s="56">
        <v>95</v>
      </c>
      <c r="P1100" s="35">
        <v>7.8</v>
      </c>
      <c r="Q1100" s="56">
        <v>95</v>
      </c>
      <c r="R1100" s="34">
        <v>10.409999999999997</v>
      </c>
      <c r="S1100" s="56">
        <v>35</v>
      </c>
      <c r="T1100" s="56">
        <v>236</v>
      </c>
      <c r="U1100" s="56">
        <v>95</v>
      </c>
      <c r="V1100" s="56">
        <v>88</v>
      </c>
      <c r="W1100" s="56">
        <v>95</v>
      </c>
      <c r="X1100" s="34">
        <v>11.01</v>
      </c>
      <c r="Y1100" s="56">
        <v>35</v>
      </c>
      <c r="AC1100" s="14"/>
      <c r="AE1100" s="14"/>
    </row>
    <row r="1101" spans="1:31" s="133" customFormat="1">
      <c r="A1101" s="14"/>
      <c r="B1101" s="56">
        <v>285</v>
      </c>
      <c r="C1101" s="56">
        <v>100</v>
      </c>
      <c r="D1101" s="35">
        <v>11</v>
      </c>
      <c r="E1101" s="56">
        <v>100</v>
      </c>
      <c r="F1101" s="34">
        <v>9.3099999999999952</v>
      </c>
      <c r="G1101" s="56">
        <v>30</v>
      </c>
      <c r="H1101" s="306">
        <v>72</v>
      </c>
      <c r="I1101" s="306">
        <v>100</v>
      </c>
      <c r="J1101" s="306">
        <v>67</v>
      </c>
      <c r="K1101" s="306">
        <v>100</v>
      </c>
      <c r="L1101" s="63">
        <v>10.11</v>
      </c>
      <c r="M1101" s="73">
        <v>30</v>
      </c>
      <c r="N1101" s="56">
        <v>235</v>
      </c>
      <c r="O1101" s="56">
        <v>100</v>
      </c>
      <c r="P1101" s="35">
        <v>8</v>
      </c>
      <c r="Q1101" s="56">
        <v>100</v>
      </c>
      <c r="R1101" s="34">
        <v>10.509999999999996</v>
      </c>
      <c r="S1101" s="56">
        <v>30</v>
      </c>
      <c r="T1101" s="56">
        <v>240</v>
      </c>
      <c r="U1101" s="56">
        <v>100</v>
      </c>
      <c r="V1101" s="56">
        <v>90</v>
      </c>
      <c r="W1101" s="56">
        <v>100</v>
      </c>
      <c r="X1101" s="34">
        <v>11.11</v>
      </c>
      <c r="Y1101" s="56">
        <v>30</v>
      </c>
      <c r="AC1101" s="14"/>
      <c r="AE1101" s="14"/>
    </row>
  </sheetData>
  <sortState xmlns:xlrd2="http://schemas.microsoft.com/office/spreadsheetml/2017/richdata2" ref="U396:U410">
    <sortCondition descending="1" ref="U396:U410"/>
  </sortState>
  <mergeCells count="22">
    <mergeCell ref="B616:K616"/>
    <mergeCell ref="N366:V366"/>
    <mergeCell ref="B498:K498"/>
    <mergeCell ref="N498:W498"/>
    <mergeCell ref="B528:K528"/>
    <mergeCell ref="N528:W528"/>
    <mergeCell ref="B347:K347"/>
    <mergeCell ref="G348:G349"/>
    <mergeCell ref="H348:I348"/>
    <mergeCell ref="J348:K348"/>
    <mergeCell ref="B366:K366"/>
    <mergeCell ref="B180:K180"/>
    <mergeCell ref="N180:W180"/>
    <mergeCell ref="B304:K304"/>
    <mergeCell ref="N304:W304"/>
    <mergeCell ref="B319:K319"/>
    <mergeCell ref="B1:H1"/>
    <mergeCell ref="N1:T1"/>
    <mergeCell ref="B25:H25"/>
    <mergeCell ref="N25:T25"/>
    <mergeCell ref="B72:I72"/>
    <mergeCell ref="N72:U72"/>
  </mergeCells>
  <phoneticPr fontId="81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">
    <tabColor rgb="FFFFFF00"/>
  </sheetPr>
  <dimension ref="A1:BQ46"/>
  <sheetViews>
    <sheetView zoomScale="95" zoomScaleNormal="95" zoomScaleSheetLayoutView="75" workbookViewId="0">
      <pane xSplit="2" topLeftCell="AU1" activePane="topRight" state="frozen"/>
      <selection pane="topRight" activeCell="AZ1" sqref="AZ1"/>
    </sheetView>
  </sheetViews>
  <sheetFormatPr defaultColWidth="8.75" defaultRowHeight="16.5"/>
  <cols>
    <col min="1" max="1" width="21.375" style="25" customWidth="1"/>
    <col min="2" max="2" width="12.25" style="25" customWidth="1"/>
    <col min="3" max="3" width="8.375" style="25" customWidth="1"/>
    <col min="4" max="4" width="8.75" style="14" bestFit="1" customWidth="1"/>
    <col min="5" max="5" width="8.75" style="14" customWidth="1"/>
    <col min="6" max="6" width="8.75" style="14" bestFit="1" customWidth="1"/>
    <col min="7" max="7" width="8.375" style="14" customWidth="1"/>
    <col min="8" max="8" width="8.375" style="25" customWidth="1"/>
    <col min="9" max="10" width="8.375" style="6" customWidth="1"/>
    <col min="11" max="11" width="8.375" style="14" customWidth="1"/>
    <col min="12" max="12" width="8.375" style="25" customWidth="1"/>
    <col min="13" max="14" width="8.375" style="14" customWidth="1"/>
    <col min="15" max="15" width="8.375" style="292" customWidth="1"/>
    <col min="16" max="17" width="8.375" style="6" customWidth="1"/>
    <col min="18" max="19" width="8.375" style="14" customWidth="1"/>
    <col min="20" max="20" width="11" style="11" bestFit="1" customWidth="1"/>
    <col min="21" max="21" width="9.375" style="25" customWidth="1"/>
    <col min="22" max="22" width="9.375" style="14" customWidth="1"/>
    <col min="23" max="24" width="8.375" style="25" customWidth="1"/>
    <col min="25" max="25" width="8.75" style="6" bestFit="1" customWidth="1"/>
    <col min="26" max="26" width="8.75" style="292" customWidth="1"/>
    <col min="27" max="27" width="11" style="14" bestFit="1" customWidth="1"/>
    <col min="28" max="28" width="8.75" style="6" bestFit="1" customWidth="1"/>
    <col min="29" max="29" width="8.75" style="292" customWidth="1"/>
    <col min="30" max="30" width="12.125" style="25" bestFit="1" customWidth="1"/>
    <col min="31" max="31" width="12.125" style="25" customWidth="1"/>
    <col min="32" max="32" width="12.125" style="6" customWidth="1"/>
    <col min="33" max="33" width="11" style="14" bestFit="1" customWidth="1"/>
    <col min="34" max="34" width="8.75" style="6" customWidth="1"/>
    <col min="35" max="35" width="8.75" style="13" bestFit="1" customWidth="1"/>
    <col min="36" max="36" width="8.75" style="11" bestFit="1" customWidth="1"/>
    <col min="37" max="37" width="8.75" style="21" bestFit="1" customWidth="1"/>
    <col min="38" max="39" width="8.75" style="14" customWidth="1"/>
    <col min="40" max="40" width="11" style="13" bestFit="1" customWidth="1"/>
    <col min="41" max="41" width="8.75" style="10" customWidth="1"/>
    <col min="42" max="42" width="8.75" style="6" customWidth="1"/>
    <col min="43" max="43" width="8.75" style="21" bestFit="1" customWidth="1"/>
    <col min="44" max="44" width="8.75" style="13" bestFit="1" customWidth="1"/>
    <col min="45" max="45" width="8.75" style="292" customWidth="1"/>
    <col min="46" max="47" width="8.75" style="13" bestFit="1" customWidth="1"/>
    <col min="48" max="48" width="8.75" style="13" customWidth="1"/>
    <col min="49" max="49" width="8.75" style="13" bestFit="1" customWidth="1"/>
    <col min="50" max="50" width="8.75" style="14" bestFit="1" customWidth="1"/>
    <col min="51" max="56" width="8.75" style="14" customWidth="1"/>
    <col min="57" max="57" width="8.75" style="292" customWidth="1"/>
    <col min="58" max="58" width="8.75" style="13" bestFit="1" customWidth="1"/>
    <col min="59" max="59" width="8.75" style="13" customWidth="1"/>
    <col min="60" max="60" width="10.125" style="20" bestFit="1" customWidth="1"/>
    <col min="61" max="61" width="8.75" style="12" bestFit="1" customWidth="1"/>
    <col min="62" max="63" width="8.75" style="20" customWidth="1"/>
    <col min="64" max="64" width="8.75" style="13" customWidth="1"/>
    <col min="65" max="65" width="8.75" style="13" bestFit="1" customWidth="1"/>
    <col min="66" max="66" width="8.75" style="14" bestFit="1" customWidth="1"/>
    <col min="67" max="67" width="10.125" style="14" bestFit="1" customWidth="1"/>
    <col min="68" max="68" width="8.75" style="13" bestFit="1" customWidth="1"/>
    <col min="69" max="69" width="11" style="25" bestFit="1" customWidth="1"/>
  </cols>
  <sheetData>
    <row r="1" spans="1:69" ht="55.9" customHeight="1">
      <c r="B1" s="25" t="s">
        <v>447</v>
      </c>
      <c r="C1" s="41" t="s">
        <v>465</v>
      </c>
      <c r="D1" s="65" t="s">
        <v>152</v>
      </c>
      <c r="E1" s="75" t="s">
        <v>172</v>
      </c>
      <c r="F1" s="80" t="s">
        <v>194</v>
      </c>
      <c r="G1" s="44" t="s">
        <v>384</v>
      </c>
      <c r="H1" s="43" t="s">
        <v>610</v>
      </c>
      <c r="I1" s="43" t="s">
        <v>249</v>
      </c>
      <c r="J1" s="298" t="s">
        <v>302</v>
      </c>
      <c r="K1" s="44" t="s">
        <v>510</v>
      </c>
      <c r="L1" s="49" t="s">
        <v>271</v>
      </c>
      <c r="M1" s="139" t="s">
        <v>74</v>
      </c>
      <c r="N1" s="139" t="s">
        <v>364</v>
      </c>
      <c r="O1" s="382" t="s">
        <v>22</v>
      </c>
      <c r="P1" s="304" t="s">
        <v>125</v>
      </c>
      <c r="Q1" s="304" t="s">
        <v>365</v>
      </c>
      <c r="R1" s="139" t="s">
        <v>93</v>
      </c>
      <c r="S1" s="139" t="s">
        <v>90</v>
      </c>
      <c r="T1" s="89" t="s">
        <v>193</v>
      </c>
      <c r="U1" s="51" t="s">
        <v>289</v>
      </c>
      <c r="V1" s="51" t="s">
        <v>491</v>
      </c>
      <c r="W1" s="42" t="s">
        <v>303</v>
      </c>
      <c r="X1" s="42" t="s">
        <v>300</v>
      </c>
      <c r="Y1" s="41" t="s">
        <v>487</v>
      </c>
      <c r="Z1" s="382" t="s">
        <v>52</v>
      </c>
      <c r="AA1" s="60" t="s">
        <v>81</v>
      </c>
      <c r="AB1" s="42" t="s">
        <v>469</v>
      </c>
      <c r="AC1" s="386" t="s">
        <v>518</v>
      </c>
      <c r="AD1" s="40" t="s">
        <v>327</v>
      </c>
      <c r="AE1" s="40" t="s">
        <v>392</v>
      </c>
      <c r="AF1" s="40" t="s">
        <v>37</v>
      </c>
      <c r="AG1" s="297" t="s">
        <v>123</v>
      </c>
      <c r="AH1" s="297" t="s">
        <v>103</v>
      </c>
      <c r="AI1" s="50" t="s">
        <v>268</v>
      </c>
      <c r="AJ1" s="47" t="s">
        <v>488</v>
      </c>
      <c r="AK1" s="43" t="s">
        <v>222</v>
      </c>
      <c r="AL1" s="75" t="s">
        <v>182</v>
      </c>
      <c r="AM1" s="75" t="s">
        <v>671</v>
      </c>
      <c r="AN1" s="75" t="s">
        <v>142</v>
      </c>
      <c r="AO1" s="75" t="s">
        <v>347</v>
      </c>
      <c r="AP1" s="75" t="s">
        <v>678</v>
      </c>
      <c r="AQ1" s="62" t="s">
        <v>168</v>
      </c>
      <c r="AR1" s="62" t="s">
        <v>339</v>
      </c>
      <c r="AS1" s="384" t="s">
        <v>20</v>
      </c>
      <c r="AT1" s="107" t="s">
        <v>376</v>
      </c>
      <c r="AU1" s="107" t="s">
        <v>188</v>
      </c>
      <c r="AV1" s="107" t="s">
        <v>413</v>
      </c>
      <c r="AW1" s="314" t="s">
        <v>198</v>
      </c>
      <c r="AX1" s="151" t="s">
        <v>177</v>
      </c>
      <c r="AY1" s="151" t="s">
        <v>342</v>
      </c>
      <c r="AZ1" s="472" t="s">
        <v>682</v>
      </c>
      <c r="BA1" s="155" t="s">
        <v>369</v>
      </c>
      <c r="BB1" s="155" t="s">
        <v>221</v>
      </c>
      <c r="BC1" s="166" t="s">
        <v>502</v>
      </c>
      <c r="BD1" s="374" t="s">
        <v>140</v>
      </c>
      <c r="BE1" s="374" t="s">
        <v>386</v>
      </c>
      <c r="BF1" s="138" t="s">
        <v>334</v>
      </c>
      <c r="BG1" s="138" t="s">
        <v>536</v>
      </c>
      <c r="BH1" s="138" t="s">
        <v>609</v>
      </c>
      <c r="BI1" s="138" t="s">
        <v>390</v>
      </c>
      <c r="BJ1" s="131" t="s">
        <v>191</v>
      </c>
      <c r="BK1" s="131" t="s">
        <v>385</v>
      </c>
      <c r="BL1" s="192" t="s">
        <v>371</v>
      </c>
      <c r="BM1" s="50" t="s">
        <v>291</v>
      </c>
      <c r="BN1" s="42" t="s">
        <v>330</v>
      </c>
      <c r="BO1" s="44" t="s">
        <v>459</v>
      </c>
      <c r="BP1" s="40" t="s">
        <v>333</v>
      </c>
      <c r="BQ1" s="132" t="s">
        <v>183</v>
      </c>
    </row>
    <row r="2" spans="1:69" s="66" customFormat="1" ht="17.25">
      <c r="A2" s="538" t="s">
        <v>399</v>
      </c>
      <c r="B2" s="538"/>
      <c r="C2" s="66">
        <f>SUM(C5:C39)/4*7</f>
        <v>700</v>
      </c>
      <c r="D2" s="66">
        <f>SUM(D4:D39)</f>
        <v>300</v>
      </c>
      <c r="E2" s="66">
        <f>SUM(E4:E39)</f>
        <v>400</v>
      </c>
      <c r="F2" s="66">
        <f>SUM(F4:F39)</f>
        <v>400</v>
      </c>
      <c r="G2" s="91">
        <f>SUM(G5:G39)</f>
        <v>676</v>
      </c>
      <c r="H2" s="91">
        <f>SUM(H5:H39)/3*8</f>
        <v>520</v>
      </c>
      <c r="I2" s="91">
        <f>SUM(I5:I39)/3*0.7</f>
        <v>70</v>
      </c>
      <c r="J2" s="91">
        <f>SUM(J5:J39)*0.2</f>
        <v>60</v>
      </c>
      <c r="K2" s="91">
        <f>(LARGE(K5:K39,1)+LARGE(K5:K39,2)+LARGE(K5:K39,3))/3*8</f>
        <v>800</v>
      </c>
      <c r="L2" s="91">
        <f>SUM(L5:L39)*10</f>
        <v>900</v>
      </c>
      <c r="M2" s="66">
        <f>(SUM(M5:M45))/3*7</f>
        <v>700</v>
      </c>
      <c r="N2" s="66">
        <f>(SUM(N5:N45))/3*7</f>
        <v>700</v>
      </c>
      <c r="O2" s="66">
        <f>SUM(O5:O44)/4*3</f>
        <v>270</v>
      </c>
      <c r="P2" s="66">
        <f>((P5*0.3)+(P12*0.3)+(P25*0.4))*8</f>
        <v>800</v>
      </c>
      <c r="Q2" s="66">
        <f>((Q5*0.3)+(Q12*0.3)+(Q25*0.4))*8</f>
        <v>800</v>
      </c>
      <c r="R2" s="66">
        <f>SUM(R5:R39)</f>
        <v>585</v>
      </c>
      <c r="S2" s="66">
        <f>SUM(S5:S39)</f>
        <v>585</v>
      </c>
      <c r="T2" s="66">
        <f>SUM(T4:T39)</f>
        <v>800</v>
      </c>
      <c r="U2" s="81">
        <f>(SUM(U5:U39))/4*7</f>
        <v>700</v>
      </c>
      <c r="V2" s="81">
        <f>SUM(V5:V39)</f>
        <v>900</v>
      </c>
      <c r="W2" s="91">
        <f>SUM(W5:W39)/3*4*4</f>
        <v>400</v>
      </c>
      <c r="X2" s="66">
        <f>SUM(X5:X39)/3*4*6</f>
        <v>600</v>
      </c>
      <c r="Y2" s="66">
        <f>SUM(Y5:Y39)/3*6</f>
        <v>600</v>
      </c>
      <c r="Z2" s="66">
        <f>(Z5*0.35+Z12*0.3+Z26*0.35)*7</f>
        <v>675.5</v>
      </c>
      <c r="AA2" s="123">
        <f>SUM(AA5:AA39)/3*6</f>
        <v>590</v>
      </c>
      <c r="AB2" s="66">
        <f>SUM(AB5:AB39)/3*7</f>
        <v>700</v>
      </c>
      <c r="AC2" s="66">
        <f>SUM(AC5:AC39)/3*4</f>
        <v>400</v>
      </c>
      <c r="AD2" s="91">
        <f>(LARGE((AD5,AD12,AD23,AD35),1)+LARGE((AD5,AD12,AD23,AD35),2)+LARGE((AD5,AD12,AD23,AD35),3))/3*3.2+80</f>
        <v>400</v>
      </c>
      <c r="AE2" s="91">
        <f>((LARGE((AE5,AE12,AE23,AE35),1)+LARGE((AE5,AE12,AE23,AE35),2)+LARGE((AE5,AE12,AE23,AE35),3)))/3*6.4+160</f>
        <v>800</v>
      </c>
      <c r="AF2" s="91">
        <f>((LARGE((AF5,AF12,AF23,AF35),1)+LARGE((AF5,AF12,AF23,AF35),2)+LARGE((AF5,AF12,AF23,AF35),3)))/3*6.4+160</f>
        <v>800</v>
      </c>
      <c r="AG2" s="81">
        <f>SUM(AG4:AG39)/3*8</f>
        <v>800</v>
      </c>
      <c r="AH2" s="81">
        <f>SUM(AH4:AH39)/3*8</f>
        <v>800</v>
      </c>
      <c r="AI2" s="66">
        <f>SUM(AI5:AI39)</f>
        <v>600</v>
      </c>
      <c r="AJ2" s="66">
        <f>SUM(AJ5:AJ39)</f>
        <v>800</v>
      </c>
      <c r="AK2" s="66">
        <f>SUM(AK5:AK39)</f>
        <v>600</v>
      </c>
      <c r="AL2" s="81">
        <f>((SUM(AL4:AL39)/2-80)+480)</f>
        <v>595</v>
      </c>
      <c r="AM2" s="81">
        <f>((SUM(AM4:AM39)/3-80)*7/6+560)</f>
        <v>696.11111111111109</v>
      </c>
      <c r="AN2" s="81">
        <f>((SUM(AN4:AN60)/3-80)*7/6+560)</f>
        <v>692.22222222222217</v>
      </c>
      <c r="AO2" s="91">
        <f>SUM(AO5:AO39)/2*6</f>
        <v>600</v>
      </c>
      <c r="AP2" s="91">
        <f>SUM(AP5:AP39)/2*6</f>
        <v>600</v>
      </c>
      <c r="AQ2" s="66">
        <f>SUM(AQ5:AQ39)</f>
        <v>350</v>
      </c>
      <c r="AR2" s="66">
        <f>SUM(AR5:AR39)</f>
        <v>340</v>
      </c>
      <c r="AS2" s="66">
        <f>SUM(AS5:AS39)</f>
        <v>350</v>
      </c>
      <c r="AT2" s="66">
        <f>SUM(AT4:AT52)</f>
        <v>980</v>
      </c>
      <c r="AU2" s="66">
        <f>SUM(AU4:AU52)</f>
        <v>910</v>
      </c>
      <c r="AV2" s="66">
        <f>SUM(AV4:AV52)/3*7</f>
        <v>700</v>
      </c>
      <c r="AW2" s="66">
        <f>SUM(AW4:AW52)</f>
        <v>200</v>
      </c>
      <c r="AX2" s="66">
        <f>SUM(AX4:AX52)</f>
        <v>300</v>
      </c>
      <c r="AY2" s="66">
        <f>SUM(AY4:AY52)</f>
        <v>300</v>
      </c>
      <c r="AZ2" s="66">
        <f>SUM(AZ5:AZ39)+10</f>
        <v>700</v>
      </c>
      <c r="BA2" s="66">
        <f>SUM(BA5:BA39)+10</f>
        <v>700</v>
      </c>
      <c r="BB2" s="66">
        <f>SUM(BB5:BB39)+10</f>
        <v>700</v>
      </c>
      <c r="BC2" s="66">
        <f>SUM(BC5:BC39)*4</f>
        <v>800</v>
      </c>
      <c r="BD2" s="66">
        <f>SUM(BD5:BD39)</f>
        <v>400</v>
      </c>
      <c r="BE2" s="66">
        <f>SUM(BE5:BE39)/4*7</f>
        <v>700</v>
      </c>
      <c r="BF2" s="81">
        <f>SUM(BF5:BF39)*300/114</f>
        <v>300</v>
      </c>
      <c r="BG2" s="81">
        <f>SUM(BG5:BG39)*200/114</f>
        <v>200</v>
      </c>
      <c r="BH2" s="81">
        <f>SUM(BH5:BH39)*200/114</f>
        <v>200</v>
      </c>
      <c r="BI2" s="81">
        <f>SUM(BI5:BI39)*300/114</f>
        <v>300</v>
      </c>
      <c r="BJ2" s="81">
        <f>SUM(BJ5:BJ39)*300/114</f>
        <v>300</v>
      </c>
      <c r="BK2" s="81">
        <f>SUM(BK5:BK39)</f>
        <v>400</v>
      </c>
      <c r="BL2" s="66">
        <f>SUM(BL5:BL39)*3</f>
        <v>600</v>
      </c>
      <c r="BM2" s="66">
        <f>SUM(BM5:BM39)</f>
        <v>800</v>
      </c>
      <c r="BN2" s="66">
        <f>SUM(BN5:BN39)</f>
        <v>500</v>
      </c>
      <c r="BO2" s="91">
        <f>SUM(BO5:BO39)*2</f>
        <v>400</v>
      </c>
      <c r="BP2" s="66">
        <f>SUM(BP5:BP39)</f>
        <v>400</v>
      </c>
      <c r="BQ2" s="91">
        <f>SUM(BQ5:BQ39)/3*4+400</f>
        <v>800</v>
      </c>
    </row>
    <row r="3" spans="1:69" ht="17.25">
      <c r="A3" s="539" t="s">
        <v>401</v>
      </c>
      <c r="B3" s="539"/>
      <c r="C3" s="33">
        <v>700</v>
      </c>
      <c r="D3" s="451">
        <v>300</v>
      </c>
      <c r="E3" s="118">
        <v>400</v>
      </c>
      <c r="F3" s="33">
        <v>400</v>
      </c>
      <c r="G3" s="33">
        <v>700</v>
      </c>
      <c r="H3" s="33">
        <v>800</v>
      </c>
      <c r="I3" s="452">
        <v>70</v>
      </c>
      <c r="J3" s="33">
        <v>60</v>
      </c>
      <c r="K3" s="33">
        <v>800</v>
      </c>
      <c r="L3" s="33">
        <v>900</v>
      </c>
      <c r="M3" s="33">
        <v>700</v>
      </c>
      <c r="N3" s="33">
        <v>700</v>
      </c>
      <c r="O3" s="33">
        <v>300</v>
      </c>
      <c r="P3" s="33">
        <v>800</v>
      </c>
      <c r="Q3" s="33">
        <v>800</v>
      </c>
      <c r="R3" s="33">
        <v>600</v>
      </c>
      <c r="S3" s="33">
        <v>600</v>
      </c>
      <c r="T3" s="33">
        <v>800</v>
      </c>
      <c r="U3" s="33">
        <v>700</v>
      </c>
      <c r="V3" s="33">
        <v>900</v>
      </c>
      <c r="W3" s="33">
        <v>400</v>
      </c>
      <c r="X3" s="33">
        <v>600</v>
      </c>
      <c r="Y3" s="33">
        <v>600</v>
      </c>
      <c r="Z3" s="33">
        <v>700</v>
      </c>
      <c r="AA3" s="102">
        <v>600</v>
      </c>
      <c r="AB3" s="33">
        <v>700</v>
      </c>
      <c r="AC3" s="33">
        <v>400</v>
      </c>
      <c r="AD3" s="452">
        <v>400</v>
      </c>
      <c r="AE3" s="33">
        <v>800</v>
      </c>
      <c r="AF3" s="33">
        <v>800</v>
      </c>
      <c r="AG3" s="33">
        <v>800</v>
      </c>
      <c r="AH3" s="33">
        <v>800</v>
      </c>
      <c r="AI3" s="33">
        <v>600</v>
      </c>
      <c r="AJ3" s="452">
        <v>800</v>
      </c>
      <c r="AK3" s="33">
        <v>600</v>
      </c>
      <c r="AL3" s="33">
        <v>600</v>
      </c>
      <c r="AM3" s="33">
        <v>700</v>
      </c>
      <c r="AN3" s="33">
        <v>700</v>
      </c>
      <c r="AO3" s="33">
        <v>600</v>
      </c>
      <c r="AP3" s="181">
        <v>600</v>
      </c>
      <c r="AQ3" s="33">
        <v>350</v>
      </c>
      <c r="AR3" s="33">
        <v>350</v>
      </c>
      <c r="AS3" s="33">
        <v>350</v>
      </c>
      <c r="AT3" s="33">
        <v>1000</v>
      </c>
      <c r="AU3" s="33">
        <v>1000</v>
      </c>
      <c r="AV3" s="33">
        <v>700</v>
      </c>
      <c r="AW3" s="33">
        <v>200</v>
      </c>
      <c r="AX3" s="33">
        <v>300</v>
      </c>
      <c r="AY3" s="33">
        <v>300</v>
      </c>
      <c r="AZ3" s="33">
        <v>700</v>
      </c>
      <c r="BA3" s="33">
        <v>700</v>
      </c>
      <c r="BB3" s="33">
        <v>700</v>
      </c>
      <c r="BC3" s="33">
        <v>800</v>
      </c>
      <c r="BD3" s="33">
        <v>400</v>
      </c>
      <c r="BE3" s="33">
        <v>700</v>
      </c>
      <c r="BF3" s="181">
        <v>300</v>
      </c>
      <c r="BG3" s="181">
        <v>200</v>
      </c>
      <c r="BH3" s="181">
        <v>200</v>
      </c>
      <c r="BI3" s="181">
        <v>300</v>
      </c>
      <c r="BJ3" s="181">
        <v>300</v>
      </c>
      <c r="BK3" s="181">
        <v>400</v>
      </c>
      <c r="BL3" s="33">
        <v>600</v>
      </c>
      <c r="BM3" s="33">
        <v>800</v>
      </c>
      <c r="BN3" s="33">
        <v>500</v>
      </c>
      <c r="BO3" s="102">
        <v>400</v>
      </c>
      <c r="BP3" s="33">
        <v>400</v>
      </c>
      <c r="BQ3" s="33">
        <v>800</v>
      </c>
    </row>
    <row r="4" spans="1:69" ht="31.5">
      <c r="A4" s="25" t="s">
        <v>482</v>
      </c>
      <c r="B4" s="64" t="str">
        <f>'상담(남)'!E2</f>
        <v>황규훈</v>
      </c>
    </row>
    <row r="5" spans="1:69">
      <c r="A5" s="25" t="s">
        <v>313</v>
      </c>
      <c r="B5" s="59">
        <f>INDEX(개인별실기남자,MATCH(A5,'개인실기(남)'!$A$4:$A$70,0),MATCH($B$4,'개인실기(남)'!$B$3:$CL$3,0))</f>
        <v>300</v>
      </c>
      <c r="C5" s="31">
        <f>VLOOKUP(B5,배점표!H3:I23,2)</f>
        <v>100</v>
      </c>
      <c r="D5" s="31">
        <f>VLOOKUP(B5,배점표!F27:G38,2)</f>
        <v>100</v>
      </c>
      <c r="E5" s="31">
        <f>VLOOKUP(B5,배점표!B41:C54,2)</f>
        <v>134</v>
      </c>
      <c r="F5" s="38">
        <f>VLOOKUP(B5,배점표!B56:C69,2)</f>
        <v>134</v>
      </c>
      <c r="G5" s="33">
        <f>VLOOKUP(B5,배점표!D74:E101,2)</f>
        <v>230</v>
      </c>
      <c r="H5" s="36">
        <f>VLOOKUP(B5,배점표!F104:G124,2)</f>
        <v>100</v>
      </c>
      <c r="I5" s="36">
        <f>VLOOKUP(B5,배점표!B143:C156,2)</f>
        <v>100</v>
      </c>
      <c r="J5" s="36">
        <f>VLOOKUP(B5,배점표!B127:C140,2)</f>
        <v>100</v>
      </c>
      <c r="K5" s="33">
        <f>VLOOKUP(B5,배점표!B159:C178,2)</f>
        <v>100</v>
      </c>
      <c r="L5" s="48">
        <f>VLOOKUP(B5,배점표!B182:C206,2)</f>
        <v>35</v>
      </c>
      <c r="M5" s="48">
        <f>VLOOKUP(B5,배점표!B209:C229,2)</f>
        <v>100</v>
      </c>
      <c r="N5" s="48">
        <f>VLOOKUP(B5,배점표!B209:C229,2)</f>
        <v>100</v>
      </c>
      <c r="O5" s="48"/>
      <c r="P5" s="70">
        <f>VLOOKUP(B5,배점표!B247:C272,2)</f>
        <v>100</v>
      </c>
      <c r="Q5" s="70">
        <f>VLOOKUP(B5,배점표!B247:C272,2)</f>
        <v>100</v>
      </c>
      <c r="R5" s="48">
        <f>VLOOKUP(B5,배점표!B275:C289,2)</f>
        <v>300</v>
      </c>
      <c r="S5" s="48">
        <f>VLOOKUP(B5,배점표!B275:C289,2)</f>
        <v>300</v>
      </c>
      <c r="T5" s="90">
        <f>VLOOKUP(B5,배점표!F292:G302,2)</f>
        <v>270</v>
      </c>
      <c r="U5" s="55">
        <f>IF(((B5-254)*(100-50)/(300-254)+50)&gt;100,100,((B5-254)*(100-50)/(300-254)+50))</f>
        <v>100</v>
      </c>
      <c r="V5" s="55">
        <f>VLOOKUP(B5,배점표!B349:C364,2)</f>
        <v>450</v>
      </c>
      <c r="W5" s="38">
        <f>VLOOKUP(B5,배점표!B368:C382,2)</f>
        <v>25</v>
      </c>
      <c r="X5" s="38">
        <f>VLOOKUP(B5,배점표!B368:C382,2)</f>
        <v>25</v>
      </c>
      <c r="Y5" s="31">
        <f>VLOOKUP(B5,배점표!B385:C395,2)</f>
        <v>100</v>
      </c>
      <c r="Z5" s="36">
        <f>VLOOKUP(B5,배점표!B398:C412,2)</f>
        <v>90</v>
      </c>
      <c r="AA5" s="37">
        <f>VLOOKUP(B5,배점표!B417:C431,2)</f>
        <v>100</v>
      </c>
      <c r="AB5" s="38">
        <f>VLOOKUP(B5,배점표!D434:E444,2)</f>
        <v>100</v>
      </c>
      <c r="AC5" s="38">
        <f>VLOOKUP(B5,배점표!D447:E466,2)</f>
        <v>100</v>
      </c>
      <c r="AD5" s="36">
        <f>VLOOKUP(B5,배점표!D500:E526,2)</f>
        <v>100</v>
      </c>
      <c r="AE5" s="36">
        <f>VLOOKUP(B5,배점표!D530:E554,2)</f>
        <v>100</v>
      </c>
      <c r="AF5" s="36">
        <f>VLOOKUP(B5,배점표!D530:E554,2)</f>
        <v>100</v>
      </c>
      <c r="AG5" s="38">
        <f>VLOOKUP(B5,배점표!F556:G581,2)</f>
        <v>100</v>
      </c>
      <c r="AH5" s="38">
        <f>VLOOKUP(B5,배점표!F556:G581,2)</f>
        <v>100</v>
      </c>
      <c r="AI5" s="31">
        <f>VLOOKUP(B5,배점표!F584:G602,2)</f>
        <v>120</v>
      </c>
      <c r="AJ5" s="46">
        <f>VLOOKUP(B5,배점표!F605:G615,2)</f>
        <v>260</v>
      </c>
      <c r="AK5" s="36">
        <f>VLOOKUP(B5,배점표!B619:C649,2)</f>
        <v>200</v>
      </c>
      <c r="AL5" s="31">
        <f>VLOOKUP(B5,배점표!F677:G689,2)</f>
        <v>200</v>
      </c>
      <c r="AM5" s="31">
        <f>VLOOKUP(B5,배점표!F693:G705,2)</f>
        <v>200</v>
      </c>
      <c r="AN5" s="31">
        <f>VLOOKUP(B5,배점표!F661:G673,2)</f>
        <v>200</v>
      </c>
      <c r="AO5" s="31">
        <f>VLOOKUP(B5,배점표!D708:E733,2)</f>
        <v>100</v>
      </c>
      <c r="AP5" s="31">
        <f>VLOOKUP(B5,배점표!D708:E733,2)</f>
        <v>100</v>
      </c>
      <c r="AQ5" s="87">
        <f>VLOOKUP(B5,배점표!C769:D779,2)</f>
        <v>175</v>
      </c>
      <c r="AR5" s="87">
        <f>VLOOKUP(B5,배점표!D745:E756,2)</f>
        <v>175</v>
      </c>
      <c r="AS5" s="87">
        <f>VLOOKUP(B5,배점표!D783:E803,2)</f>
        <v>175</v>
      </c>
      <c r="AT5" s="105">
        <f>VLOOKUP(B5,배점표!D806:E815,2)</f>
        <v>300</v>
      </c>
      <c r="AV5" s="150">
        <f>VLOOKUP(B5,배점표!D825:E845,2)</f>
        <v>100</v>
      </c>
      <c r="AW5" s="70">
        <f>VLOOKUP(B5,배점표!D868:E882,2)</f>
        <v>60</v>
      </c>
      <c r="AX5" s="152">
        <f>VLOOKUP(B5,배점표!D848:E855,2)</f>
        <v>100</v>
      </c>
      <c r="AY5" s="152">
        <f>VLOOKUP(B5,배점표!D858:E865,2)</f>
        <v>100</v>
      </c>
      <c r="AZ5" s="97"/>
      <c r="BA5" s="97"/>
      <c r="BB5" s="97"/>
      <c r="BC5" s="143">
        <f>VLOOKUP(B5,배점표!D907:E918,2)</f>
        <v>100</v>
      </c>
      <c r="BD5" s="31">
        <f>VLOOKUP(B5,배점표!F922:G947,2)</f>
        <v>150</v>
      </c>
      <c r="BE5" s="31">
        <f>VLOOKUP(B5,배점표!F922:G947,2)</f>
        <v>150</v>
      </c>
      <c r="BF5" s="38">
        <f>VLOOKUP(B5,배점표!B951:C961,2)</f>
        <v>38</v>
      </c>
      <c r="BG5" s="38">
        <f>VLOOKUP(B5,배점표!B951:C961,2)</f>
        <v>38</v>
      </c>
      <c r="BH5" s="38">
        <f>VLOOKUP(B5,배점표!B951:C961,2)</f>
        <v>38</v>
      </c>
      <c r="BI5" s="38">
        <f>VLOOKUP(B5,배점표!B951:C961,2)</f>
        <v>38</v>
      </c>
      <c r="BJ5" s="38"/>
      <c r="BK5" s="38">
        <f>VLOOKUP(B5,배점표!B964:C987,2)</f>
        <v>100</v>
      </c>
      <c r="BL5" s="38">
        <f>VLOOKUP(B5,배점표!B990:C1000,2)</f>
        <v>100</v>
      </c>
      <c r="BM5" s="31">
        <f>VLOOKUP(B5,배점표!F1004:G1014,2)</f>
        <v>250</v>
      </c>
      <c r="BO5" s="33">
        <f>VLOOKUP(B5,배점표!F1027:G1061,2)</f>
        <v>100</v>
      </c>
      <c r="BP5" s="36">
        <f>VLOOKUP(B5,배점표!B1064:C1083,2)</f>
        <v>100</v>
      </c>
      <c r="BQ5" s="46">
        <f>VLOOKUP(B5,배점표!B1087:C1101,2)</f>
        <v>100</v>
      </c>
    </row>
    <row r="6" spans="1:69">
      <c r="A6" s="25" t="s">
        <v>402</v>
      </c>
      <c r="B6" s="59">
        <f>INDEX(개인별실기남자,MATCH(A6,'개인실기(남)'!$A$4:$A$70,0),MATCH($B$4,'개인실기(남)'!$B$3:$CL$3,0))</f>
        <v>85</v>
      </c>
      <c r="C6" s="97"/>
    </row>
    <row r="7" spans="1:69">
      <c r="A7" s="25" t="s">
        <v>400</v>
      </c>
      <c r="B7" s="59">
        <f>INDEX(개인별실기남자,MATCH(A7,'개인실기(남)'!$A$4:$A$70,0),MATCH($B$4,'개인실기(남)'!$B$3:$CL$3,0))</f>
        <v>85</v>
      </c>
      <c r="Y7" s="31"/>
      <c r="Z7" s="31"/>
      <c r="AQ7" s="70"/>
      <c r="AR7" s="87"/>
      <c r="AS7" s="87"/>
      <c r="AZ7" s="154">
        <f>VLOOKUP(B7,배점표!F885:G893,2)</f>
        <v>230</v>
      </c>
      <c r="BA7" s="154">
        <f>VLOOKUP(B7,배점표!F885:G893,2)</f>
        <v>230</v>
      </c>
      <c r="BB7" s="154">
        <f>VLOOKUP(B7,배점표!F896:G904,2)</f>
        <v>230</v>
      </c>
      <c r="BO7" s="70"/>
    </row>
    <row r="8" spans="1:69">
      <c r="A8" s="25" t="s">
        <v>407</v>
      </c>
      <c r="B8" s="59">
        <f>INDEX(개인별실기남자,MATCH(A8,'개인실기(남)'!$A$4:$A$70,0),MATCH($B$4,'개인실기(남)'!$B$3:$CL$3,0))</f>
        <v>40</v>
      </c>
      <c r="K8" s="292"/>
      <c r="AJ8" s="46">
        <f>VLOOKUP(B8,배점표!D605:E615,2)</f>
        <v>270</v>
      </c>
      <c r="BA8" s="13"/>
    </row>
    <row r="9" spans="1:69">
      <c r="A9" s="25" t="s">
        <v>393</v>
      </c>
      <c r="B9" s="59">
        <f>INDEX(개인별실기남자,MATCH(A9,'개인실기(남)'!$A$4:$A$70,0),MATCH($B$4,'개인실기(남)'!$B$3:$CL$3,0))</f>
        <v>77</v>
      </c>
      <c r="E9" s="31">
        <f>VLOOKUP(B9,배점표!D41:E54,2)</f>
        <v>133</v>
      </c>
      <c r="F9" s="38"/>
      <c r="H9" s="36"/>
      <c r="I9" s="97"/>
      <c r="J9" s="36">
        <f>VLOOKUP(B9,배점표!F127:G140,2)</f>
        <v>100</v>
      </c>
      <c r="K9" s="292"/>
      <c r="L9" s="48">
        <f>VLOOKUP(B9,배점표!H182:I206,2)</f>
        <v>30</v>
      </c>
      <c r="M9" s="97"/>
      <c r="N9" s="97"/>
      <c r="O9" s="97"/>
      <c r="P9" s="97"/>
      <c r="Q9" s="97"/>
      <c r="R9" s="48"/>
      <c r="S9" s="48"/>
      <c r="W9" s="38">
        <f>VLOOKUP(B9,배점표!H368:I382,2)</f>
        <v>25</v>
      </c>
      <c r="X9" s="38">
        <f>VLOOKUP(B9,배점표!H368:I382,2)</f>
        <v>25</v>
      </c>
      <c r="AB9" s="38">
        <f>VLOOKUP(B9,배점표!B434:C444,2)</f>
        <v>100</v>
      </c>
      <c r="AC9" s="38">
        <f>VLOOKUP(B9,배점표!F447:G466,2)</f>
        <v>100</v>
      </c>
      <c r="AG9" s="38">
        <f>VLOOKUP(B9,배점표!D556:E581,2)</f>
        <v>100</v>
      </c>
      <c r="AH9" s="38">
        <f>VLOOKUP(B9,배점표!D556:E581,2)</f>
        <v>100</v>
      </c>
      <c r="AI9" s="31">
        <f>VLOOKUP(B9,배점표!J584:K602,2)</f>
        <v>120</v>
      </c>
      <c r="AN9" s="31"/>
      <c r="AO9" s="97"/>
      <c r="AP9" s="97"/>
      <c r="AZ9" s="154">
        <f>VLOOKUP(B9,배점표!D885:E893,2)</f>
        <v>230</v>
      </c>
      <c r="BA9" s="154">
        <f>VLOOKUP(B9,배점표!D885:E893,2)</f>
        <v>230</v>
      </c>
      <c r="BB9" s="154">
        <f>VLOOKUP(B9,배점표!D896:E904,2)</f>
        <v>230</v>
      </c>
      <c r="BC9" s="143"/>
      <c r="BD9" s="31">
        <f>VLOOKUP(B9,배점표!J922:K947,2)</f>
        <v>100</v>
      </c>
      <c r="BE9" s="31">
        <f>VLOOKUP(B9,배점표!J922:K947,2)</f>
        <v>100</v>
      </c>
      <c r="BO9" s="33"/>
      <c r="BQ9" s="46"/>
    </row>
    <row r="10" spans="1:69">
      <c r="A10" s="25" t="s">
        <v>560</v>
      </c>
      <c r="B10" s="59">
        <f>INDEX(개인별실기남자,MATCH(A10,'개인실기(남)'!$A$4:$A$70,0),MATCH($B$4,'개인실기(남)'!$B$3:$CL$3,0))</f>
        <v>80</v>
      </c>
      <c r="E10" s="97"/>
      <c r="F10" s="97"/>
      <c r="BM10" s="31">
        <f>VLOOKUP(B10,배점표!D1004:E1014,2)</f>
        <v>250</v>
      </c>
      <c r="BN10" s="38">
        <f>VLOOKUP(B10,배점표!F1017:G1025,2)</f>
        <v>170</v>
      </c>
    </row>
    <row r="11" spans="1:69">
      <c r="A11" s="25" t="s">
        <v>451</v>
      </c>
      <c r="B11" s="59">
        <f>INDEX(개인별실기남자,MATCH(A11,'개인실기(남)'!$A$4:$A$70,0),MATCH($B$4,'개인실기(남)'!$B$3:$CL$3,0))</f>
        <v>245</v>
      </c>
      <c r="C11" s="31">
        <f>VLOOKUP(B11,배점표!D3:E23,2)</f>
        <v>100</v>
      </c>
      <c r="K11" s="387">
        <f>VLOOKUP(B11,배점표!D159:E178,2)</f>
        <v>100</v>
      </c>
      <c r="P11" s="70"/>
      <c r="Q11" s="70"/>
      <c r="T11" s="6"/>
      <c r="U11" s="121">
        <f>IF(((B11-130)*(100-50)/(220-130)+50)&gt;100,100,((B11-130)*(100-50)/(220-130)+50))</f>
        <v>100</v>
      </c>
      <c r="V11" s="146"/>
      <c r="AK11" s="36">
        <f>VLOOKUP(B11,배점표!F619:G649,2)</f>
        <v>200</v>
      </c>
      <c r="AL11" s="31"/>
      <c r="AO11" s="70">
        <f>VLOOKUP(B11,배점표!F708:G733,2)</f>
        <v>100</v>
      </c>
      <c r="AP11" s="70">
        <f>VLOOKUP(B11,배점표!F708:G733,2)</f>
        <v>100</v>
      </c>
      <c r="AV11" s="150">
        <f>VLOOKUP(B11,배점표!F825:G845,2)</f>
        <v>100</v>
      </c>
    </row>
    <row r="12" spans="1:69">
      <c r="A12" s="25" t="s">
        <v>264</v>
      </c>
      <c r="B12" s="59">
        <f>INDEX(개인별실기남자,MATCH(A12,'개인실기(남)'!$A$4:$A$70,0),MATCH($B$4,'개인실기(남)'!$B$3:$CL$3,0))</f>
        <v>12.8</v>
      </c>
      <c r="C12" s="31">
        <f>VLOOKUP(B12,배점표!F3:G23,2)</f>
        <v>100</v>
      </c>
      <c r="F12" s="38">
        <f>VLOOKUP(B12,배점표!D56:E69,2)</f>
        <v>133</v>
      </c>
      <c r="G12" s="33">
        <f>VLOOKUP(B12,배점표!H74:I101,2)</f>
        <v>230</v>
      </c>
      <c r="I12" s="158">
        <f>VLOOKUP(B12,배점표!D143:E156,2)</f>
        <v>100</v>
      </c>
      <c r="K12" s="387">
        <f>VLOOKUP(B12,배점표!H159:I178,2)</f>
        <v>100</v>
      </c>
      <c r="M12" s="457">
        <f>VLOOKUP(B12,배점표!F209:G229,2)</f>
        <v>100</v>
      </c>
      <c r="N12" s="457">
        <f>VLOOKUP(B12,배점표!F209:G229,2)</f>
        <v>100</v>
      </c>
      <c r="P12" s="70">
        <f>VLOOKUP(B12,배점표!D247:E272,2)</f>
        <v>100</v>
      </c>
      <c r="Q12" s="70">
        <f>VLOOKUP(B12,배점표!D247:E272,2)</f>
        <v>100</v>
      </c>
      <c r="Z12" s="36">
        <f>VLOOKUP(B12,배점표!D398:E412,2)</f>
        <v>100</v>
      </c>
      <c r="AD12" s="36">
        <f>VLOOKUP(B12,배점표!H500:I526,2)</f>
        <v>100</v>
      </c>
      <c r="AE12" s="36">
        <f>VLOOKUP(B12,배점표!H530:I554,2)</f>
        <v>100</v>
      </c>
      <c r="AF12" s="36">
        <f>VLOOKUP(B12,배점표!H530:I554,2)</f>
        <v>100</v>
      </c>
      <c r="BD12" s="97"/>
      <c r="BE12" s="97"/>
      <c r="BF12" s="326">
        <f>VLOOKUP(B12,배점표!J951:K961,2)</f>
        <v>38</v>
      </c>
      <c r="BG12" s="326">
        <f>VLOOKUP(B12,배점표!J951:K961,2)</f>
        <v>38</v>
      </c>
      <c r="BH12" s="326">
        <f>VLOOKUP(B12,배점표!J951:K961,2)</f>
        <v>38</v>
      </c>
      <c r="BI12" s="326">
        <f>VLOOKUP(B12,배점표!J951:K961,2)</f>
        <v>38</v>
      </c>
      <c r="BJ12" s="326">
        <f>VLOOKUP(B12,배점표!J951:K961,2)</f>
        <v>38</v>
      </c>
      <c r="BK12" s="326">
        <f>VLOOKUP(B12,배점표!F964:G987,2)</f>
        <v>100</v>
      </c>
      <c r="BP12" s="36">
        <f>VLOOKUP(B12,배점표!D1064:E1083,2)</f>
        <v>100</v>
      </c>
      <c r="BQ12" s="376">
        <f>VLOOKUP(B12,배점표!D1087:E1101,2)</f>
        <v>100</v>
      </c>
    </row>
    <row r="13" spans="1:69" s="20" customFormat="1">
      <c r="A13" s="22" t="s">
        <v>575</v>
      </c>
      <c r="B13" s="59">
        <f>INDEX(개인별실기남자,MATCH(A13,'개인실기(남)'!$A$4:$A$70,0),MATCH($B$4,'개인실기(남)'!$B$3:$CL$3,0))</f>
        <v>21</v>
      </c>
      <c r="C13" s="22"/>
      <c r="D13" s="14"/>
      <c r="E13" s="14"/>
      <c r="F13" s="14"/>
      <c r="G13" s="97"/>
      <c r="H13" s="22"/>
      <c r="I13" s="6"/>
      <c r="J13" s="6"/>
      <c r="K13" s="97"/>
      <c r="L13" s="22"/>
      <c r="M13" s="14"/>
      <c r="N13" s="14"/>
      <c r="O13" s="292"/>
      <c r="P13" s="6"/>
      <c r="Q13" s="6"/>
      <c r="R13" s="14"/>
      <c r="S13" s="14"/>
      <c r="T13" s="14"/>
      <c r="U13" s="22"/>
      <c r="V13" s="14"/>
      <c r="W13" s="22"/>
      <c r="X13" s="22"/>
      <c r="Y13" s="14"/>
      <c r="Z13" s="292"/>
      <c r="AA13" s="14"/>
      <c r="AB13" s="14"/>
      <c r="AC13" s="292"/>
      <c r="AD13" s="380"/>
      <c r="AE13" s="22"/>
      <c r="AF13" s="6"/>
      <c r="AG13" s="14"/>
      <c r="AH13" s="6"/>
      <c r="AI13" s="14"/>
      <c r="AL13" s="14"/>
      <c r="AM13" s="14"/>
      <c r="AN13" s="14"/>
      <c r="AO13" s="10"/>
      <c r="AP13" s="6"/>
      <c r="AS13" s="292"/>
      <c r="AT13" s="14"/>
      <c r="AU13" s="14"/>
      <c r="AV13" s="14"/>
      <c r="AW13" s="14"/>
      <c r="AX13" s="152">
        <f>VLOOKUP(B13,배점표!F848:G855,2)</f>
        <v>100</v>
      </c>
      <c r="AY13" s="152">
        <f>VLOOKUP(B13,배점표!F858:G865,2)</f>
        <v>100</v>
      </c>
      <c r="AZ13" s="97"/>
      <c r="BA13" s="97"/>
      <c r="BB13" s="97"/>
      <c r="BC13" s="97"/>
      <c r="BD13" s="97"/>
      <c r="BE13" s="97"/>
      <c r="BM13" s="14"/>
      <c r="BN13" s="14"/>
      <c r="BO13" s="14"/>
      <c r="BP13" s="36"/>
      <c r="BQ13" s="22"/>
    </row>
    <row r="14" spans="1:69">
      <c r="A14" s="25" t="s">
        <v>332</v>
      </c>
      <c r="B14" s="59">
        <f>INDEX(개인별실기남자,MATCH(A14,'개인실기(남)'!$A$4:$A$70,0),MATCH($B$4,'개인실기(남)'!$B$3:$CL$3,0))</f>
        <v>40</v>
      </c>
      <c r="BD14" s="31"/>
      <c r="BE14" s="31"/>
    </row>
    <row r="15" spans="1:69">
      <c r="A15" s="25" t="s">
        <v>311</v>
      </c>
      <c r="B15" s="59">
        <f>INDEX(개인별실기남자,MATCH(A15,'개인실기(남)'!$A$4:$A$70,0),MATCH($B$4,'개인실기(남)'!$B$3:$CL$3,0))</f>
        <v>23</v>
      </c>
      <c r="AD15" s="36"/>
      <c r="AE15" s="36"/>
      <c r="AF15" s="36"/>
      <c r="AM15" s="31">
        <f>VLOOKUP(B15,배점표!D693:E705,2)</f>
        <v>200</v>
      </c>
      <c r="AN15" s="31">
        <f>VLOOKUP(B15,배점표!B661:C673,2)</f>
        <v>200</v>
      </c>
      <c r="AO15" s="97"/>
      <c r="AP15" s="97"/>
    </row>
    <row r="16" spans="1:69">
      <c r="A16" s="25" t="s">
        <v>286</v>
      </c>
      <c r="B16" s="59">
        <f>INDEX(개인별실기남자,MATCH(A16,'개인실기(남)'!$A$4:$A$70,0),MATCH($B$4,'개인실기(남)'!$B$3:$CL$3,0))</f>
        <v>175</v>
      </c>
      <c r="O16" s="36">
        <f>VLOOKUP(B16,배점표!D233:E241,2)</f>
        <v>100</v>
      </c>
      <c r="AU16" s="105"/>
      <c r="AV16" s="97"/>
    </row>
    <row r="17" spans="1:69">
      <c r="A17" s="25" t="s">
        <v>537</v>
      </c>
      <c r="B17" s="59">
        <f>INDEX(개인별실기남자,MATCH(A17,'개인실기(남)'!$A$4:$A$70,0),MATCH($B$4,'개인실기(남)'!$B$3:$CL$3,0))</f>
        <v>21</v>
      </c>
      <c r="BK17" s="38">
        <f>VLOOKUP(B17,배점표!H972:I987,2)</f>
        <v>100</v>
      </c>
    </row>
    <row r="18" spans="1:69">
      <c r="A18" s="25" t="s">
        <v>397</v>
      </c>
      <c r="B18" s="59">
        <f>INDEX(개인별실기남자,MATCH(A18,'개인실기(남)'!$A$4:$A$70,0),MATCH($B$4,'개인실기(남)'!$B$3:$CL$3,0))</f>
        <v>7.01</v>
      </c>
      <c r="U18" s="121">
        <f>IF(((B18-9.9)*(100-50)/(7.19-9.9)+50)&gt;100,100,((B18-9.9)*(100-50)/(7.19-9.9)+50))</f>
        <v>100</v>
      </c>
      <c r="V18" s="146"/>
    </row>
    <row r="19" spans="1:69">
      <c r="A19" s="25" t="s">
        <v>430</v>
      </c>
      <c r="B19" s="59">
        <f>INDEX(개인별실기남자,MATCH(A19,'개인실기(남)'!$A$4:$A$70,0),MATCH($B$4,'개인실기(남)'!$B$3:$CL$3,0))</f>
        <v>13.45</v>
      </c>
      <c r="C19" s="97"/>
      <c r="BN19" s="38">
        <f>VLOOKUP(B19,배점표!D1017:E1025,2)</f>
        <v>170</v>
      </c>
    </row>
    <row r="20" spans="1:69">
      <c r="A20" s="25" t="s">
        <v>170</v>
      </c>
      <c r="B20" s="59">
        <f>INDEX(개인별실기남자,MATCH(A20,'개인실기(남)'!$A$4:$A$70,0),MATCH($B$4,'개인실기(남)'!$B$3:$CL$3,0))</f>
        <v>11.66</v>
      </c>
      <c r="AK20" s="36">
        <f>VLOOKUP(B20,배점표!D619:E649,2)</f>
        <v>200</v>
      </c>
    </row>
    <row r="21" spans="1:69">
      <c r="A21" s="25" t="s">
        <v>145</v>
      </c>
      <c r="B21" s="59">
        <f>INDEX(개인별실기남자,MATCH(A21,'개인실기(남)'!$A$4:$A$70,0),MATCH($B$4,'개인실기(남)'!$B$3:$CL$3,0))</f>
        <v>32.5</v>
      </c>
      <c r="AT21" s="105">
        <f>VLOOKUP(B21,배점표!B806:C815,2)</f>
        <v>380</v>
      </c>
      <c r="AU21" s="105">
        <f>VLOOKUP(B21,배점표!B818:C822,2)</f>
        <v>410</v>
      </c>
      <c r="AV21" s="97"/>
      <c r="AX21" s="152"/>
      <c r="AY21" s="97"/>
      <c r="AZ21" s="97"/>
      <c r="BA21" s="97"/>
      <c r="BB21" s="97"/>
      <c r="BC21" s="97"/>
      <c r="BD21" s="97"/>
      <c r="BE21" s="97"/>
    </row>
    <row r="22" spans="1:69">
      <c r="A22" s="25" t="s">
        <v>574</v>
      </c>
      <c r="B22" s="59">
        <f>INDEX(개인별실기남자,MATCH(A22,'개인실기(남)'!$A$4:$A$70,0),MATCH($B$4,'개인실기(남)'!$B$3:$CL$3,0))</f>
        <v>8</v>
      </c>
      <c r="G22" s="70"/>
      <c r="K22" s="70">
        <f>VLOOKUP(B22,배점표!F159:G178,2)</f>
        <v>100</v>
      </c>
      <c r="AI22" s="31">
        <f>VLOOKUP(B22,배점표!D584:E602,2)</f>
        <v>120</v>
      </c>
      <c r="BK22" s="380"/>
      <c r="BL22" s="97"/>
      <c r="BQ22" s="380"/>
    </row>
    <row r="23" spans="1:69">
      <c r="A23" s="25" t="s">
        <v>572</v>
      </c>
      <c r="B23" s="59">
        <f>INDEX(개인별실기남자,MATCH(A23,'개인실기(남)'!$A$4:$A$70,0),MATCH($B$4,'개인실기(남)'!$B$3:$CL$3,0))</f>
        <v>8</v>
      </c>
      <c r="C23" s="31">
        <f>VLOOKUP(B23,배점표!B3:C23,2)</f>
        <v>100</v>
      </c>
      <c r="D23" s="31">
        <f>VLOOKUP(B23,배점표!H27:I38,2)</f>
        <v>100</v>
      </c>
      <c r="E23" s="31">
        <f>VLOOKUP(B23,배점표!F41:G54,2)</f>
        <v>133</v>
      </c>
      <c r="F23" s="38">
        <f>VLOOKUP(B23,배점표!F56:G69,2)</f>
        <v>133</v>
      </c>
      <c r="G23" s="387">
        <f>VLOOKUP(B23,배점표!B74:C101,2)</f>
        <v>216</v>
      </c>
      <c r="K23" s="97"/>
      <c r="L23" s="84">
        <f>VLOOKUP(B23,배점표!D182:E206,2)</f>
        <v>25</v>
      </c>
      <c r="M23" s="97"/>
      <c r="N23" s="97"/>
      <c r="O23" s="97"/>
      <c r="P23" s="97"/>
      <c r="Q23" s="97"/>
      <c r="R23" s="97"/>
      <c r="S23" s="97"/>
      <c r="T23" s="90">
        <f>VLOOKUP(B23,배점표!D292:E302,2)</f>
        <v>260</v>
      </c>
      <c r="V23" s="147">
        <f>VLOOKUP(B23,배점표!D349:E364,2)</f>
        <v>450</v>
      </c>
      <c r="W23" s="38">
        <f>VLOOKUP(B23,배점표!F368:G382,2)</f>
        <v>25</v>
      </c>
      <c r="X23" s="38">
        <f>VLOOKUP(B23,배점표!F368:G382,2)</f>
        <v>25</v>
      </c>
      <c r="AB23" s="38">
        <f>VLOOKUP(B23,배점표!H434:I444,2)</f>
        <v>100</v>
      </c>
      <c r="AC23" s="380"/>
      <c r="AD23" s="36">
        <f>VLOOKUP(B23,배점표!F500:G526,2)</f>
        <v>100</v>
      </c>
      <c r="AE23" s="36">
        <f>VLOOKUP(B23,배점표!F530:G554,2)</f>
        <v>100</v>
      </c>
      <c r="AF23" s="36">
        <f>VLOOKUP(B23,배점표!F530:G554,2)</f>
        <v>100</v>
      </c>
      <c r="AZ23" s="154">
        <f>VLOOKUP(B23,배점표!B885:C893,2)</f>
        <v>230</v>
      </c>
      <c r="BA23" s="154">
        <f>VLOOKUP(B23,배점표!B885:C893,2)</f>
        <v>230</v>
      </c>
      <c r="BB23" s="154">
        <f>VLOOKUP(B23,배점표!B896:C904,2)</f>
        <v>230</v>
      </c>
      <c r="BF23" s="38">
        <f>VLOOKUP(B23,배점표!D951:E961,2)</f>
        <v>38</v>
      </c>
      <c r="BG23" s="38">
        <f>VLOOKUP(B23,배점표!D951:E961,2)</f>
        <v>38</v>
      </c>
      <c r="BH23" s="38">
        <f>VLOOKUP(B23,배점표!D951:E961,2)</f>
        <v>38</v>
      </c>
      <c r="BI23" s="38">
        <f>VLOOKUP(B23,배점표!D951:E961,2)</f>
        <v>38</v>
      </c>
      <c r="BJ23" s="38">
        <f>VLOOKUP(B23,배점표!D951:E961,2)</f>
        <v>38</v>
      </c>
      <c r="BL23" s="38">
        <f>VLOOKUP(B23,배점표!D990:E1000,2)</f>
        <v>100</v>
      </c>
      <c r="BN23" s="38">
        <f>VLOOKUP(B23,배점표!B1017:C1025,2)</f>
        <v>160</v>
      </c>
      <c r="BQ23" s="376">
        <f>VLOOKUP(B23,배점표!F1087:G1101,2)</f>
        <v>100</v>
      </c>
    </row>
    <row r="24" spans="1:69">
      <c r="A24" s="25" t="s">
        <v>567</v>
      </c>
      <c r="B24" s="59">
        <f>INDEX(개인별실기남자,MATCH(A24,'개인실기(남)'!$A$4:$A$70,0),MATCH($B$4,'개인실기(남)'!$B$3:$CL$3,0))</f>
        <v>13.99</v>
      </c>
      <c r="G24" s="97"/>
      <c r="H24" s="36">
        <f>VLOOKUP(B24,배점표!B104:C124,2)</f>
        <v>95</v>
      </c>
      <c r="I24" s="67"/>
      <c r="J24" s="67"/>
      <c r="K24" s="33"/>
      <c r="R24" s="143">
        <f>VLOOKUP(B24,배점표!D275:E289,2)</f>
        <v>285</v>
      </c>
      <c r="S24" s="143">
        <f>VLOOKUP(B24,배점표!D275:E289,2)</f>
        <v>285</v>
      </c>
      <c r="AJ24" s="46">
        <f>VLOOKUP(B24,배점표!B605:C615,2)</f>
        <v>270</v>
      </c>
    </row>
    <row r="25" spans="1:69">
      <c r="A25" s="25" t="s">
        <v>561</v>
      </c>
      <c r="B25" s="59">
        <f>INDEX(개인별실기남자,MATCH(A25,'개인실기(남)'!$A$4:$A$70,0),MATCH($B$4,'개인실기(남)'!$B$3:$CL$3,0))</f>
        <v>13.65</v>
      </c>
      <c r="I25" s="158">
        <f>VLOOKUP(B25,배점표!F143:G156,2)</f>
        <v>100</v>
      </c>
      <c r="J25" s="158">
        <f>VLOOKUP(B25,배점표!D127:E140,2)</f>
        <v>100</v>
      </c>
      <c r="M25" s="143">
        <f>VLOOKUP(B25,배점표!D209:E229,2)</f>
        <v>100</v>
      </c>
      <c r="N25" s="143">
        <f>VLOOKUP(B25,배점표!D209:E229,2)</f>
        <v>100</v>
      </c>
      <c r="O25" s="143"/>
      <c r="P25" s="387">
        <f>VLOOKUP(B25,배점표!H247:I272,2)</f>
        <v>100</v>
      </c>
      <c r="Q25" s="70">
        <f>VLOOKUP(B25,배점표!H247:I272,2)</f>
        <v>100</v>
      </c>
      <c r="AG25" s="38">
        <f>VLOOKUP('실기환산(남)'!B25,배점표!B556:C581,2)</f>
        <v>100</v>
      </c>
      <c r="AH25" s="38">
        <f>VLOOKUP('실기환산(남)'!B25,배점표!B556:C581,2)</f>
        <v>100</v>
      </c>
      <c r="AL25" s="31">
        <f>VLOOKUP(B25,배점표!B677:C689,2)</f>
        <v>190</v>
      </c>
      <c r="AM25" s="31">
        <f>VLOOKUP(B25,배점표!B693:C705,2)</f>
        <v>190</v>
      </c>
      <c r="AO25" s="97"/>
      <c r="AP25" s="97"/>
      <c r="BM25" s="31">
        <f>VLOOKUP(B25,배점표!B1004:C1014,2)</f>
        <v>300</v>
      </c>
    </row>
    <row r="26" spans="1:69">
      <c r="A26" s="25" t="s">
        <v>174</v>
      </c>
      <c r="B26" s="59">
        <f>INDEX(개인별실기남자,MATCH(A26,'개인실기(남)'!$A$4:$A$70,0),MATCH($B$4,'개인실기(남)'!$B$3:$CL$3,0))</f>
        <v>14.45</v>
      </c>
      <c r="L26" s="67"/>
      <c r="M26" s="67"/>
      <c r="N26" s="67"/>
      <c r="O26" s="67"/>
      <c r="P26" s="387"/>
      <c r="Q26" s="387"/>
      <c r="R26" s="67"/>
      <c r="S26" s="67"/>
      <c r="Z26" s="36">
        <f>VLOOKUP(B26,배점표!F398:G412,2)</f>
        <v>100</v>
      </c>
      <c r="AO26" s="31"/>
      <c r="AP26" s="31"/>
      <c r="AY26" s="152">
        <f>VLOOKUP(B26,배점표!B858:C865,2)</f>
        <v>100</v>
      </c>
      <c r="AZ26" s="97"/>
      <c r="BA26" s="97"/>
      <c r="BB26" s="97"/>
      <c r="BC26" s="97"/>
      <c r="BD26" s="31">
        <f>VLOOKUP(B26,배점표!B922:C947,2)</f>
        <v>150</v>
      </c>
      <c r="BE26" s="31">
        <f>VLOOKUP(B26,배점표!B922:C947,2)</f>
        <v>150</v>
      </c>
      <c r="BO26" s="33">
        <f>VLOOKUP(B26,배점표!H1027:I1053,2)</f>
        <v>100</v>
      </c>
    </row>
    <row r="27" spans="1:69">
      <c r="A27" s="25" t="s">
        <v>175</v>
      </c>
      <c r="B27" s="59">
        <f>INDEX(개인별실기남자,MATCH(A27,'개인실기(남)'!$A$4:$A$70,0),MATCH($B$4,'개인실기(남)'!$B$3:$CL$3,0))</f>
        <v>16.89</v>
      </c>
      <c r="AV27" s="150">
        <f>VLOOKUP(B27,배점표!B825:C845,2)</f>
        <v>100</v>
      </c>
      <c r="AW27" s="70"/>
    </row>
    <row r="28" spans="1:69">
      <c r="A28" s="25" t="s">
        <v>590</v>
      </c>
      <c r="B28" s="59">
        <f>INDEX(개인별실기남자,MATCH(A28,'개인실기(남)'!$A$4:$A$70,0),MATCH($B$4,'개인실기(남)'!$B$3:$CL$3,0))</f>
        <v>37</v>
      </c>
      <c r="BP28" s="36">
        <f>VLOOKUP(B28,배점표!H1064:I1083,2)</f>
        <v>100</v>
      </c>
    </row>
    <row r="29" spans="1:69">
      <c r="A29" s="25" t="s">
        <v>298</v>
      </c>
      <c r="B29" s="59">
        <f>INDEX(개인별실기남자,MATCH(A29,'개인실기(남)'!$A$4:$A$70,0),MATCH($B$4,'개인실기(남)'!$B$3:$CL$3,0))</f>
        <v>6.22</v>
      </c>
      <c r="AA29" s="76">
        <f>VLOOKUP(B29,배점표!F417:G431,2)</f>
        <v>100</v>
      </c>
    </row>
    <row r="30" spans="1:69">
      <c r="A30" s="25" t="s">
        <v>273</v>
      </c>
      <c r="B30" s="59">
        <f>INDEX(개인별실기남자,MATCH(A30,'개인실기(남)'!$A$4:$A$70,0),MATCH($B$4,'개인실기(남)'!$B$3:$CL$3,0))</f>
        <v>9.58</v>
      </c>
      <c r="AI30" s="31">
        <f>VLOOKUP(B30,배점표!B584:C602,2)</f>
        <v>120</v>
      </c>
    </row>
    <row r="31" spans="1:69">
      <c r="A31" s="25" t="s">
        <v>295</v>
      </c>
      <c r="B31" s="59">
        <f>INDEX(개인별실기남자,MATCH(A31,'개인실기(남)'!$A$4:$A$70,0),MATCH($B$4,'개인실기(남)'!$B$3:$CL$3,0))</f>
        <v>11.04</v>
      </c>
      <c r="AX31" s="152">
        <f>VLOOKUP(B31,배점표!B848:C855,2)</f>
        <v>100</v>
      </c>
      <c r="BK31" s="38">
        <f>VLOOKUP(B31,배점표!D964:E987,2)</f>
        <v>100</v>
      </c>
    </row>
    <row r="32" spans="1:69">
      <c r="A32" s="25" t="s">
        <v>552</v>
      </c>
      <c r="B32" s="59">
        <f>INDEX(개인별실기남자,MATCH(A32,'개인실기(남)'!$A$4:$A$70,0),MATCH($B$4,'개인실기(남)'!$B$3:$CL$3,0))</f>
        <v>8.0500000000000007</v>
      </c>
      <c r="BP32" s="36">
        <f>VLOOKUP(B32,배점표!F1064:G1083,2)</f>
        <v>100</v>
      </c>
    </row>
    <row r="33" spans="1:65">
      <c r="A33" s="25" t="s">
        <v>582</v>
      </c>
      <c r="B33" s="59">
        <f>INDEX(개인별실기남자,MATCH(A33,'개인실기(남)'!$A$4:$A$70,0),MATCH($B$4,'개인실기(남)'!$B$3:$CL$3,0))</f>
        <v>19.5</v>
      </c>
      <c r="AQ33" s="61">
        <f>VLOOKUP(B33,배점표!E769:F779,2)</f>
        <v>175</v>
      </c>
      <c r="AR33" s="61">
        <f>VLOOKUP(B33,배점표!B745:C756,2)</f>
        <v>165</v>
      </c>
      <c r="AS33" s="61">
        <f>VLOOKUP(B33,배점표!B783:C803,2)</f>
        <v>175</v>
      </c>
    </row>
    <row r="34" spans="1:65">
      <c r="A34" s="25" t="s">
        <v>463</v>
      </c>
      <c r="B34" s="59">
        <f>INDEX(개인별실기남자,MATCH(A34,'개인실기(남)'!$A$4:$A$70,0),MATCH($B$4,'개인실기(남)'!$B$3:$CL$3,0))</f>
        <v>25</v>
      </c>
      <c r="AW34" s="70">
        <f>VLOOKUP(B34,배점표!H868:I882,2)</f>
        <v>60</v>
      </c>
    </row>
    <row r="35" spans="1:65">
      <c r="A35" s="25" t="s">
        <v>515</v>
      </c>
      <c r="B35" s="59">
        <f>INDEX(개인별실기남자,MATCH(A35,'개인실기(남)'!$A$4:$A$70,0),MATCH($B$4,'개인실기(남)'!$B$3:$CL$3,0))</f>
        <v>34</v>
      </c>
      <c r="M35" s="457"/>
      <c r="N35" s="457"/>
      <c r="O35" s="36">
        <f>VLOOKUP(B35,배점표!F233:G241,2)</f>
        <v>100</v>
      </c>
      <c r="T35" s="90">
        <f>VLOOKUP(B35,배점표!B292:C302,2)</f>
        <v>270</v>
      </c>
      <c r="U35" s="121">
        <f>IF(((B35-11.9)*(100-50)/(30-11.9)+50)&gt;100,100,((B35-11.9)*(100-50)/(30-11.9)+50))</f>
        <v>100</v>
      </c>
      <c r="V35" s="146"/>
      <c r="Y35" s="31">
        <f>VLOOKUP(B35,배점표!D385:E395,2)</f>
        <v>100</v>
      </c>
      <c r="Z35" s="31"/>
      <c r="AA35" s="37">
        <f>VLOOKUP(B35,배점표!D417:E431,2)</f>
        <v>95</v>
      </c>
      <c r="AC35" s="38">
        <f>VLOOKUP(B35,배점표!B447:C466,2)</f>
        <v>100</v>
      </c>
      <c r="AD35" s="36">
        <f>VLOOKUP(B35,배점표!B500:C526,2)</f>
        <v>100</v>
      </c>
      <c r="AE35" s="36">
        <f>VLOOKUP(B35,배점표!B530:C554,2)</f>
        <v>100</v>
      </c>
      <c r="AF35" s="36">
        <f>VLOOKUP(B35,배점표!B530:C554,2)</f>
        <v>100</v>
      </c>
      <c r="AT35" s="105">
        <f>VLOOKUP(B35,배점표!F806:G815,2)</f>
        <v>300</v>
      </c>
      <c r="AZ35" s="154"/>
      <c r="BA35" s="154"/>
      <c r="BB35" s="154"/>
      <c r="BC35" s="143">
        <f>VLOOKUP(B35,배점표!F907:G918,2)</f>
        <v>100</v>
      </c>
    </row>
    <row r="36" spans="1:65">
      <c r="A36" s="25" t="s">
        <v>449</v>
      </c>
      <c r="B36" s="59">
        <f>INDEX(개인별실기남자,MATCH(A36,'개인실기(남)'!$A$4:$A$70,0),MATCH($B$4,'개인실기(남)'!$B$3:$CL$3,0))</f>
        <v>34</v>
      </c>
      <c r="C36" s="97"/>
      <c r="W36" s="38"/>
      <c r="X36" s="38"/>
      <c r="Y36" s="31"/>
      <c r="Z36" s="31"/>
      <c r="AB36" s="38"/>
      <c r="AC36" s="380"/>
      <c r="AI36" s="31">
        <f>VLOOKUP(B36,배점표!H584:I602,2)</f>
        <v>120</v>
      </c>
      <c r="BM36" s="31"/>
    </row>
    <row r="37" spans="1:65">
      <c r="A37" s="25" t="s">
        <v>335</v>
      </c>
      <c r="B37" s="59">
        <f>INDEX(개인별실기남자,MATCH(A37,'개인실기(남)'!$A$4:$A$70,0),MATCH($B$4,'개인실기(남)'!$B$3:$CL$3,0))</f>
        <v>64</v>
      </c>
      <c r="E37" s="31"/>
      <c r="F37" s="97"/>
      <c r="Y37" s="31">
        <f>VLOOKUP(B37,배점표!F385:G395,2)</f>
        <v>100</v>
      </c>
      <c r="Z37" s="31"/>
    </row>
    <row r="38" spans="1:65">
      <c r="A38" s="25" t="s">
        <v>98</v>
      </c>
      <c r="B38" s="59">
        <f>INDEX(개인별실기남자,MATCH(A38,'개인실기(남)'!$A$4:$A$70,0),MATCH($B$4,'개인실기(남)'!$B$3:$CL$3,0))</f>
        <v>40</v>
      </c>
      <c r="BJ38" s="38">
        <f>VLOOKUP(B38,배점표!H951:I961,2)</f>
        <v>38</v>
      </c>
    </row>
    <row r="39" spans="1:65">
      <c r="A39" s="25" t="s">
        <v>287</v>
      </c>
      <c r="B39" s="59">
        <f>INDEX(개인별실기남자,MATCH(A39,'개인실기(남)'!$A$4:$A$70,0),MATCH($B$4,'개인실기(남)'!$B$3:$CL$3,0))</f>
        <v>32</v>
      </c>
      <c r="D39" s="31">
        <f>VLOOKUP(B39,배점표!B27:C38,2)</f>
        <v>100</v>
      </c>
    </row>
    <row r="40" spans="1:65">
      <c r="A40" s="25" t="s">
        <v>319</v>
      </c>
      <c r="B40" s="59">
        <f>INDEX(개인별실기남자,MATCH(A40,'개인실기(남)'!$A$4:$A$70,0),MATCH($B$4,'개인실기(남)'!$B$3:$CL$3,0))</f>
        <v>15</v>
      </c>
      <c r="AW40" s="70">
        <f>VLOOKUP(B40,배점표!F868:G882,2)</f>
        <v>80</v>
      </c>
    </row>
    <row r="41" spans="1:65">
      <c r="A41" s="104" t="s">
        <v>288</v>
      </c>
      <c r="B41" s="59">
        <f>INDEX(개인별실기남자,MATCH(A41,'개인실기(남)'!$A$4:$A$70,0),MATCH($B$4,'개인실기(남)'!$B$3:$CL$3,0))</f>
        <v>44</v>
      </c>
      <c r="AU41" s="105">
        <f>VLOOKUP(B41,배점표!D818:E822,2)</f>
        <v>500</v>
      </c>
      <c r="AV41" s="97"/>
    </row>
    <row r="42" spans="1:65">
      <c r="A42" s="375" t="s">
        <v>496</v>
      </c>
      <c r="B42" s="59">
        <f>INDEX(개인별실기남자,MATCH(A42,'개인실기(남)'!$A$4:$A$70,0),MATCH($B$4,'개인실기(남)'!$B$3:$CL$3,0))</f>
        <v>51</v>
      </c>
      <c r="AD42" s="36"/>
      <c r="BL42" s="38"/>
    </row>
    <row r="43" spans="1:65">
      <c r="A43" s="375" t="s">
        <v>3</v>
      </c>
      <c r="B43" s="59">
        <f>INDEX(개인별실기남자,MATCH(A43,'개인실기(남)'!$A$4:$A$70,0),MATCH($B$4,'개인실기(남)'!$B$3:$CL$3,0))</f>
        <v>25</v>
      </c>
      <c r="O43" s="36">
        <f>VLOOKUP(B43,배점표!H233:I241,2)</f>
        <v>84</v>
      </c>
    </row>
    <row r="44" spans="1:65">
      <c r="A44" s="375" t="s">
        <v>49</v>
      </c>
      <c r="B44" s="59">
        <f>INDEX(개인별실기남자,MATCH(A44,'개인실기(남)'!$A$4:$A$70,0),MATCH($B$4,'개인실기(남)'!$B$3:$CL$3,0))</f>
        <v>10.49</v>
      </c>
      <c r="O44" s="36">
        <f>VLOOKUP(B44,배점표!B233:C241,2)</f>
        <v>76</v>
      </c>
    </row>
    <row r="45" spans="1:65">
      <c r="A45" s="375" t="s">
        <v>589</v>
      </c>
      <c r="B45" s="59">
        <f>INDEX(개인별실기남자,MATCH(A45,'개인실기(남)'!$A$4:$A$70,0),MATCH($B$4,'개인실기(남)'!$B$3:$CL$3,0))</f>
        <v>29</v>
      </c>
      <c r="H45" s="388">
        <f>VLOOKUP(B45,배점표!D104:E124,2)</f>
        <v>75</v>
      </c>
    </row>
    <row r="46" spans="1:65">
      <c r="A46" s="397" t="s">
        <v>675</v>
      </c>
      <c r="B46" s="59">
        <f>INDEX(개인별실기남자,MATCH(A46,'개인실기(남)'!$A$4:$A$70,0),MATCH($B$4,'개인실기(남)'!$B$3:$CL$3,0))</f>
        <v>25</v>
      </c>
      <c r="AN46" s="31">
        <f>VLOOKUP(B46,배점표!D661:E673,2)</f>
        <v>180</v>
      </c>
    </row>
  </sheetData>
  <mergeCells count="2">
    <mergeCell ref="A2:B2"/>
    <mergeCell ref="A3:B3"/>
  </mergeCells>
  <phoneticPr fontId="81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>
    <tabColor rgb="FFFFFF00"/>
  </sheetPr>
  <dimension ref="A1:BW47"/>
  <sheetViews>
    <sheetView zoomScale="96" zoomScaleNormal="96" zoomScaleSheetLayoutView="75" workbookViewId="0">
      <pane xSplit="2" topLeftCell="BB1" activePane="topRight" state="frozen"/>
      <selection pane="topRight" activeCell="BL13" sqref="BL13"/>
    </sheetView>
  </sheetViews>
  <sheetFormatPr defaultColWidth="8.75" defaultRowHeight="16.5"/>
  <cols>
    <col min="1" max="1" width="24.25" style="25" customWidth="1"/>
    <col min="2" max="2" width="12.5" style="25" customWidth="1"/>
    <col min="3" max="3" width="8.375" style="25" customWidth="1"/>
    <col min="4" max="4" width="8.75" style="14" bestFit="1" customWidth="1"/>
    <col min="5" max="5" width="8.75" style="14" customWidth="1"/>
    <col min="6" max="6" width="8.75" style="14" bestFit="1" customWidth="1"/>
    <col min="7" max="7" width="8.375" style="14" customWidth="1"/>
    <col min="8" max="8" width="8.375" style="25" customWidth="1"/>
    <col min="9" max="10" width="8.375" style="6" customWidth="1"/>
    <col min="11" max="11" width="8.375" style="14" customWidth="1"/>
    <col min="12" max="12" width="8.375" style="25" customWidth="1"/>
    <col min="13" max="14" width="8.375" style="14" customWidth="1"/>
    <col min="15" max="15" width="8.375" style="292" customWidth="1"/>
    <col min="16" max="17" width="8.375" style="6" customWidth="1"/>
    <col min="18" max="19" width="8.375" style="14" customWidth="1"/>
    <col min="20" max="20" width="8.75" style="11" bestFit="1" customWidth="1"/>
    <col min="21" max="21" width="8.375" style="25" customWidth="1"/>
    <col min="22" max="23" width="8.375" style="14" customWidth="1"/>
    <col min="24" max="25" width="8.75" style="23" bestFit="1" customWidth="1"/>
    <col min="26" max="26" width="12" style="6" bestFit="1" customWidth="1"/>
    <col min="27" max="27" width="12" style="292" customWidth="1"/>
    <col min="28" max="28" width="12" style="14" bestFit="1" customWidth="1"/>
    <col min="29" max="29" width="8.75" style="6" bestFit="1" customWidth="1"/>
    <col min="30" max="30" width="8.75" style="292" customWidth="1"/>
    <col min="31" max="31" width="11" style="25" bestFit="1" customWidth="1"/>
    <col min="32" max="32" width="12" style="25" bestFit="1" customWidth="1"/>
    <col min="33" max="33" width="8.75" style="25" customWidth="1"/>
    <col min="34" max="34" width="8.75" style="6" customWidth="1"/>
    <col min="35" max="35" width="8.75" style="14" bestFit="1" customWidth="1"/>
    <col min="36" max="36" width="8.75" style="6" customWidth="1"/>
    <col min="37" max="37" width="8.75" style="13" bestFit="1" customWidth="1"/>
    <col min="38" max="38" width="8.75" style="11" bestFit="1" customWidth="1"/>
    <col min="39" max="39" width="8.75" style="21" bestFit="1" customWidth="1"/>
    <col min="40" max="43" width="8.75" style="14" customWidth="1"/>
    <col min="44" max="44" width="8.75" style="10" customWidth="1"/>
    <col min="45" max="45" width="8.75" style="6" customWidth="1"/>
    <col min="46" max="47" width="8.75" style="25" bestFit="1" customWidth="1"/>
    <col min="48" max="48" width="8.75" style="292" customWidth="1"/>
    <col min="49" max="50" width="8.75" style="13" bestFit="1" customWidth="1"/>
    <col min="51" max="51" width="8.75" style="13" customWidth="1"/>
    <col min="52" max="52" width="8.75" style="13" bestFit="1" customWidth="1"/>
    <col min="53" max="53" width="8.75" style="14" bestFit="1" customWidth="1"/>
    <col min="54" max="59" width="8.75" style="14" customWidth="1"/>
    <col min="60" max="60" width="8.75" style="292" customWidth="1"/>
    <col min="61" max="61" width="11" style="20" bestFit="1" customWidth="1"/>
    <col min="62" max="62" width="11" style="14" customWidth="1"/>
    <col min="63" max="64" width="11" style="20" bestFit="1" customWidth="1"/>
    <col min="65" max="66" width="8.75" style="20" customWidth="1"/>
    <col min="67" max="67" width="8.75" style="13" customWidth="1"/>
    <col min="68" max="69" width="8.75" style="13" bestFit="1" customWidth="1"/>
    <col min="70" max="70" width="11" style="14" bestFit="1" customWidth="1"/>
    <col min="71" max="71" width="8.75" style="13" bestFit="1" customWidth="1"/>
    <col min="72" max="72" width="12" style="25" bestFit="1" customWidth="1"/>
    <col min="74" max="74" width="8.75" style="13" bestFit="1" customWidth="1"/>
    <col min="75" max="75" width="8.75" style="13" customWidth="1"/>
  </cols>
  <sheetData>
    <row r="1" spans="1:72" ht="58.15" customHeight="1">
      <c r="B1" s="25" t="s">
        <v>447</v>
      </c>
      <c r="C1" s="41" t="s">
        <v>465</v>
      </c>
      <c r="D1" s="65" t="s">
        <v>152</v>
      </c>
      <c r="E1" s="75" t="s">
        <v>172</v>
      </c>
      <c r="F1" s="80" t="s">
        <v>194</v>
      </c>
      <c r="G1" s="44" t="s">
        <v>384</v>
      </c>
      <c r="H1" s="43" t="s">
        <v>610</v>
      </c>
      <c r="I1" s="296" t="s">
        <v>190</v>
      </c>
      <c r="J1" s="44" t="s">
        <v>259</v>
      </c>
      <c r="K1" s="43" t="s">
        <v>475</v>
      </c>
      <c r="L1" s="49" t="s">
        <v>271</v>
      </c>
      <c r="M1" s="139" t="s">
        <v>74</v>
      </c>
      <c r="N1" s="139" t="s">
        <v>364</v>
      </c>
      <c r="O1" s="382" t="s">
        <v>22</v>
      </c>
      <c r="P1" s="304" t="s">
        <v>125</v>
      </c>
      <c r="Q1" s="304" t="s">
        <v>365</v>
      </c>
      <c r="R1" s="49" t="s">
        <v>490</v>
      </c>
      <c r="S1" s="49" t="s">
        <v>490</v>
      </c>
      <c r="T1" s="89" t="s">
        <v>193</v>
      </c>
      <c r="U1" s="44" t="s">
        <v>289</v>
      </c>
      <c r="V1" s="51" t="s">
        <v>267</v>
      </c>
      <c r="W1" s="51" t="s">
        <v>491</v>
      </c>
      <c r="X1" s="40" t="s">
        <v>303</v>
      </c>
      <c r="Y1" s="40" t="s">
        <v>300</v>
      </c>
      <c r="Z1" s="41" t="s">
        <v>487</v>
      </c>
      <c r="AA1" s="382" t="s">
        <v>52</v>
      </c>
      <c r="AB1" s="60" t="s">
        <v>81</v>
      </c>
      <c r="AC1" s="42" t="s">
        <v>469</v>
      </c>
      <c r="AD1" s="386" t="s">
        <v>518</v>
      </c>
      <c r="AE1" s="52" t="s">
        <v>283</v>
      </c>
      <c r="AF1" s="53" t="s">
        <v>327</v>
      </c>
      <c r="AG1" s="53" t="s">
        <v>392</v>
      </c>
      <c r="AH1" s="53" t="s">
        <v>37</v>
      </c>
      <c r="AI1" s="38" t="s">
        <v>466</v>
      </c>
      <c r="AJ1" s="297" t="s">
        <v>103</v>
      </c>
      <c r="AK1" s="42" t="s">
        <v>268</v>
      </c>
      <c r="AL1" s="47" t="s">
        <v>488</v>
      </c>
      <c r="AM1" s="43" t="s">
        <v>222</v>
      </c>
      <c r="AN1" s="140" t="s">
        <v>110</v>
      </c>
      <c r="AO1" s="75" t="s">
        <v>182</v>
      </c>
      <c r="AP1" s="75" t="s">
        <v>672</v>
      </c>
      <c r="AQ1" s="75" t="s">
        <v>142</v>
      </c>
      <c r="AR1" s="75" t="s">
        <v>347</v>
      </c>
      <c r="AS1" s="75" t="s">
        <v>679</v>
      </c>
      <c r="AT1" s="47" t="s">
        <v>168</v>
      </c>
      <c r="AU1" s="47" t="s">
        <v>339</v>
      </c>
      <c r="AV1" s="385" t="s">
        <v>20</v>
      </c>
      <c r="AW1" s="107" t="s">
        <v>376</v>
      </c>
      <c r="AX1" s="107" t="s">
        <v>188</v>
      </c>
      <c r="AY1" s="107" t="s">
        <v>413</v>
      </c>
      <c r="AZ1" s="314" t="s">
        <v>198</v>
      </c>
      <c r="BA1" s="167" t="s">
        <v>177</v>
      </c>
      <c r="BB1" s="167" t="s">
        <v>342</v>
      </c>
      <c r="BC1" s="473" t="s">
        <v>682</v>
      </c>
      <c r="BD1" s="168" t="s">
        <v>369</v>
      </c>
      <c r="BE1" s="168" t="s">
        <v>221</v>
      </c>
      <c r="BF1" s="166" t="s">
        <v>502</v>
      </c>
      <c r="BG1" s="374" t="s">
        <v>140</v>
      </c>
      <c r="BH1" s="374" t="s">
        <v>386</v>
      </c>
      <c r="BI1" s="138" t="s">
        <v>158</v>
      </c>
      <c r="BJ1" s="138" t="s">
        <v>556</v>
      </c>
      <c r="BK1" s="138" t="s">
        <v>609</v>
      </c>
      <c r="BL1" s="138" t="s">
        <v>408</v>
      </c>
      <c r="BM1" s="42" t="s">
        <v>191</v>
      </c>
      <c r="BN1" s="42" t="s">
        <v>385</v>
      </c>
      <c r="BO1" s="192" t="s">
        <v>371</v>
      </c>
      <c r="BP1" s="53" t="s">
        <v>291</v>
      </c>
      <c r="BQ1" s="57" t="s">
        <v>330</v>
      </c>
      <c r="BR1" s="44" t="s">
        <v>459</v>
      </c>
      <c r="BS1" s="40" t="s">
        <v>333</v>
      </c>
      <c r="BT1" s="58" t="s">
        <v>183</v>
      </c>
    </row>
    <row r="2" spans="1:72" s="66" customFormat="1" ht="17.25">
      <c r="A2" s="538" t="s">
        <v>391</v>
      </c>
      <c r="B2" s="538"/>
      <c r="C2" s="66">
        <f>SUM(C5:C53)/4*7</f>
        <v>700</v>
      </c>
      <c r="D2" s="66">
        <f>SUM(D5:D40)</f>
        <v>300</v>
      </c>
      <c r="E2" s="66">
        <f>SUM(E5:E40)</f>
        <v>400</v>
      </c>
      <c r="F2" s="66">
        <f>SUM(F5:F40)</f>
        <v>400</v>
      </c>
      <c r="G2" s="91">
        <f>SUM(G5:G53)</f>
        <v>688</v>
      </c>
      <c r="H2" s="91">
        <f>SUM(H5:H46)/3*8</f>
        <v>720</v>
      </c>
      <c r="I2" s="91">
        <f>SUM(I5:I53)/3*0.7</f>
        <v>70</v>
      </c>
      <c r="J2" s="91">
        <f>SUM(J5:J53)*0.2</f>
        <v>60</v>
      </c>
      <c r="K2" s="91">
        <f>(LARGE(K5:K653,1)+LARGE(K5:K653,2)+LARGE(K5:K653,3))/3*8</f>
        <v>800</v>
      </c>
      <c r="L2" s="91">
        <f>SUM(L5:L40)*10</f>
        <v>900</v>
      </c>
      <c r="M2" s="66">
        <f>SUM(M5:M46)/3*7</f>
        <v>700</v>
      </c>
      <c r="N2" s="66">
        <f>SUM(N5:N46)/3*7</f>
        <v>700</v>
      </c>
      <c r="O2" s="66">
        <f>SUM(O5:O45)/3*3</f>
        <v>352</v>
      </c>
      <c r="P2" s="66">
        <f>((P26*0.4)+(P12*0.3)+(P5*0.3))*8</f>
        <v>800</v>
      </c>
      <c r="Q2" s="66">
        <f>((Q26*0.4)+(Q12*0.3)+(Q5*0.3))*8</f>
        <v>800</v>
      </c>
      <c r="R2" s="66">
        <f>SUM(R5:R40)</f>
        <v>600</v>
      </c>
      <c r="S2" s="66">
        <f>SUM(S5:S40)</f>
        <v>600</v>
      </c>
      <c r="T2" s="66">
        <f>SUM(T5:T53)</f>
        <v>800</v>
      </c>
      <c r="U2" s="81">
        <f>SUM(U5:U42)/4*7</f>
        <v>700</v>
      </c>
      <c r="V2" s="66">
        <f>VLOOKUP(V4,배점표!K321:L332,2)*6</f>
        <v>528</v>
      </c>
      <c r="W2" s="66">
        <f>SUM(W5:W40)</f>
        <v>900</v>
      </c>
      <c r="X2" s="66">
        <f>SUM(X5:X40)/3*4*4</f>
        <v>400</v>
      </c>
      <c r="Y2" s="66">
        <f>SUM(Y5:Y40)/3*4*6</f>
        <v>600</v>
      </c>
      <c r="Z2" s="66">
        <f>SUM(Z5:Z40)/3*6</f>
        <v>600</v>
      </c>
      <c r="AA2" s="66">
        <f>(AA5*0.35+AA12*0.3+AA26*0.35)/3*7</f>
        <v>226.33333333333334</v>
      </c>
      <c r="AB2" s="123">
        <f>SUM(AB5:AB40)/3*6</f>
        <v>600</v>
      </c>
      <c r="AC2" s="66">
        <f>SUM(AC5:AC40)/3*7</f>
        <v>700</v>
      </c>
      <c r="AD2" s="66">
        <f>SUM(AD5:AD40)/3*4</f>
        <v>400</v>
      </c>
      <c r="AE2" s="81">
        <f>SUM(AE5:AE40)/3*4*0.1</f>
        <v>40</v>
      </c>
      <c r="AF2" s="81">
        <f>(LARGE((AF5,AF12,AF23,AF34),1)+LARGE((AF5,AF12,AF23,AF34),2)+LARGE((AF5,AF12,AF23,AF34),3))/3*3.2+80</f>
        <v>400</v>
      </c>
      <c r="AG2" s="66">
        <f>((LARGE((AG5,AG12,AG23,AG34),1)+LARGE((AG5,AG12,AG23,AG34),2)+LARGE((AG5,AG12,AG23,AG34),3)))/3*6.4+160</f>
        <v>800</v>
      </c>
      <c r="AH2" s="66">
        <f>((LARGE((AH5,AH12,AH23,AH34),1)+LARGE((AH5,AH12,AH23,AH34),2)+LARGE((AH5,AH12,AH23,AH34),3)))/3*6.4+160</f>
        <v>800</v>
      </c>
      <c r="AI2" s="66">
        <f>SUM(AI5:AI53)/3*8</f>
        <v>800</v>
      </c>
      <c r="AJ2" s="66">
        <f>SUM(AJ5:AJ53)/3*8</f>
        <v>800</v>
      </c>
      <c r="AK2" s="66">
        <f>SUM(AK5:AK40)</f>
        <v>600</v>
      </c>
      <c r="AL2" s="66">
        <f>SUM(AL5:AL40)</f>
        <v>800</v>
      </c>
      <c r="AM2" s="66">
        <f>SUM(AM5:AM40)</f>
        <v>600</v>
      </c>
      <c r="AN2" s="66">
        <f>SUM(AN5:AN40)</f>
        <v>90</v>
      </c>
      <c r="AO2" s="81">
        <f>((SUM(AO5:AO40)/2)-80)+480</f>
        <v>600</v>
      </c>
      <c r="AP2" s="81">
        <f>((SUM(AP5:AP40)/3)-80)*7/6+560</f>
        <v>700</v>
      </c>
      <c r="AQ2" s="81">
        <f>((SUM(AQ5:AQ64)/3)-80)*7/6+560</f>
        <v>688.33333333333337</v>
      </c>
      <c r="AR2" s="91">
        <f>SUM(AR5:AR40)/2*6</f>
        <v>600</v>
      </c>
      <c r="AS2" s="91">
        <f>SUM(AS5:AS40)/2*6</f>
        <v>600</v>
      </c>
      <c r="AT2" s="66">
        <f>SUM(AT5:AT40)</f>
        <v>350</v>
      </c>
      <c r="AU2" s="66">
        <f>SUM(AU5:AU40)</f>
        <v>350</v>
      </c>
      <c r="AV2" s="66">
        <f>SUM(AV5:AV40)</f>
        <v>350</v>
      </c>
      <c r="AW2" s="66">
        <f>SUM(AW5:AW53)</f>
        <v>1000</v>
      </c>
      <c r="AX2" s="66">
        <f>SUM(AX5:AX53)</f>
        <v>1000</v>
      </c>
      <c r="AY2" s="66">
        <f>SUM(AY5:AY53)/3*7</f>
        <v>700</v>
      </c>
      <c r="AZ2" s="66">
        <f>SUM(AZ5:AZ53)</f>
        <v>200</v>
      </c>
      <c r="BA2" s="66">
        <f>SUM(BA5:BA53)</f>
        <v>300</v>
      </c>
      <c r="BB2" s="66">
        <f>SUM(BB5:BB53)</f>
        <v>300</v>
      </c>
      <c r="BC2" s="66">
        <f>SUM(BC5:BC53)+10</f>
        <v>700</v>
      </c>
      <c r="BD2" s="66">
        <f>SUM(BD5:BD53)+10</f>
        <v>700</v>
      </c>
      <c r="BE2" s="66">
        <f>SUM(BE5:BE53)+10</f>
        <v>700</v>
      </c>
      <c r="BF2" s="66">
        <f>SUM(BF5:BF53)*4</f>
        <v>800</v>
      </c>
      <c r="BG2" s="66">
        <f>SUM(BG5:BG53)</f>
        <v>400</v>
      </c>
      <c r="BH2" s="66">
        <f>SUM(BH5:BH53)/4*7</f>
        <v>700</v>
      </c>
      <c r="BI2" s="81">
        <f>SUM(BI5:BI40)/114*300</f>
        <v>300</v>
      </c>
      <c r="BJ2" s="81">
        <f>SUM(BJ5:BJ40)/114*200</f>
        <v>200</v>
      </c>
      <c r="BK2" s="81">
        <f>SUM(BK5:BK40)*200/114</f>
        <v>200</v>
      </c>
      <c r="BL2" s="81">
        <f>SUM(BL5:BL40)*300/114</f>
        <v>300</v>
      </c>
      <c r="BM2" s="81">
        <f>SUM(BM5:BM40)*300/114</f>
        <v>300</v>
      </c>
      <c r="BN2" s="81">
        <f>SUM(BN5:BN40)</f>
        <v>400</v>
      </c>
      <c r="BO2" s="66">
        <f>SUM(BO5:BO40)*3</f>
        <v>600</v>
      </c>
      <c r="BP2" s="66">
        <f>SUM(BP5:BP40)</f>
        <v>800</v>
      </c>
      <c r="BQ2" s="66">
        <f>SUM(BQ5:BQ40)</f>
        <v>500</v>
      </c>
      <c r="BR2" s="91">
        <f>SUM(BR5:BR40)*2</f>
        <v>400</v>
      </c>
      <c r="BS2" s="66">
        <f>SUM(BS5:BS40)</f>
        <v>400</v>
      </c>
      <c r="BT2" s="91">
        <f>SUM(BT5:BT40)/3*4+400</f>
        <v>800</v>
      </c>
    </row>
    <row r="3" spans="1:72" ht="17.25">
      <c r="A3" s="539" t="s">
        <v>401</v>
      </c>
      <c r="B3" s="539"/>
      <c r="C3" s="33">
        <v>700</v>
      </c>
      <c r="D3" s="451">
        <v>300</v>
      </c>
      <c r="E3" s="33">
        <v>400</v>
      </c>
      <c r="F3" s="33">
        <v>400</v>
      </c>
      <c r="G3" s="33">
        <v>700</v>
      </c>
      <c r="H3" s="33">
        <v>800</v>
      </c>
      <c r="I3" s="452">
        <v>70</v>
      </c>
      <c r="J3" s="33">
        <v>60</v>
      </c>
      <c r="K3" s="33">
        <v>800</v>
      </c>
      <c r="L3" s="33">
        <v>900</v>
      </c>
      <c r="M3" s="33">
        <v>700</v>
      </c>
      <c r="N3" s="33">
        <v>700</v>
      </c>
      <c r="O3" s="33">
        <v>300</v>
      </c>
      <c r="P3" s="33">
        <v>800</v>
      </c>
      <c r="Q3" s="33">
        <v>800</v>
      </c>
      <c r="R3" s="33">
        <v>600</v>
      </c>
      <c r="S3" s="33">
        <v>600</v>
      </c>
      <c r="T3" s="33">
        <v>800</v>
      </c>
      <c r="U3" s="33">
        <v>700</v>
      </c>
      <c r="V3" s="33">
        <v>800</v>
      </c>
      <c r="W3" s="33">
        <v>900</v>
      </c>
      <c r="X3" s="33">
        <v>400</v>
      </c>
      <c r="Y3" s="33">
        <v>600</v>
      </c>
      <c r="Z3" s="33">
        <v>600</v>
      </c>
      <c r="AA3" s="33">
        <v>700</v>
      </c>
      <c r="AB3" s="102">
        <v>600</v>
      </c>
      <c r="AC3" s="33">
        <v>700</v>
      </c>
      <c r="AD3" s="33">
        <v>400</v>
      </c>
      <c r="AE3" s="33">
        <v>40</v>
      </c>
      <c r="AF3" s="452">
        <v>400</v>
      </c>
      <c r="AG3" s="33">
        <v>800</v>
      </c>
      <c r="AH3" s="33">
        <v>800</v>
      </c>
      <c r="AI3" s="33">
        <v>800</v>
      </c>
      <c r="AJ3" s="33">
        <v>800</v>
      </c>
      <c r="AK3" s="33">
        <v>600</v>
      </c>
      <c r="AL3" s="452">
        <v>800</v>
      </c>
      <c r="AM3" s="33">
        <v>600</v>
      </c>
      <c r="AN3" s="33">
        <v>500</v>
      </c>
      <c r="AO3" s="33">
        <v>600</v>
      </c>
      <c r="AP3" s="33">
        <v>700</v>
      </c>
      <c r="AQ3" s="33">
        <v>700</v>
      </c>
      <c r="AR3" s="33">
        <v>600</v>
      </c>
      <c r="AS3" s="33">
        <v>600</v>
      </c>
      <c r="AT3" s="33">
        <v>350</v>
      </c>
      <c r="AU3" s="33">
        <v>350</v>
      </c>
      <c r="AV3" s="33">
        <v>350</v>
      </c>
      <c r="AW3" s="33">
        <v>1000</v>
      </c>
      <c r="AX3" s="33">
        <v>1000</v>
      </c>
      <c r="AY3" s="33">
        <v>700</v>
      </c>
      <c r="AZ3" s="102">
        <v>200</v>
      </c>
      <c r="BA3" s="33">
        <v>300</v>
      </c>
      <c r="BB3" s="33">
        <v>300</v>
      </c>
      <c r="BC3" s="33">
        <v>700</v>
      </c>
      <c r="BD3" s="33">
        <v>700</v>
      </c>
      <c r="BE3" s="33">
        <v>700</v>
      </c>
      <c r="BF3" s="33">
        <v>800</v>
      </c>
      <c r="BG3" s="33">
        <v>400</v>
      </c>
      <c r="BH3" s="33">
        <v>700</v>
      </c>
      <c r="BI3" s="181">
        <v>300</v>
      </c>
      <c r="BJ3" s="181">
        <v>200</v>
      </c>
      <c r="BK3" s="181">
        <v>200</v>
      </c>
      <c r="BL3" s="181">
        <v>300</v>
      </c>
      <c r="BM3" s="181">
        <v>300</v>
      </c>
      <c r="BN3" s="181">
        <v>400</v>
      </c>
      <c r="BO3" s="33">
        <v>600</v>
      </c>
      <c r="BP3" s="33">
        <v>800</v>
      </c>
      <c r="BQ3" s="33">
        <v>500</v>
      </c>
      <c r="BR3" s="33">
        <v>400</v>
      </c>
      <c r="BS3" s="33">
        <v>400</v>
      </c>
      <c r="BT3" s="33">
        <v>800</v>
      </c>
    </row>
    <row r="4" spans="1:72" ht="31.5">
      <c r="A4" s="25" t="s">
        <v>482</v>
      </c>
      <c r="B4" s="64" t="str">
        <f>'상담(여)'!E2</f>
        <v>고춘자</v>
      </c>
      <c r="V4" s="14">
        <f>SUM(V5:V40)</f>
        <v>65</v>
      </c>
    </row>
    <row r="5" spans="1:72">
      <c r="A5" s="25" t="s">
        <v>313</v>
      </c>
      <c r="B5" s="59">
        <f>INDEX(개인별실기여자,MATCH(A5,'개인실기(여)'!$A$4:$A$70,0),MATCH($B$4,'개인실기(여)'!$B$3:$CK$3,0))</f>
        <v>250</v>
      </c>
      <c r="C5" s="31">
        <f>VLOOKUP(B5,배점표!T3:U23,2)</f>
        <v>100</v>
      </c>
      <c r="D5" s="31">
        <f>VLOOKUP(B5,배점표!R27:S38,2)</f>
        <v>100</v>
      </c>
      <c r="E5" s="31">
        <f>VLOOKUP(B5,배점표!N41:O54,2)</f>
        <v>134</v>
      </c>
      <c r="F5" s="38">
        <f>VLOOKUP(B5,배점표!N56:O69,2)</f>
        <v>134</v>
      </c>
      <c r="G5" s="33">
        <f>VLOOKUP(B5,배점표!P74:Q101,2)</f>
        <v>230</v>
      </c>
      <c r="H5" s="36">
        <f>VLOOKUP(B5,배점표!R104:S124,2)</f>
        <v>100</v>
      </c>
      <c r="I5" s="33">
        <f>VLOOKUP(B5,배점표!N143:O156,2)</f>
        <v>100</v>
      </c>
      <c r="J5" s="33">
        <f>VLOOKUP(B5,배점표!N127:O140,2)</f>
        <v>100</v>
      </c>
      <c r="K5" s="36">
        <f>VLOOKUP(B5,배점표!N159:O178,2)</f>
        <v>100</v>
      </c>
      <c r="L5" s="48">
        <f>VLOOKUP(B5,배점표!N182:O206,2)</f>
        <v>35</v>
      </c>
      <c r="M5" s="48">
        <f>VLOOKUP(B5,배점표!N209:O229,2)</f>
        <v>100</v>
      </c>
      <c r="N5" s="48">
        <f>VLOOKUP(B5,배점표!N209:O229,2)</f>
        <v>100</v>
      </c>
      <c r="O5" s="48"/>
      <c r="P5" s="70">
        <f>VLOOKUP(B5,배점표!N247:O272,2)</f>
        <v>100</v>
      </c>
      <c r="Q5" s="70">
        <f>VLOOKUP(B5,배점표!N247:O272,2)</f>
        <v>100</v>
      </c>
      <c r="R5" s="48">
        <f>VLOOKUP(B5,배점표!N275:O289,2)</f>
        <v>300</v>
      </c>
      <c r="S5" s="48">
        <f>VLOOKUP(B5,배점표!N275:O289,2)</f>
        <v>300</v>
      </c>
      <c r="T5" s="90">
        <f>VLOOKUP('실기환산(여)'!B5,배점표!R292:S302,2)</f>
        <v>270</v>
      </c>
      <c r="U5" s="122">
        <f>IF(((B5-204)*50/(250-199)+50)&gt;100,100,((B5-199)*50/(250-199)+50))</f>
        <v>100</v>
      </c>
      <c r="V5" s="45">
        <f>VLOOKUP(B5,배점표!H321:I345,2)</f>
        <v>35</v>
      </c>
      <c r="W5" s="45">
        <f>VLOOKUP(B5,배점표!N349:O364,2)</f>
        <v>450</v>
      </c>
      <c r="X5" s="36">
        <f>VLOOKUP(B5,배점표!N368:O382,2)</f>
        <v>25</v>
      </c>
      <c r="Y5" s="36">
        <f>VLOOKUP(B5,배점표!N368:O382,2)</f>
        <v>25</v>
      </c>
      <c r="Z5" s="31">
        <f>VLOOKUP(B5,배점표!N385:O395,2)</f>
        <v>100</v>
      </c>
      <c r="AA5" s="36">
        <f>VLOOKUP(B5,배점표!M398:N412,2)</f>
        <v>100</v>
      </c>
      <c r="AB5" s="37">
        <f>VLOOKUP(B5,배점표!N417:O431,2)</f>
        <v>100</v>
      </c>
      <c r="AC5" s="38">
        <f>VLOOKUP(B5,배점표!P434:Q444,2)</f>
        <v>100</v>
      </c>
      <c r="AD5" s="38">
        <f>VLOOKUP(B5,배점표!O447:P466,2)</f>
        <v>100</v>
      </c>
      <c r="AE5" s="39">
        <f>VLOOKUP(B5,배점표!B471:C495,2)</f>
        <v>100</v>
      </c>
      <c r="AF5" s="37">
        <f>VLOOKUP(B5,배점표!P500:Q526,2)</f>
        <v>100</v>
      </c>
      <c r="AG5" s="37">
        <f>VLOOKUP(B5,배점표!P530:Q554,2)</f>
        <v>100</v>
      </c>
      <c r="AH5" s="37">
        <f>VLOOKUP(B5,배점표!P530:Q554,2)</f>
        <v>100</v>
      </c>
      <c r="AI5" s="38">
        <f>VLOOKUP(B5,배점표!T556:U581,2)</f>
        <v>100</v>
      </c>
      <c r="AJ5" s="38">
        <f>VLOOKUP(B5,배점표!T556:U581,2)</f>
        <v>100</v>
      </c>
      <c r="AK5" s="38">
        <f>VLOOKUP(B5,배점표!R584:S602,2)</f>
        <v>120</v>
      </c>
      <c r="AL5" s="46">
        <f>VLOOKUP(B5,배점표!R605:S615,2)</f>
        <v>260</v>
      </c>
      <c r="AM5" s="36">
        <f>VLOOKUP(B5,배점표!N619:O649,2)</f>
        <v>200</v>
      </c>
      <c r="AN5" s="97"/>
      <c r="AO5" s="31">
        <f>VLOOKUP(B5,배점표!R677:S689,2)</f>
        <v>200</v>
      </c>
      <c r="AP5" s="31">
        <f>VLOOKUP(B5,배점표!R693:S705,2)</f>
        <v>200</v>
      </c>
      <c r="AQ5" s="31">
        <f>VLOOKUP(B5,배점표!R661:S673,2)</f>
        <v>200</v>
      </c>
      <c r="AR5" s="31">
        <f>VLOOKUP(B5,배점표!P708:Q742,2)</f>
        <v>100</v>
      </c>
      <c r="AS5" s="31">
        <f>VLOOKUP(B5,배점표!P708:Q742,2)</f>
        <v>100</v>
      </c>
      <c r="AT5" s="86">
        <f>VLOOKUP(B5,배점표!O769:P779,2)</f>
        <v>175</v>
      </c>
      <c r="AU5" s="86">
        <f>VLOOKUP(B5,배점표!P745:Q756,2)</f>
        <v>175</v>
      </c>
      <c r="AV5" s="86">
        <f>VLOOKUP(B5,배점표!O783:P803,2)</f>
        <v>175</v>
      </c>
      <c r="AW5" s="105">
        <f>VLOOKUP(B5,배점표!R806:S815,2)</f>
        <v>300</v>
      </c>
      <c r="AY5" s="150">
        <f>VLOOKUP(B5,배점표!R825:S845,2)</f>
        <v>100</v>
      </c>
      <c r="AZ5" s="70">
        <f>VLOOKUP(B5,배점표!R872:S882,2)</f>
        <v>60</v>
      </c>
      <c r="BA5" s="31">
        <f>VLOOKUP(B5,배점표!R848:S855,2)</f>
        <v>100</v>
      </c>
      <c r="BB5" s="31">
        <f>VLOOKUP(B5,배점표!R858:S865,2)</f>
        <v>100</v>
      </c>
      <c r="BC5" s="97"/>
      <c r="BD5" s="97"/>
      <c r="BE5" s="97"/>
      <c r="BF5" s="143">
        <f>VLOOKUP(B5,배점표!P907:Q918,2)</f>
        <v>100</v>
      </c>
      <c r="BG5" s="31">
        <f>VLOOKUP(B5,배점표!R922:S947,2)</f>
        <v>150</v>
      </c>
      <c r="BH5" s="31">
        <f>VLOOKUP(B5,배점표!R922:S947,2)</f>
        <v>150</v>
      </c>
      <c r="BI5" s="38">
        <f>VLOOKUP(B5,배점표!N951:O961,2)</f>
        <v>38</v>
      </c>
      <c r="BJ5" s="38">
        <f>VLOOKUP(B5,배점표!N951:O961,2)</f>
        <v>38</v>
      </c>
      <c r="BK5" s="38">
        <f>VLOOKUP(B5,배점표!N951:O961,2)</f>
        <v>38</v>
      </c>
      <c r="BL5" s="38">
        <f>VLOOKUP(B5,배점표!N951:O961,2)</f>
        <v>38</v>
      </c>
      <c r="BM5" s="38"/>
      <c r="BN5" s="38">
        <f>VLOOKUP(B5,배점표!N964:O987,2)</f>
        <v>100</v>
      </c>
      <c r="BO5" s="38">
        <f>VLOOKUP(B5,배점표!N990:O1000,2)</f>
        <v>100</v>
      </c>
      <c r="BP5" s="37">
        <f>VLOOKUP(B5,배점표!R1004:S1014,2)</f>
        <v>250</v>
      </c>
      <c r="BR5" s="33">
        <f>VLOOKUP(B5,배점표!R1027:S1061,2)</f>
        <v>100</v>
      </c>
      <c r="BS5" s="36">
        <f>VLOOKUP(B5,배점표!N1064:O1083,2)</f>
        <v>100</v>
      </c>
      <c r="BT5" s="55">
        <f>VLOOKUP(B5,배점표!N1087:O1101,2)</f>
        <v>100</v>
      </c>
    </row>
    <row r="6" spans="1:72">
      <c r="A6" s="25" t="s">
        <v>402</v>
      </c>
      <c r="B6" s="59">
        <f>INDEX(개인별실기여자,MATCH(A6,'개인실기(여)'!$A$4:$A$70,0),MATCH($B$4,'개인실기(여)'!$B$3:$CK$3,0))</f>
        <v>68</v>
      </c>
      <c r="C6" s="97"/>
    </row>
    <row r="7" spans="1:72">
      <c r="A7" s="25" t="s">
        <v>400</v>
      </c>
      <c r="B7" s="59">
        <f>INDEX(개인별실기여자,MATCH(A7,'개인실기(여)'!$A$4:$A$70,0),MATCH($B$4,'개인실기(여)'!$B$3:$CK$3,0))</f>
        <v>68</v>
      </c>
      <c r="Z7" s="31"/>
      <c r="AA7" s="31"/>
      <c r="AT7" s="86"/>
      <c r="AU7" s="86"/>
      <c r="AV7" s="86"/>
      <c r="BC7" s="158">
        <f>VLOOKUP(B7,배점표!R885:S893,2)</f>
        <v>230</v>
      </c>
      <c r="BD7" s="158">
        <f>VLOOKUP(B7,배점표!R885:S893,2)</f>
        <v>230</v>
      </c>
      <c r="BE7" s="158">
        <f>VLOOKUP(B7,배점표!R896:S904,2)</f>
        <v>230</v>
      </c>
      <c r="BR7" s="70"/>
    </row>
    <row r="8" spans="1:72">
      <c r="A8" s="25" t="s">
        <v>407</v>
      </c>
      <c r="B8" s="59">
        <f>INDEX(개인별실기여자,MATCH(A8,'개인실기(여)'!$A$4:$A$70,0),MATCH($B$4,'개인실기(여)'!$B$3:$CK$3,0))</f>
        <v>40</v>
      </c>
      <c r="AL8" s="46">
        <f>VLOOKUP(B8,배점표!P605:Q615,2)</f>
        <v>270</v>
      </c>
    </row>
    <row r="9" spans="1:72">
      <c r="A9" s="25" t="s">
        <v>393</v>
      </c>
      <c r="B9" s="59">
        <f>INDEX(개인별실기여자,MATCH(A9,'개인실기(여)'!$A$4:$A$70,0),MATCH($B$4,'개인실기(여)'!$B$3:$CK$3,0))</f>
        <v>72</v>
      </c>
      <c r="E9" s="31">
        <f>VLOOKUP(B9,배점표!P41:Q54,2)</f>
        <v>133</v>
      </c>
      <c r="F9" s="38"/>
      <c r="H9" s="292"/>
      <c r="J9" s="70">
        <f>VLOOKUP(B9,배점표!R127:S140,2)</f>
        <v>100</v>
      </c>
      <c r="K9" s="36"/>
      <c r="L9" s="48">
        <f>VLOOKUP(B9,배점표!T182:U206,2)</f>
        <v>30</v>
      </c>
      <c r="M9" s="97"/>
      <c r="N9" s="97"/>
      <c r="O9" s="97"/>
      <c r="P9" s="97"/>
      <c r="Q9" s="97"/>
      <c r="R9" s="48"/>
      <c r="S9" s="48"/>
      <c r="X9" s="36">
        <f>VLOOKUP(B9,배점표!T368:U382,2)</f>
        <v>25</v>
      </c>
      <c r="Y9" s="36">
        <f>VLOOKUP(B9,배점표!T368:U382,2)</f>
        <v>25</v>
      </c>
      <c r="AC9" s="38">
        <f>VLOOKUP(B9,배점표!N434:O444,2)</f>
        <v>100</v>
      </c>
      <c r="AD9" s="38">
        <f>VLOOKUP(B9,배점표!Q447:R466,2)</f>
        <v>100</v>
      </c>
      <c r="AI9" s="38">
        <f>VLOOKUP(B9,배점표!R556:S581,2)</f>
        <v>100</v>
      </c>
      <c r="AJ9" s="38">
        <f>VLOOKUP(B9,배점표!R556:S581,2)</f>
        <v>100</v>
      </c>
      <c r="AK9" s="38">
        <f>VLOOKUP(B9,배점표!V584:W602,2)</f>
        <v>120</v>
      </c>
      <c r="AQ9" s="31"/>
      <c r="AR9" s="97"/>
      <c r="AS9" s="97"/>
      <c r="BC9" s="158">
        <f>VLOOKUP(B9,배점표!P885:Q893,2)</f>
        <v>230</v>
      </c>
      <c r="BD9" s="158">
        <f>VLOOKUP(B9,배점표!P885:Q893,2)</f>
        <v>230</v>
      </c>
      <c r="BE9" s="158">
        <f>VLOOKUP(B9,배점표!P896:Q904,2)</f>
        <v>230</v>
      </c>
      <c r="BF9" s="143"/>
      <c r="BG9" s="31">
        <f>VLOOKUP(B9,배점표!V922:W947,2)</f>
        <v>100</v>
      </c>
      <c r="BH9" s="31">
        <f>VLOOKUP(B9,배점표!V922:W947,2)</f>
        <v>100</v>
      </c>
      <c r="BR9" s="33"/>
      <c r="BT9" s="55"/>
    </row>
    <row r="10" spans="1:72">
      <c r="A10" s="25" t="s">
        <v>560</v>
      </c>
      <c r="B10" s="59">
        <f>INDEX(개인별실기여자,MATCH(A10,'개인실기(여)'!$A$4:$A$70,0),MATCH($B$4,'개인실기(여)'!$B$3:$CK$3,0))</f>
        <v>75</v>
      </c>
      <c r="E10" s="97"/>
      <c r="F10" s="97"/>
      <c r="H10" s="292"/>
      <c r="BP10" s="31">
        <f>VLOOKUP(B10,배점표!P1004:Q1014,2)</f>
        <v>250</v>
      </c>
      <c r="BQ10" s="33">
        <f>VLOOKUP(B10,배점표!R1017:S1025,2)</f>
        <v>170</v>
      </c>
    </row>
    <row r="11" spans="1:72">
      <c r="A11" s="25" t="s">
        <v>451</v>
      </c>
      <c r="B11" s="59">
        <f>INDEX(개인별실기여자,MATCH(A11,'개인실기(여)'!$A$4:$A$70,0),MATCH($B$4,'개인실기(여)'!$B$3:$CK$3,0))</f>
        <v>165</v>
      </c>
      <c r="C11" s="31">
        <f>VLOOKUP(B11,배점표!P3:Q23,2)</f>
        <v>100</v>
      </c>
      <c r="H11" s="36"/>
      <c r="K11" s="36">
        <f>VLOOKUP(B11,배점표!P159:Q178,2)</f>
        <v>100</v>
      </c>
      <c r="N11" s="97"/>
      <c r="O11" s="97"/>
      <c r="P11" s="70"/>
      <c r="Q11" s="70"/>
      <c r="U11" s="122">
        <f>IF(((B11-60)*50/(151-60)+50)&gt;100,100,((B11-60)*50/(151-60)+50))</f>
        <v>100</v>
      </c>
      <c r="AM11" s="36">
        <f>VLOOKUP(B11,배점표!R619:S649,2)</f>
        <v>200</v>
      </c>
      <c r="AN11" s="97"/>
      <c r="AO11" s="31"/>
      <c r="AR11" s="31">
        <f>VLOOKUP(B11,배점표!R708:S733,2)</f>
        <v>100</v>
      </c>
      <c r="AS11" s="31">
        <f>VLOOKUP(B11,배점표!R708:S733,2)</f>
        <v>100</v>
      </c>
      <c r="AY11" s="150">
        <f>VLOOKUP(B11,배점표!T825:U845,2)</f>
        <v>100</v>
      </c>
    </row>
    <row r="12" spans="1:72">
      <c r="A12" s="25" t="s">
        <v>264</v>
      </c>
      <c r="B12" s="59">
        <f>INDEX(개인별실기여자,MATCH(A12,'개인실기(여)'!$A$4:$A$70,0),MATCH($B$4,'개인실기(여)'!$B$3:$CK$3,0))</f>
        <v>10.1</v>
      </c>
      <c r="C12" s="31">
        <f>VLOOKUP(B12,배점표!R3:S23,2)</f>
        <v>100</v>
      </c>
      <c r="F12" s="38">
        <f>VLOOKUP(B12,배점표!P56:Q69,2)</f>
        <v>133</v>
      </c>
      <c r="G12" s="33">
        <f>VLOOKUP(B12,배점표!T74:U101,2)</f>
        <v>230</v>
      </c>
      <c r="I12" s="33">
        <f>VLOOKUP(B12,배점표!P143:Q156,2)</f>
        <v>100</v>
      </c>
      <c r="J12" s="97"/>
      <c r="K12" s="36">
        <f>VLOOKUP(B12,배점표!T159:U178,2)</f>
        <v>100</v>
      </c>
      <c r="M12" s="457">
        <f>VLOOKUP(B12,배점표!R209:S229,2)</f>
        <v>100</v>
      </c>
      <c r="N12" s="457">
        <f>VLOOKUP(B12,배점표!R209:S229,2)</f>
        <v>100</v>
      </c>
      <c r="P12" s="70">
        <f>VLOOKUP(B12,배점표!P247:Q272,2)</f>
        <v>100</v>
      </c>
      <c r="Q12" s="70">
        <f>VLOOKUP(B12,배점표!P247:Q272,2)</f>
        <v>100</v>
      </c>
      <c r="AA12" s="36">
        <f>VLOOKUP(B12,배점표!O398:P412,2)</f>
        <v>90</v>
      </c>
      <c r="AF12" s="37">
        <f>VLOOKUP(B12,배점표!T500:U526,2)</f>
        <v>97</v>
      </c>
      <c r="AG12" s="37">
        <f>VLOOKUP(B12,배점표!T530:U554,2)</f>
        <v>100</v>
      </c>
      <c r="AH12" s="37">
        <f>VLOOKUP(B12,배점표!T530:U554,2)</f>
        <v>100</v>
      </c>
      <c r="BG12" s="31"/>
      <c r="BH12" s="31"/>
      <c r="BI12" s="38">
        <f>VLOOKUP(B12,배점표!V951:W961,2)</f>
        <v>38</v>
      </c>
      <c r="BJ12" s="38">
        <f>VLOOKUP(B12,배점표!V951:W961,2)</f>
        <v>38</v>
      </c>
      <c r="BK12" s="38">
        <f>VLOOKUP(B12,배점표!V951:W961,2)</f>
        <v>38</v>
      </c>
      <c r="BL12" s="38">
        <f>VLOOKUP(B12,배점표!V951:W961,2)</f>
        <v>38</v>
      </c>
      <c r="BM12" s="38">
        <f>VLOOKUP(B12,배점표!V951:W961,2)</f>
        <v>38</v>
      </c>
      <c r="BN12" s="38">
        <f>VLOOKUP(B12,배점표!R964:S987,2)</f>
        <v>100</v>
      </c>
      <c r="BS12" s="36">
        <f>VLOOKUP(B12,배점표!P1064:Q1083,2)</f>
        <v>100</v>
      </c>
      <c r="BT12" s="377">
        <f>VLOOKUP(B12,배점표!P1087:Q1101,2)</f>
        <v>100</v>
      </c>
    </row>
    <row r="13" spans="1:72" s="20" customFormat="1">
      <c r="A13" s="22" t="s">
        <v>575</v>
      </c>
      <c r="B13" s="59">
        <f>INDEX(개인별실기여자,MATCH(A13,'개인실기(여)'!$A$4:$A$70,0),MATCH($B$4,'개인실기(여)'!$B$3:$CK$3,0))</f>
        <v>18</v>
      </c>
      <c r="C13" s="22"/>
      <c r="D13" s="14"/>
      <c r="E13" s="14"/>
      <c r="F13" s="14"/>
      <c r="G13" s="97"/>
      <c r="H13" s="22"/>
      <c r="I13" s="97"/>
      <c r="J13" s="97"/>
      <c r="K13" s="14"/>
      <c r="L13" s="22"/>
      <c r="M13" s="14"/>
      <c r="N13" s="14"/>
      <c r="O13" s="292"/>
      <c r="P13" s="6"/>
      <c r="Q13" s="6"/>
      <c r="R13" s="14"/>
      <c r="S13" s="14"/>
      <c r="T13" s="14"/>
      <c r="U13" s="22"/>
      <c r="V13" s="14"/>
      <c r="W13" s="14"/>
      <c r="X13" s="22"/>
      <c r="Y13" s="22"/>
      <c r="Z13" s="14"/>
      <c r="AA13" s="292"/>
      <c r="AB13" s="14"/>
      <c r="AC13" s="14"/>
      <c r="AD13" s="292"/>
      <c r="AE13" s="22"/>
      <c r="AF13" s="22"/>
      <c r="AG13" s="22"/>
      <c r="AH13" s="6"/>
      <c r="AI13" s="14"/>
      <c r="AJ13" s="6"/>
      <c r="AK13" s="14"/>
      <c r="AO13" s="14"/>
      <c r="AP13" s="14"/>
      <c r="AQ13" s="14"/>
      <c r="AR13" s="10"/>
      <c r="AS13" s="6"/>
      <c r="AT13" s="22"/>
      <c r="AU13" s="22"/>
      <c r="AV13" s="292"/>
      <c r="AW13" s="14"/>
      <c r="AX13" s="14"/>
      <c r="AY13" s="14"/>
      <c r="AZ13" s="14"/>
      <c r="BA13" s="31">
        <f>VLOOKUP(B13,배점표!T848:U855,2)</f>
        <v>100</v>
      </c>
      <c r="BB13" s="31">
        <f>VLOOKUP(B13,배점표!T858:U865,2)</f>
        <v>100</v>
      </c>
      <c r="BC13" s="97"/>
      <c r="BD13" s="97"/>
      <c r="BE13" s="97"/>
      <c r="BF13" s="97"/>
      <c r="BG13" s="97"/>
      <c r="BH13" s="97"/>
      <c r="BP13" s="14"/>
      <c r="BQ13" s="14"/>
      <c r="BR13" s="14"/>
      <c r="BS13" s="97"/>
      <c r="BT13" s="22"/>
    </row>
    <row r="14" spans="1:72">
      <c r="A14" s="25" t="s">
        <v>332</v>
      </c>
      <c r="B14" s="59">
        <f>INDEX(개인별실기여자,MATCH(A14,'개인실기(여)'!$A$4:$A$70,0),MATCH($B$4,'개인실기(여)'!$B$3:$CK$3,0))</f>
        <v>28</v>
      </c>
      <c r="V14" s="97"/>
      <c r="W14" s="97"/>
      <c r="AF14" s="37"/>
      <c r="AG14" s="37"/>
      <c r="AH14" s="37"/>
      <c r="BG14" s="31"/>
      <c r="BH14" s="31"/>
    </row>
    <row r="15" spans="1:72">
      <c r="A15" s="25" t="s">
        <v>311</v>
      </c>
      <c r="B15" s="59">
        <f>INDEX(개인별실기여자,MATCH(A15,'개인실기(여)'!$A$4:$A$70,0),MATCH($B$4,'개인실기(여)'!$B$3:$CK$3,0))</f>
        <v>18</v>
      </c>
      <c r="AP15" s="31">
        <f>VLOOKUP(B15,배점표!P693:Q705,2)</f>
        <v>200</v>
      </c>
      <c r="AQ15" s="31">
        <f>VLOOKUP(B15,배점표!N661:O673,2)</f>
        <v>200</v>
      </c>
      <c r="AR15" s="97"/>
      <c r="AS15" s="97"/>
    </row>
    <row r="16" spans="1:72">
      <c r="A16" s="25" t="s">
        <v>286</v>
      </c>
      <c r="B16" s="59">
        <f>INDEX(개인별실기여자,MATCH(A16,'개인실기(여)'!$A$4:$A$70,0),MATCH($B$4,'개인실기(여)'!$B$3:$CK$3,0))</f>
        <v>140</v>
      </c>
      <c r="O16" s="36">
        <f>VLOOKUP(B16,배점표!P233:Q241,2)</f>
        <v>100</v>
      </c>
      <c r="AN16" s="145">
        <f>VLOOKUP(B16,배점표!B652:C657,2)</f>
        <v>90</v>
      </c>
      <c r="AX16" s="105"/>
      <c r="AY16" s="97"/>
    </row>
    <row r="17" spans="1:72">
      <c r="A17" s="25" t="s">
        <v>537</v>
      </c>
      <c r="B17" s="59">
        <f>INDEX(개인별실기여자,MATCH(A17,'개인실기(여)'!$A$4:$A$70,0),MATCH($B$4,'개인실기(여)'!$B$3:$CK$3,0))</f>
        <v>19</v>
      </c>
      <c r="BN17" s="38">
        <f>VLOOKUP(B17,배점표!T972:U987,2)</f>
        <v>100</v>
      </c>
    </row>
    <row r="18" spans="1:72">
      <c r="A18" s="25" t="s">
        <v>397</v>
      </c>
      <c r="B18" s="59">
        <f>INDEX(개인별실기여자,MATCH(A18,'개인실기(여)'!$A$4:$A$70,0),MATCH($B$4,'개인실기(여)'!$B$3:$CK$3,0))</f>
        <v>7.29</v>
      </c>
      <c r="U18" s="33">
        <f>IF(((B18-10.9)*50/(7.6-10.9)+50)&gt;100,100,((B18-10.9)*50/(7.6-10.9)+50))</f>
        <v>100</v>
      </c>
    </row>
    <row r="19" spans="1:72">
      <c r="A19" s="25" t="s">
        <v>430</v>
      </c>
      <c r="B19" s="59">
        <f>INDEX(개인별실기여자,MATCH(A19,'개인실기(여)'!$A$4:$A$70,0),MATCH($B$4,'개인실기(여)'!$B$3:$CK$3,0))</f>
        <v>14</v>
      </c>
      <c r="C19" s="97"/>
      <c r="BQ19" s="33">
        <f>VLOOKUP(B19,배점표!P1017:Q1025,2)</f>
        <v>170</v>
      </c>
    </row>
    <row r="20" spans="1:72">
      <c r="A20" s="25" t="s">
        <v>170</v>
      </c>
      <c r="B20" s="59">
        <f>INDEX(개인별실기여자,MATCH(A20,'개인실기(여)'!$A$4:$A$70,0),MATCH($B$4,'개인실기(여)'!$B$3:$CK$3,0))</f>
        <v>12.4</v>
      </c>
      <c r="AM20" s="36">
        <f>VLOOKUP(B20,배점표!P619:Q649,2)</f>
        <v>200</v>
      </c>
      <c r="AN20" s="36"/>
    </row>
    <row r="21" spans="1:72">
      <c r="A21" s="25" t="s">
        <v>145</v>
      </c>
      <c r="B21" s="59">
        <f>INDEX(개인별실기여자,MATCH(A21,'개인실기(여)'!$A$4:$A$70,0),MATCH($B$4,'개인실기(여)'!$B$3:$CK$3,0))</f>
        <v>31.9</v>
      </c>
      <c r="AW21" s="105">
        <f>VLOOKUP(B21,배점표!P806:Q815,2)</f>
        <v>400</v>
      </c>
      <c r="AX21" s="105">
        <f>VLOOKUP(B21,배점표!P818:Q822,2)</f>
        <v>500</v>
      </c>
      <c r="AY21" s="97"/>
      <c r="BA21" s="31"/>
      <c r="BB21" s="97"/>
      <c r="BC21" s="97"/>
      <c r="BD21" s="97"/>
      <c r="BE21" s="97"/>
      <c r="BF21" s="97"/>
      <c r="BG21" s="97"/>
      <c r="BH21" s="97"/>
    </row>
    <row r="22" spans="1:72">
      <c r="A22" s="25" t="s">
        <v>574</v>
      </c>
      <c r="B22" s="59">
        <f>INDEX(개인별실기여자,MATCH(A22,'개인실기(여)'!$A$4:$A$70,0),MATCH($B$4,'개인실기(여)'!$B$3:$CK$3,0))</f>
        <v>8.99</v>
      </c>
      <c r="G22" s="70"/>
      <c r="K22" s="142">
        <f>VLOOKUP(B22,배점표!R159:S178,2)</f>
        <v>100</v>
      </c>
      <c r="AK22" s="38">
        <f>VLOOKUP(B22,배점표!P584:Q602,2)</f>
        <v>120</v>
      </c>
      <c r="BO22" s="97"/>
      <c r="BT22" s="380"/>
    </row>
    <row r="23" spans="1:72">
      <c r="A23" s="25" t="s">
        <v>572</v>
      </c>
      <c r="B23" s="59">
        <f>INDEX(개인별실기여자,MATCH(A23,'개인실기(여)'!$A$4:$A$70,0),MATCH($B$4,'개인실기(여)'!$B$3:$CK$3,0))</f>
        <v>8.8800000000000008</v>
      </c>
      <c r="C23" s="31">
        <f>VLOOKUP(B23,배점표!N3:O23,2)</f>
        <v>100</v>
      </c>
      <c r="D23" s="31">
        <f>VLOOKUP(B23,배점표!T27:U38,2)</f>
        <v>100</v>
      </c>
      <c r="E23" s="31">
        <f>VLOOKUP(B23,배점표!R41:S54,2)</f>
        <v>133</v>
      </c>
      <c r="F23" s="38">
        <f>VLOOKUP(B23,배점표!R56:S69,2)</f>
        <v>133</v>
      </c>
      <c r="G23" s="70">
        <f>VLOOKUP(B23,배점표!N74:O101,2)</f>
        <v>228</v>
      </c>
      <c r="L23" s="83">
        <f>VLOOKUP(B23,배점표!P182:Q206,2)</f>
        <v>25</v>
      </c>
      <c r="M23" s="97"/>
      <c r="N23" s="97"/>
      <c r="O23" s="97"/>
      <c r="P23" s="97"/>
      <c r="Q23" s="97"/>
      <c r="R23" s="97"/>
      <c r="S23" s="97"/>
      <c r="T23" s="90">
        <f>VLOOKUP(B23,배점표!P292:Q302,2)</f>
        <v>260</v>
      </c>
      <c r="W23" s="147">
        <f>VLOOKUP(B23,배점표!P349:Q364,2)</f>
        <v>450</v>
      </c>
      <c r="X23" s="36">
        <f>VLOOKUP(B23,배점표!R368:S382,2)</f>
        <v>25</v>
      </c>
      <c r="Y23" s="36">
        <f>VLOOKUP(B23,배점표!R368:S382,2)</f>
        <v>25</v>
      </c>
      <c r="AC23" s="38">
        <f>VLOOKUP(B23,배점표!T434:U444,2)</f>
        <v>100</v>
      </c>
      <c r="AD23" s="380"/>
      <c r="AF23" s="37">
        <f>VLOOKUP(B23,배점표!R500:S526,2)</f>
        <v>100</v>
      </c>
      <c r="AG23" s="37">
        <f>VLOOKUP(B23,배점표!R530:S554,2)</f>
        <v>100</v>
      </c>
      <c r="AH23" s="37">
        <f>VLOOKUP(B23,배점표!R530:S554,2)</f>
        <v>100</v>
      </c>
      <c r="BC23" s="158">
        <f>VLOOKUP(B23,배점표!N885:O893,2)</f>
        <v>230</v>
      </c>
      <c r="BD23" s="158">
        <f>VLOOKUP(B23,배점표!N885:O893,2)</f>
        <v>230</v>
      </c>
      <c r="BE23" s="158">
        <f>VLOOKUP(B23,배점표!N896:O904,2)</f>
        <v>230</v>
      </c>
      <c r="BI23" s="38">
        <f>VLOOKUP(B23,배점표!P951:Q961,2)</f>
        <v>38</v>
      </c>
      <c r="BJ23" s="38">
        <f>VLOOKUP(B23,배점표!P951:Q961,2)</f>
        <v>38</v>
      </c>
      <c r="BK23" s="38">
        <f>VLOOKUP(B23,배점표!P951:Q961,2)</f>
        <v>38</v>
      </c>
      <c r="BL23" s="38">
        <f>VLOOKUP(B23,배점표!P951:Q961,2)</f>
        <v>38</v>
      </c>
      <c r="BM23" s="38">
        <f>VLOOKUP(B23,배점표!P951:Q961,2)</f>
        <v>38</v>
      </c>
      <c r="BN23" s="380"/>
      <c r="BO23" s="38">
        <f>VLOOKUP(B23,배점표!P990:Q1000,2)</f>
        <v>100</v>
      </c>
      <c r="BQ23" s="33">
        <f>VLOOKUP(B23,배점표!N1017:O1025,2)</f>
        <v>160</v>
      </c>
      <c r="BT23" s="55">
        <f>VLOOKUP(B23,배점표!R1087:S1101,2)</f>
        <v>100</v>
      </c>
    </row>
    <row r="24" spans="1:72">
      <c r="A24" s="25" t="s">
        <v>567</v>
      </c>
      <c r="B24" s="59">
        <f>INDEX(개인별실기여자,MATCH(A24,'개인실기(여)'!$A$4:$A$70,0),MATCH($B$4,'개인실기(여)'!$B$3:$CK$3,0))</f>
        <v>14.9</v>
      </c>
      <c r="G24" s="97"/>
      <c r="H24" s="36">
        <f>VLOOKUP(B24,배점표!N104:O124,2)</f>
        <v>100</v>
      </c>
      <c r="I24" s="97"/>
      <c r="J24" s="97"/>
      <c r="K24" s="97"/>
      <c r="R24" s="144">
        <f>VLOOKUP(B24,배점표!P275:Q289,2)</f>
        <v>300</v>
      </c>
      <c r="S24" s="144">
        <f>VLOOKUP(B24,배점표!P275:Q289,2)</f>
        <v>300</v>
      </c>
      <c r="AL24" s="46">
        <f>VLOOKUP(B24,배점표!N605:O615,2)</f>
        <v>270</v>
      </c>
    </row>
    <row r="25" spans="1:72">
      <c r="A25" s="25" t="s">
        <v>561</v>
      </c>
      <c r="B25" s="59">
        <f>INDEX(개인별실기여자,MATCH(A25,'개인실기(여)'!$A$4:$A$70,0),MATCH($B$4,'개인실기(여)'!$B$3:$CK$3,0))</f>
        <v>14.5</v>
      </c>
      <c r="I25" s="70">
        <f>VLOOKUP(B25,배점표!R143:S156,2)</f>
        <v>100</v>
      </c>
      <c r="J25" s="70">
        <f>VLOOKUP(B25,배점표!P127:Q140,2)</f>
        <v>100</v>
      </c>
      <c r="M25" s="144">
        <f>VLOOKUP(B25,배점표!P209:Q229,2)</f>
        <v>100</v>
      </c>
      <c r="N25" s="144">
        <f>VLOOKUP(B25,배점표!P209:Q229,2)</f>
        <v>100</v>
      </c>
      <c r="O25" s="144"/>
      <c r="AI25" s="38">
        <f>VLOOKUP(B25,배점표!P556:Q581,2)</f>
        <v>100</v>
      </c>
      <c r="AJ25" s="38">
        <f>VLOOKUP(B25,배점표!P556:Q581,2)</f>
        <v>100</v>
      </c>
      <c r="AO25" s="31">
        <f>VLOOKUP(B25,배점표!N677:O689,2)</f>
        <v>200</v>
      </c>
      <c r="AP25" s="31">
        <f>VLOOKUP(B25,배점표!N693:O705,2)</f>
        <v>200</v>
      </c>
      <c r="AQ25" s="67"/>
      <c r="AR25" s="97"/>
      <c r="AS25" s="97"/>
      <c r="BP25" s="37">
        <f>VLOOKUP(B25,배점표!N1004:O1014,2)</f>
        <v>300</v>
      </c>
    </row>
    <row r="26" spans="1:72">
      <c r="A26" s="25" t="s">
        <v>174</v>
      </c>
      <c r="B26" s="59">
        <f>INDEX(개인별실기여자,MATCH(A26,'개인실기(여)'!$A$4:$A$70,0),MATCH($B$4,'개인실기(여)'!$B$3:$CK$3,0))</f>
        <v>16</v>
      </c>
      <c r="L26" s="67"/>
      <c r="M26" s="67"/>
      <c r="N26" s="67"/>
      <c r="O26" s="67"/>
      <c r="P26" s="70">
        <f>VLOOKUP(B26,배점표!T247:U272,2)</f>
        <v>100</v>
      </c>
      <c r="Q26" s="70">
        <f>VLOOKUP(B26,배점표!T247:U272,2)</f>
        <v>100</v>
      </c>
      <c r="R26" s="67"/>
      <c r="S26" s="67"/>
      <c r="AA26" s="36">
        <f>VLOOKUP(B26,배점표!Q398:R412,2)</f>
        <v>100</v>
      </c>
      <c r="AE26" s="67"/>
      <c r="AR26" s="31"/>
      <c r="AS26" s="31"/>
      <c r="BB26" s="31">
        <f>VLOOKUP(B26,배점표!P858:Q865,2)</f>
        <v>100</v>
      </c>
      <c r="BC26" s="97"/>
      <c r="BD26" s="97"/>
      <c r="BE26" s="97"/>
      <c r="BF26" s="97"/>
      <c r="BG26" s="31">
        <f>VLOOKUP(B26,배점표!N922:O947,2)</f>
        <v>150</v>
      </c>
      <c r="BH26" s="31">
        <f>VLOOKUP(B26,배점표!N922:O947,2)</f>
        <v>150</v>
      </c>
      <c r="BR26" s="33">
        <f>VLOOKUP(B26,배점표!T1027:U1053,2)</f>
        <v>100</v>
      </c>
    </row>
    <row r="27" spans="1:72">
      <c r="A27" s="25" t="s">
        <v>175</v>
      </c>
      <c r="B27" s="59">
        <f>INDEX(개인별실기여자,MATCH(A27,'개인실기(여)'!$A$4:$A$70,0),MATCH($B$4,'개인실기(여)'!$B$3:$CK$3,0))</f>
        <v>18.89</v>
      </c>
      <c r="AY27" s="150">
        <f>VLOOKUP(B27,배점표!P825:Q846,2)</f>
        <v>100</v>
      </c>
      <c r="AZ27" s="70"/>
    </row>
    <row r="28" spans="1:72">
      <c r="A28" s="25" t="s">
        <v>590</v>
      </c>
      <c r="B28" s="59">
        <f>INDEX(개인별실기여자,MATCH(A28,'개인실기(여)'!$A$4:$A$70,0),MATCH($B$4,'개인실기(여)'!$B$3:$CK$3,0))</f>
        <v>38</v>
      </c>
      <c r="BS28" s="36">
        <f>VLOOKUP(B28,배점표!T1064:U1083,2)</f>
        <v>100</v>
      </c>
    </row>
    <row r="29" spans="1:72">
      <c r="A29" s="25" t="s">
        <v>298</v>
      </c>
      <c r="B29" s="59">
        <f>INDEX(개인별실기여자,MATCH(A29,'개인실기(여)'!$A$4:$A$70,0),MATCH($B$4,'개인실기(여)'!$B$3:$CK$3,0))</f>
        <v>6.5</v>
      </c>
      <c r="AB29" s="76">
        <f>VLOOKUP(B29,배점표!R417:S431,2)</f>
        <v>100</v>
      </c>
    </row>
    <row r="30" spans="1:72">
      <c r="A30" s="25" t="s">
        <v>273</v>
      </c>
      <c r="B30" s="59">
        <f>INDEX(개인별실기여자,MATCH(A30,'개인실기(여)'!$A$4:$A$70,0),MATCH($B$4,'개인실기(여)'!$B$3:$CK$3,0))</f>
        <v>9.99</v>
      </c>
      <c r="AK30" s="38">
        <f>VLOOKUP(B30,배점표!N584:O602,2)</f>
        <v>120</v>
      </c>
    </row>
    <row r="31" spans="1:72">
      <c r="A31" s="25" t="s">
        <v>295</v>
      </c>
      <c r="B31" s="59">
        <f>INDEX(개인별실기여자,MATCH(A31,'개인실기(여)'!$A$4:$A$70,0),MATCH($B$4,'개인실기(여)'!$B$3:$CK$3,0))</f>
        <v>13.89</v>
      </c>
      <c r="BA31" s="31">
        <f>VLOOKUP(B31,배점표!P848:Q855,2)</f>
        <v>100</v>
      </c>
      <c r="BN31" s="38">
        <f>VLOOKUP(B31,배점표!P964:Q987,2)</f>
        <v>100</v>
      </c>
    </row>
    <row r="32" spans="1:72">
      <c r="A32" s="25" t="s">
        <v>552</v>
      </c>
      <c r="B32" s="59">
        <f>INDEX(개인별실기여자,MATCH(A32,'개인실기(여)'!$A$4:$A$70,0),MATCH($B$4,'개인실기(여)'!$B$3:$CK$3,0))</f>
        <v>8.5500000000000007</v>
      </c>
      <c r="BS32" s="36">
        <f>VLOOKUP(B32,배점표!R1064:S1083,2)</f>
        <v>100</v>
      </c>
    </row>
    <row r="33" spans="1:68">
      <c r="A33" s="25" t="s">
        <v>582</v>
      </c>
      <c r="B33" s="59">
        <f>INDEX(개인별실기여자,MATCH(A33,'개인실기(여)'!$A$4:$A$70,0),MATCH($B$4,'개인실기(여)'!$B$3:$CK$3,0))</f>
        <v>20</v>
      </c>
      <c r="AT33" s="86">
        <f>VLOOKUP(B33,배점표!Q769:R779,2)</f>
        <v>175</v>
      </c>
      <c r="AU33" s="86">
        <f>VLOOKUP(B33,배점표!N745:O756,2)</f>
        <v>175</v>
      </c>
      <c r="AV33" s="86">
        <f>VLOOKUP(B33,배점표!M783:N803,2)</f>
        <v>175</v>
      </c>
    </row>
    <row r="34" spans="1:68">
      <c r="A34" s="25" t="s">
        <v>515</v>
      </c>
      <c r="B34" s="59">
        <f>INDEX(개인별실기여자,MATCH(A34,'개인실기(여)'!$A$4:$A$70,0),MATCH($B$4,'개인실기(여)'!$B$3:$CK$3,0))</f>
        <v>36.799999999999997</v>
      </c>
      <c r="M34" s="457"/>
      <c r="N34" s="457"/>
      <c r="O34" s="36">
        <f>VLOOKUP(B34,배점표!R233:S241,2)</f>
        <v>100</v>
      </c>
      <c r="T34" s="90">
        <f>VLOOKUP(B34,배점표!N292:O302,2)</f>
        <v>270</v>
      </c>
      <c r="U34" s="122">
        <f>IF(((B34-13.9)*50/(32-13.9)+50)&gt;100,100,((B34-13.9)*50/(32-13.9)+50))</f>
        <v>100</v>
      </c>
      <c r="V34" s="45">
        <f>VLOOKUP(B34,배점표!B321:C345,2)</f>
        <v>30</v>
      </c>
      <c r="W34" s="45"/>
      <c r="Z34" s="31">
        <f>VLOOKUP(B34,배점표!P385:Q395,2)</f>
        <v>100</v>
      </c>
      <c r="AA34" s="31"/>
      <c r="AB34" s="37">
        <f>VLOOKUP(B34,배점표!P417:Q431,2)</f>
        <v>100</v>
      </c>
      <c r="AD34" s="38">
        <f>VLOOKUP(B34,배점표!M447:N466,2)</f>
        <v>100</v>
      </c>
      <c r="AE34" s="88">
        <f>VLOOKUP(B34,배점표!D471:E495,2)</f>
        <v>100</v>
      </c>
      <c r="AF34" s="37">
        <f>VLOOKUP(B34,배점표!N500:O526,2)</f>
        <v>100</v>
      </c>
      <c r="AG34" s="37">
        <f>VLOOKUP(B34,배점표!N530:O554,2)</f>
        <v>100</v>
      </c>
      <c r="AH34" s="37">
        <f>VLOOKUP(B34,배점표!N530:O554,2)</f>
        <v>100</v>
      </c>
      <c r="AW34" s="105">
        <f>VLOOKUP(B34,배점표!T806:U815,2)</f>
        <v>300</v>
      </c>
      <c r="BC34" s="158"/>
      <c r="BD34" s="158"/>
      <c r="BE34" s="158"/>
      <c r="BF34" s="143">
        <f>VLOOKUP(B34,배점표!R907:S918,2)</f>
        <v>100</v>
      </c>
    </row>
    <row r="35" spans="1:68">
      <c r="A35" s="25" t="s">
        <v>449</v>
      </c>
      <c r="B35" s="59">
        <f>INDEX(개인별실기여자,MATCH(A35,'개인실기(여)'!$A$4:$A$70,0),MATCH($B$4,'개인실기(여)'!$B$3:$CK$3,0))</f>
        <v>35</v>
      </c>
      <c r="C35" s="97"/>
      <c r="X35" s="36"/>
      <c r="Y35" s="36"/>
      <c r="Z35" s="31"/>
      <c r="AA35" s="31"/>
      <c r="AC35" s="38"/>
      <c r="AD35" s="380"/>
      <c r="AK35" s="38">
        <f>VLOOKUP(B35,배점표!T584:U602,2)</f>
        <v>120</v>
      </c>
      <c r="AL35" s="46"/>
      <c r="BP35" s="37"/>
    </row>
    <row r="36" spans="1:68">
      <c r="A36" s="25" t="s">
        <v>335</v>
      </c>
      <c r="B36" s="59">
        <f>INDEX(개인별실기여자,MATCH(A36,'개인실기(여)'!$A$4:$A$70,0),MATCH($B$4,'개인실기(여)'!$B$3:$CK$3,0))</f>
        <v>56</v>
      </c>
      <c r="E36" s="31"/>
      <c r="F36" s="97"/>
      <c r="V36" s="97"/>
      <c r="W36" s="97"/>
      <c r="Z36" s="31">
        <f>VLOOKUP(B36,배점표!R385:S395,2)</f>
        <v>100</v>
      </c>
      <c r="AA36" s="31"/>
      <c r="AE36" s="67"/>
    </row>
    <row r="37" spans="1:68">
      <c r="A37" s="25" t="s">
        <v>282</v>
      </c>
      <c r="B37" s="59">
        <f>INDEX(개인별실기여자,MATCH(A37,'개인실기(여)'!$A$4:$A$70,0),MATCH($B$4,'개인실기(여)'!$B$3:$CK$3,0))</f>
        <v>40</v>
      </c>
    </row>
    <row r="38" spans="1:68">
      <c r="A38" s="25" t="s">
        <v>336</v>
      </c>
      <c r="B38" s="59">
        <f>INDEX(개인별실기여자,MATCH(A38,'개인실기(여)'!$A$4:$A$70,0),MATCH($B$4,'개인실기(여)'!$B$3:$CK$3,0))</f>
        <v>50</v>
      </c>
      <c r="AE38" s="88">
        <f>VLOOKUP(B38,배점표!F471:G495,2)</f>
        <v>100</v>
      </c>
      <c r="AZ38" s="70">
        <f>VLOOKUP(B38,배점표!V868:W882,2)</f>
        <v>60</v>
      </c>
    </row>
    <row r="39" spans="1:68">
      <c r="A39" s="25" t="s">
        <v>98</v>
      </c>
      <c r="B39" s="59">
        <f>INDEX(개인별실기여자,MATCH(A39,'개인실기(여)'!$A$4:$A$70,0),MATCH($B$4,'개인실기(여)'!$B$3:$CK$3,0))</f>
        <v>36</v>
      </c>
      <c r="BM39" s="38">
        <f>VLOOKUP(B39,배점표!T951:U961,2)</f>
        <v>38</v>
      </c>
      <c r="BN39" s="97"/>
      <c r="BO39" s="97"/>
    </row>
    <row r="40" spans="1:68">
      <c r="A40" s="25" t="s">
        <v>287</v>
      </c>
      <c r="B40" s="59">
        <f>INDEX(개인별실기여자,MATCH(A40,'개인실기(여)'!$A$4:$A$70,0),MATCH($B$4,'개인실기(여)'!$B$3:$CK$3,0))</f>
        <v>28</v>
      </c>
      <c r="D40" s="31">
        <f>VLOOKUP(B40,배점표!N27:O38,2)</f>
        <v>100</v>
      </c>
    </row>
    <row r="41" spans="1:68">
      <c r="A41" s="25" t="s">
        <v>319</v>
      </c>
      <c r="B41" s="59">
        <f>INDEX(개인별실기여자,MATCH(A41,'개인실기(여)'!$A$4:$A$70,0),MATCH($B$4,'개인실기(여)'!$B$3:$CK$3,0))</f>
        <v>25</v>
      </c>
      <c r="AZ41" s="70">
        <f>VLOOKUP(B41,배점표!T868:U882,2)</f>
        <v>80</v>
      </c>
    </row>
    <row r="42" spans="1:68" s="14" customFormat="1">
      <c r="A42" s="375" t="s">
        <v>288</v>
      </c>
      <c r="B42" s="59">
        <f>INDEX(개인별실기여자,MATCH(A42,'개인실기(여)'!$A$4:$A$70,0),MATCH($B$4,'개인실기(여)'!$B$3:$CK$3,0))</f>
        <v>44</v>
      </c>
      <c r="O42" s="292"/>
      <c r="AA42" s="292"/>
      <c r="AD42" s="292"/>
      <c r="AV42" s="292"/>
      <c r="AX42" s="105">
        <f>VLOOKUP(B42,배점표!R818:S822,2)</f>
        <v>500</v>
      </c>
      <c r="AY42" s="97"/>
      <c r="BH42" s="292"/>
    </row>
    <row r="43" spans="1:68">
      <c r="A43" s="375" t="s">
        <v>496</v>
      </c>
      <c r="B43" s="59">
        <f>INDEX(개인별실기여자,MATCH(A43,'개인실기(여)'!$A$4:$A$70,0),MATCH($B$4,'개인실기(여)'!$B$3:$CK$3,0))</f>
        <v>33</v>
      </c>
      <c r="AF43" s="37"/>
    </row>
    <row r="44" spans="1:68">
      <c r="A44" s="375" t="s">
        <v>3</v>
      </c>
      <c r="B44" s="59">
        <f>INDEX(개인별실기여자,MATCH(A44,'개인실기(여)'!$A$4:$A$70,0),MATCH($B$4,'개인실기(여)'!$B$3:$CK$3,0))</f>
        <v>21</v>
      </c>
      <c r="O44" s="36">
        <f>VLOOKUP(B44,배점표!T233:U241,2)</f>
        <v>92</v>
      </c>
    </row>
    <row r="45" spans="1:68">
      <c r="A45" s="375" t="s">
        <v>49</v>
      </c>
      <c r="B45" s="59">
        <f>INDEX(개인별실기여자,MATCH(A45,'개인실기(여)'!$A$4:$A$70,0),MATCH($B$4,'개인실기(여)'!$B$3:$CK$3,0))</f>
        <v>11.89</v>
      </c>
      <c r="O45" s="36">
        <f>VLOOKUP(B45,배점표!N233:O241,2)</f>
        <v>60</v>
      </c>
    </row>
    <row r="46" spans="1:68">
      <c r="A46" s="375" t="s">
        <v>589</v>
      </c>
      <c r="B46" s="59">
        <f>INDEX(개인별실기여자,MATCH(A46,'개인실기(여)'!$A$4:$A$70,0),MATCH($B$4,'개인실기(여)'!$B$3:$CK$3,0))</f>
        <v>22</v>
      </c>
      <c r="H46" s="388">
        <f>VLOOKUP(B46,배점표!P104:Q124,2)</f>
        <v>70</v>
      </c>
      <c r="AQ46" s="292"/>
    </row>
    <row r="47" spans="1:68">
      <c r="A47" s="397" t="s">
        <v>675</v>
      </c>
      <c r="B47" s="59">
        <f>INDEX(개인별실기여자,MATCH(A47,'개인실기(여)'!$A$4:$A$70,0),MATCH($B$4,'개인실기(여)'!$B$3:$CK$3,0))</f>
        <v>19</v>
      </c>
      <c r="AQ47" s="31">
        <f>VLOOKUP(B47,배점표!P661:Q673,2)</f>
        <v>170</v>
      </c>
    </row>
  </sheetData>
  <mergeCells count="2">
    <mergeCell ref="A2:B2"/>
    <mergeCell ref="A3:B3"/>
  </mergeCells>
  <phoneticPr fontId="81" type="noConversion"/>
  <pageMargins left="0.69972223043441772" right="0.69972223043441772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15648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사용설명서</vt:lpstr>
      <vt:lpstr>학생상담(남)</vt:lpstr>
      <vt:lpstr>학생상담(여)</vt:lpstr>
      <vt:lpstr>내신(남)</vt:lpstr>
      <vt:lpstr>내신(여)</vt:lpstr>
      <vt:lpstr>개인실기(남)</vt:lpstr>
      <vt:lpstr>개인실기(여)</vt:lpstr>
      <vt:lpstr>'상담(남)'!Print_Area</vt:lpstr>
      <vt:lpstr>'상담(여)'!Print_Area</vt:lpstr>
      <vt:lpstr>'학생상담(남)'!Print_Area</vt:lpstr>
      <vt:lpstr>'학생상담(여)'!Print_Area</vt:lpstr>
      <vt:lpstr>개인별실기남</vt:lpstr>
      <vt:lpstr>개인별실기남자</vt:lpstr>
      <vt:lpstr>개인별실기여자</vt:lpstr>
      <vt:lpstr>고려대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신이라불리우는</dc:creator>
  <cp:lastModifiedBy>한국 김</cp:lastModifiedBy>
  <cp:revision>1416</cp:revision>
  <cp:lastPrinted>2021-04-28T02:26:32Z</cp:lastPrinted>
  <dcterms:created xsi:type="dcterms:W3CDTF">2013-11-28T04:00:00Z</dcterms:created>
  <dcterms:modified xsi:type="dcterms:W3CDTF">2025-07-25T07:51:43Z</dcterms:modified>
  <cp:version>1100.0100.01</cp:version>
</cp:coreProperties>
</file>