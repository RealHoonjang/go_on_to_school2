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oonjang\Desktop\JW\강의\학교체육진흥회\체대 진학 실기 측정 기록 모음\가공완\"/>
    </mc:Choice>
  </mc:AlternateContent>
  <xr:revisionPtr revIDLastSave="0" documentId="8_{29A8F270-78FD-4A06-B132-BEF98E2FDB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일반학생 기록" sheetId="1" r:id="rId1"/>
    <sheet name="학생선수 기록" sheetId="2" r:id="rId2"/>
    <sheet name="A조 전체" sheetId="3" state="hidden" r:id="rId3"/>
    <sheet name="B조 전체" sheetId="4" state="hidden" r:id="rId4"/>
  </sheets>
  <definedNames>
    <definedName name="_xlnm._FilterDatabase" localSheetId="2" hidden="1">'A조 전체'!$A$3:$F$223</definedName>
    <definedName name="_xlnm._FilterDatabase" localSheetId="3" hidden="1">'B조 전체'!$A$3:$F$219</definedName>
    <definedName name="_xlnm._FilterDatabase" localSheetId="1" hidden="1">'학생선수 기록'!$A$3:$D$126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At4aye+lkzuxAjMsJ+lTydWd+6nksf3epfPdqgUZyM="/>
    </ext>
  </extLst>
</workbook>
</file>

<file path=xl/calcChain.xml><?xml version="1.0" encoding="utf-8"?>
<calcChain xmlns="http://schemas.openxmlformats.org/spreadsheetml/2006/main">
  <c r="W126" i="2" l="1"/>
  <c r="S126" i="2"/>
  <c r="P126" i="2"/>
  <c r="M126" i="2"/>
  <c r="J126" i="2"/>
  <c r="G126" i="2"/>
  <c r="W125" i="2"/>
  <c r="S125" i="2"/>
  <c r="P125" i="2"/>
  <c r="M125" i="2"/>
  <c r="J125" i="2"/>
  <c r="G125" i="2"/>
  <c r="W124" i="2"/>
  <c r="S124" i="2"/>
  <c r="P124" i="2"/>
  <c r="M124" i="2"/>
  <c r="J124" i="2"/>
  <c r="G124" i="2"/>
  <c r="W123" i="2"/>
  <c r="S123" i="2"/>
  <c r="P123" i="2"/>
  <c r="M123" i="2"/>
  <c r="J123" i="2"/>
  <c r="G123" i="2"/>
  <c r="W122" i="2"/>
  <c r="S122" i="2"/>
  <c r="P122" i="2"/>
  <c r="M122" i="2"/>
  <c r="J122" i="2"/>
  <c r="G122" i="2"/>
  <c r="W121" i="2"/>
  <c r="S121" i="2"/>
  <c r="P121" i="2"/>
  <c r="M121" i="2"/>
  <c r="J121" i="2"/>
  <c r="G121" i="2"/>
  <c r="W120" i="2"/>
  <c r="S120" i="2"/>
  <c r="P120" i="2"/>
  <c r="M120" i="2"/>
  <c r="J120" i="2"/>
  <c r="G120" i="2"/>
  <c r="W119" i="2"/>
  <c r="S119" i="2"/>
  <c r="P119" i="2"/>
  <c r="M119" i="2"/>
  <c r="J119" i="2"/>
  <c r="G119" i="2"/>
  <c r="W118" i="2"/>
  <c r="S118" i="2"/>
  <c r="P118" i="2"/>
  <c r="M118" i="2"/>
  <c r="J118" i="2"/>
  <c r="G118" i="2"/>
  <c r="W117" i="2"/>
  <c r="S117" i="2"/>
  <c r="P117" i="2"/>
  <c r="M117" i="2"/>
  <c r="J117" i="2"/>
  <c r="G117" i="2"/>
  <c r="W116" i="2"/>
  <c r="S116" i="2"/>
  <c r="P116" i="2"/>
  <c r="M116" i="2"/>
  <c r="J116" i="2"/>
  <c r="G116" i="2"/>
  <c r="W115" i="2"/>
  <c r="S115" i="2"/>
  <c r="P115" i="2"/>
  <c r="M115" i="2"/>
  <c r="J115" i="2"/>
  <c r="G115" i="2"/>
  <c r="W114" i="2"/>
  <c r="S114" i="2"/>
  <c r="P114" i="2"/>
  <c r="M114" i="2"/>
  <c r="J114" i="2"/>
  <c r="G114" i="2"/>
  <c r="W113" i="2"/>
  <c r="S113" i="2"/>
  <c r="P113" i="2"/>
  <c r="M113" i="2"/>
  <c r="J113" i="2"/>
  <c r="G113" i="2"/>
  <c r="W112" i="2"/>
  <c r="S112" i="2"/>
  <c r="P112" i="2"/>
  <c r="M112" i="2"/>
  <c r="J112" i="2"/>
  <c r="G112" i="2"/>
  <c r="W111" i="2"/>
  <c r="S111" i="2"/>
  <c r="P111" i="2"/>
  <c r="M111" i="2"/>
  <c r="J111" i="2"/>
  <c r="G111" i="2"/>
  <c r="W110" i="2"/>
  <c r="S110" i="2"/>
  <c r="P110" i="2"/>
  <c r="M110" i="2"/>
  <c r="J110" i="2"/>
  <c r="G110" i="2"/>
  <c r="W109" i="2"/>
  <c r="S109" i="2"/>
  <c r="P109" i="2"/>
  <c r="M109" i="2"/>
  <c r="J109" i="2"/>
  <c r="G109" i="2"/>
  <c r="W108" i="2"/>
  <c r="S108" i="2"/>
  <c r="P108" i="2"/>
  <c r="M108" i="2"/>
  <c r="J108" i="2"/>
  <c r="G108" i="2"/>
  <c r="W107" i="2"/>
  <c r="S107" i="2"/>
  <c r="P107" i="2"/>
  <c r="M107" i="2"/>
  <c r="J107" i="2"/>
  <c r="G107" i="2"/>
  <c r="W106" i="2"/>
  <c r="S106" i="2"/>
  <c r="P106" i="2"/>
  <c r="M106" i="2"/>
  <c r="J106" i="2"/>
  <c r="G106" i="2"/>
  <c r="W105" i="2"/>
  <c r="S105" i="2"/>
  <c r="P105" i="2"/>
  <c r="M105" i="2"/>
  <c r="J105" i="2"/>
  <c r="G105" i="2"/>
  <c r="W104" i="2"/>
  <c r="S104" i="2"/>
  <c r="P104" i="2"/>
  <c r="M104" i="2"/>
  <c r="J104" i="2"/>
  <c r="G104" i="2"/>
  <c r="W103" i="2"/>
  <c r="S103" i="2"/>
  <c r="P103" i="2"/>
  <c r="M103" i="2"/>
  <c r="J103" i="2"/>
  <c r="G103" i="2"/>
  <c r="W102" i="2"/>
  <c r="S102" i="2"/>
  <c r="P102" i="2"/>
  <c r="M102" i="2"/>
  <c r="J102" i="2"/>
  <c r="G102" i="2"/>
  <c r="W101" i="2"/>
  <c r="S101" i="2"/>
  <c r="P101" i="2"/>
  <c r="M101" i="2"/>
  <c r="J101" i="2"/>
  <c r="G101" i="2"/>
  <c r="W100" i="2"/>
  <c r="S100" i="2"/>
  <c r="P100" i="2"/>
  <c r="M100" i="2"/>
  <c r="J100" i="2"/>
  <c r="G100" i="2"/>
  <c r="W99" i="2"/>
  <c r="S99" i="2"/>
  <c r="P99" i="2"/>
  <c r="M99" i="2"/>
  <c r="J99" i="2"/>
  <c r="G99" i="2"/>
  <c r="W98" i="2"/>
  <c r="S98" i="2"/>
  <c r="P98" i="2"/>
  <c r="M98" i="2"/>
  <c r="J98" i="2"/>
  <c r="G98" i="2"/>
  <c r="W97" i="2"/>
  <c r="S97" i="2"/>
  <c r="P97" i="2"/>
  <c r="M97" i="2"/>
  <c r="J97" i="2"/>
  <c r="G97" i="2"/>
  <c r="W96" i="2"/>
  <c r="S96" i="2"/>
  <c r="P96" i="2"/>
  <c r="M96" i="2"/>
  <c r="J96" i="2"/>
  <c r="G96" i="2"/>
  <c r="W95" i="2"/>
  <c r="S95" i="2"/>
  <c r="P95" i="2"/>
  <c r="M95" i="2"/>
  <c r="J95" i="2"/>
  <c r="G95" i="2"/>
  <c r="W94" i="2"/>
  <c r="S94" i="2"/>
  <c r="P94" i="2"/>
  <c r="M94" i="2"/>
  <c r="J94" i="2"/>
  <c r="G94" i="2"/>
  <c r="W93" i="2"/>
  <c r="S93" i="2"/>
  <c r="P93" i="2"/>
  <c r="M93" i="2"/>
  <c r="J93" i="2"/>
  <c r="W92" i="2"/>
  <c r="S92" i="2"/>
  <c r="P92" i="2"/>
  <c r="M92" i="2"/>
  <c r="J92" i="2"/>
  <c r="G92" i="2"/>
  <c r="W91" i="2"/>
  <c r="S91" i="2"/>
  <c r="P91" i="2"/>
  <c r="M91" i="2"/>
  <c r="J91" i="2"/>
  <c r="G91" i="2"/>
  <c r="W90" i="2"/>
  <c r="S90" i="2"/>
  <c r="P90" i="2"/>
  <c r="M90" i="2"/>
  <c r="J90" i="2"/>
  <c r="G90" i="2"/>
  <c r="W89" i="2"/>
  <c r="S89" i="2"/>
  <c r="P89" i="2"/>
  <c r="M89" i="2"/>
  <c r="J89" i="2"/>
  <c r="G89" i="2"/>
  <c r="W88" i="2"/>
  <c r="S88" i="2"/>
  <c r="P88" i="2"/>
  <c r="M88" i="2"/>
  <c r="J88" i="2"/>
  <c r="G88" i="2"/>
  <c r="W87" i="2"/>
  <c r="S87" i="2"/>
  <c r="P87" i="2"/>
  <c r="M87" i="2"/>
  <c r="J87" i="2"/>
  <c r="G87" i="2"/>
  <c r="W86" i="2"/>
  <c r="S86" i="2"/>
  <c r="P86" i="2"/>
  <c r="M86" i="2"/>
  <c r="J86" i="2"/>
  <c r="G86" i="2"/>
  <c r="W85" i="2"/>
  <c r="S85" i="2"/>
  <c r="P85" i="2"/>
  <c r="M85" i="2"/>
  <c r="J85" i="2"/>
  <c r="G85" i="2"/>
  <c r="W84" i="2"/>
  <c r="S84" i="2"/>
  <c r="P84" i="2"/>
  <c r="M84" i="2"/>
  <c r="J84" i="2"/>
  <c r="G84" i="2"/>
  <c r="W83" i="2"/>
  <c r="S83" i="2"/>
  <c r="P83" i="2"/>
  <c r="M83" i="2"/>
  <c r="J83" i="2"/>
  <c r="G83" i="2"/>
  <c r="W82" i="2"/>
  <c r="S82" i="2"/>
  <c r="P82" i="2"/>
  <c r="M82" i="2"/>
  <c r="J82" i="2"/>
  <c r="G82" i="2"/>
  <c r="W81" i="2"/>
  <c r="S81" i="2"/>
  <c r="P81" i="2"/>
  <c r="M81" i="2"/>
  <c r="J81" i="2"/>
  <c r="G81" i="2"/>
  <c r="W80" i="2"/>
  <c r="S80" i="2"/>
  <c r="P80" i="2"/>
  <c r="M80" i="2"/>
  <c r="J80" i="2"/>
  <c r="G80" i="2"/>
  <c r="W79" i="2"/>
  <c r="S79" i="2"/>
  <c r="P79" i="2"/>
  <c r="M79" i="2"/>
  <c r="J79" i="2"/>
  <c r="G79" i="2"/>
  <c r="W78" i="2"/>
  <c r="S78" i="2"/>
  <c r="P78" i="2"/>
  <c r="M78" i="2"/>
  <c r="J78" i="2"/>
  <c r="G78" i="2"/>
  <c r="W77" i="2"/>
  <c r="S77" i="2"/>
  <c r="P77" i="2"/>
  <c r="M77" i="2"/>
  <c r="J77" i="2"/>
  <c r="G77" i="2"/>
  <c r="W76" i="2"/>
  <c r="S76" i="2"/>
  <c r="P76" i="2"/>
  <c r="M76" i="2"/>
  <c r="J76" i="2"/>
  <c r="G76" i="2"/>
  <c r="W75" i="2"/>
  <c r="S75" i="2"/>
  <c r="P75" i="2"/>
  <c r="M75" i="2"/>
  <c r="J75" i="2"/>
  <c r="G75" i="2"/>
  <c r="W74" i="2"/>
  <c r="S74" i="2"/>
  <c r="P74" i="2"/>
  <c r="M74" i="2"/>
  <c r="J74" i="2"/>
  <c r="G74" i="2"/>
  <c r="W73" i="2"/>
  <c r="S73" i="2"/>
  <c r="P73" i="2"/>
  <c r="M73" i="2"/>
  <c r="J73" i="2"/>
  <c r="G73" i="2"/>
  <c r="W72" i="2"/>
  <c r="S72" i="2"/>
  <c r="P72" i="2"/>
  <c r="M72" i="2"/>
  <c r="J72" i="2"/>
  <c r="G72" i="2"/>
  <c r="W71" i="2"/>
  <c r="S71" i="2"/>
  <c r="P71" i="2"/>
  <c r="M71" i="2"/>
  <c r="J71" i="2"/>
  <c r="G71" i="2"/>
  <c r="W70" i="2"/>
  <c r="S70" i="2"/>
  <c r="P70" i="2"/>
  <c r="M70" i="2"/>
  <c r="J70" i="2"/>
  <c r="G70" i="2"/>
  <c r="W69" i="2"/>
  <c r="S69" i="2"/>
  <c r="P69" i="2"/>
  <c r="M69" i="2"/>
  <c r="J69" i="2"/>
  <c r="G69" i="2"/>
  <c r="W68" i="2"/>
  <c r="S68" i="2"/>
  <c r="P68" i="2"/>
  <c r="M68" i="2"/>
  <c r="J68" i="2"/>
  <c r="G68" i="2"/>
  <c r="W67" i="2"/>
  <c r="S67" i="2"/>
  <c r="P67" i="2"/>
  <c r="M67" i="2"/>
  <c r="J67" i="2"/>
  <c r="G67" i="2"/>
  <c r="W66" i="2"/>
  <c r="S66" i="2"/>
  <c r="P66" i="2"/>
  <c r="M66" i="2"/>
  <c r="J66" i="2"/>
  <c r="G66" i="2"/>
  <c r="W65" i="2"/>
  <c r="S65" i="2"/>
  <c r="P65" i="2"/>
  <c r="M65" i="2"/>
  <c r="J65" i="2"/>
  <c r="G65" i="2"/>
  <c r="W64" i="2"/>
  <c r="S64" i="2"/>
  <c r="P64" i="2"/>
  <c r="M64" i="2"/>
  <c r="J64" i="2"/>
  <c r="G64" i="2"/>
  <c r="W63" i="2"/>
  <c r="S63" i="2"/>
  <c r="P63" i="2"/>
  <c r="M63" i="2"/>
  <c r="J63" i="2"/>
  <c r="G63" i="2"/>
  <c r="W62" i="2"/>
  <c r="S62" i="2"/>
  <c r="P62" i="2"/>
  <c r="M62" i="2"/>
  <c r="J62" i="2"/>
  <c r="G62" i="2"/>
  <c r="W61" i="2"/>
  <c r="S61" i="2"/>
  <c r="P61" i="2"/>
  <c r="M61" i="2"/>
  <c r="J61" i="2"/>
  <c r="G61" i="2"/>
  <c r="W60" i="2"/>
  <c r="S60" i="2"/>
  <c r="P60" i="2"/>
  <c r="M60" i="2"/>
  <c r="J60" i="2"/>
  <c r="G60" i="2"/>
  <c r="W59" i="2"/>
  <c r="S59" i="2"/>
  <c r="P59" i="2"/>
  <c r="M59" i="2"/>
  <c r="J59" i="2"/>
  <c r="G59" i="2"/>
  <c r="W58" i="2"/>
  <c r="S58" i="2"/>
  <c r="P58" i="2"/>
  <c r="M58" i="2"/>
  <c r="J58" i="2"/>
  <c r="G58" i="2"/>
  <c r="W57" i="2"/>
  <c r="S57" i="2"/>
  <c r="P57" i="2"/>
  <c r="M57" i="2"/>
  <c r="J57" i="2"/>
  <c r="G57" i="2"/>
  <c r="W56" i="2"/>
  <c r="S56" i="2"/>
  <c r="P56" i="2"/>
  <c r="M56" i="2"/>
  <c r="J56" i="2"/>
  <c r="G56" i="2"/>
  <c r="W55" i="2"/>
  <c r="S55" i="2"/>
  <c r="P55" i="2"/>
  <c r="M55" i="2"/>
  <c r="J55" i="2"/>
  <c r="G55" i="2"/>
  <c r="W54" i="2"/>
  <c r="S54" i="2"/>
  <c r="P54" i="2"/>
  <c r="M54" i="2"/>
  <c r="J54" i="2"/>
  <c r="G54" i="2"/>
  <c r="W53" i="2"/>
  <c r="S53" i="2"/>
  <c r="P53" i="2"/>
  <c r="M53" i="2"/>
  <c r="J53" i="2"/>
  <c r="G53" i="2"/>
  <c r="W52" i="2"/>
  <c r="S52" i="2"/>
  <c r="P52" i="2"/>
  <c r="M52" i="2"/>
  <c r="J52" i="2"/>
  <c r="G52" i="2"/>
  <c r="W51" i="2"/>
  <c r="S51" i="2"/>
  <c r="P51" i="2"/>
  <c r="M51" i="2"/>
  <c r="J51" i="2"/>
  <c r="G51" i="2"/>
  <c r="W50" i="2"/>
  <c r="S50" i="2"/>
  <c r="P50" i="2"/>
  <c r="M50" i="2"/>
  <c r="J50" i="2"/>
  <c r="G50" i="2"/>
  <c r="W49" i="2"/>
  <c r="S49" i="2"/>
  <c r="P49" i="2"/>
  <c r="M49" i="2"/>
  <c r="J49" i="2"/>
  <c r="G49" i="2"/>
  <c r="W48" i="2"/>
  <c r="S48" i="2"/>
  <c r="P48" i="2"/>
  <c r="M48" i="2"/>
  <c r="J48" i="2"/>
  <c r="G48" i="2"/>
  <c r="W47" i="2"/>
  <c r="S47" i="2"/>
  <c r="P47" i="2"/>
  <c r="M47" i="2"/>
  <c r="J47" i="2"/>
  <c r="G47" i="2"/>
  <c r="W46" i="2"/>
  <c r="S46" i="2"/>
  <c r="P46" i="2"/>
  <c r="M46" i="2"/>
  <c r="J46" i="2"/>
  <c r="G46" i="2"/>
  <c r="W45" i="2"/>
  <c r="S45" i="2"/>
  <c r="P45" i="2"/>
  <c r="M45" i="2"/>
  <c r="J45" i="2"/>
  <c r="G45" i="2"/>
  <c r="W44" i="2"/>
  <c r="S44" i="2"/>
  <c r="P44" i="2"/>
  <c r="M44" i="2"/>
  <c r="J44" i="2"/>
  <c r="G44" i="2"/>
  <c r="W43" i="2"/>
  <c r="S43" i="2"/>
  <c r="P43" i="2"/>
  <c r="M43" i="2"/>
  <c r="J43" i="2"/>
  <c r="G43" i="2"/>
  <c r="W42" i="2"/>
  <c r="S42" i="2"/>
  <c r="P42" i="2"/>
  <c r="M42" i="2"/>
  <c r="J42" i="2"/>
  <c r="G42" i="2"/>
  <c r="W41" i="2"/>
  <c r="S41" i="2"/>
  <c r="P41" i="2"/>
  <c r="M41" i="2"/>
  <c r="J41" i="2"/>
  <c r="G41" i="2"/>
  <c r="W40" i="2"/>
  <c r="S40" i="2"/>
  <c r="P40" i="2"/>
  <c r="M40" i="2"/>
  <c r="J40" i="2"/>
  <c r="G40" i="2"/>
  <c r="W39" i="2"/>
  <c r="S39" i="2"/>
  <c r="P39" i="2"/>
  <c r="M39" i="2"/>
  <c r="J39" i="2"/>
  <c r="G39" i="2"/>
  <c r="W38" i="2"/>
  <c r="S38" i="2"/>
  <c r="P38" i="2"/>
  <c r="M38" i="2"/>
  <c r="J38" i="2"/>
  <c r="G38" i="2"/>
  <c r="W37" i="2"/>
  <c r="S37" i="2"/>
  <c r="P37" i="2"/>
  <c r="M37" i="2"/>
  <c r="J37" i="2"/>
  <c r="G37" i="2"/>
  <c r="W36" i="2"/>
  <c r="S36" i="2"/>
  <c r="P36" i="2"/>
  <c r="M36" i="2"/>
  <c r="J36" i="2"/>
  <c r="G36" i="2"/>
  <c r="W35" i="2"/>
  <c r="S35" i="2"/>
  <c r="P35" i="2"/>
  <c r="M35" i="2"/>
  <c r="J35" i="2"/>
  <c r="G35" i="2"/>
  <c r="W34" i="2"/>
  <c r="S34" i="2"/>
  <c r="P34" i="2"/>
  <c r="M34" i="2"/>
  <c r="J34" i="2"/>
  <c r="G34" i="2"/>
  <c r="W33" i="2"/>
  <c r="S33" i="2"/>
  <c r="P33" i="2"/>
  <c r="M33" i="2"/>
  <c r="J33" i="2"/>
  <c r="G33" i="2"/>
  <c r="W32" i="2"/>
  <c r="S32" i="2"/>
  <c r="P32" i="2"/>
  <c r="M32" i="2"/>
  <c r="J32" i="2"/>
  <c r="G32" i="2"/>
  <c r="W31" i="2"/>
  <c r="S31" i="2"/>
  <c r="P31" i="2"/>
  <c r="M31" i="2"/>
  <c r="J31" i="2"/>
  <c r="G31" i="2"/>
  <c r="W30" i="2"/>
  <c r="S30" i="2"/>
  <c r="P30" i="2"/>
  <c r="M30" i="2"/>
  <c r="J30" i="2"/>
  <c r="G30" i="2"/>
  <c r="W29" i="2"/>
  <c r="S29" i="2"/>
  <c r="P29" i="2"/>
  <c r="M29" i="2"/>
  <c r="J29" i="2"/>
  <c r="G29" i="2"/>
  <c r="W28" i="2"/>
  <c r="S28" i="2"/>
  <c r="P28" i="2"/>
  <c r="M28" i="2"/>
  <c r="J28" i="2"/>
  <c r="G28" i="2"/>
  <c r="W27" i="2"/>
  <c r="S27" i="2"/>
  <c r="P27" i="2"/>
  <c r="M27" i="2"/>
  <c r="J27" i="2"/>
  <c r="G27" i="2"/>
  <c r="W26" i="2"/>
  <c r="S26" i="2"/>
  <c r="P26" i="2"/>
  <c r="M26" i="2"/>
  <c r="J26" i="2"/>
  <c r="G26" i="2"/>
  <c r="W25" i="2"/>
  <c r="S25" i="2"/>
  <c r="P25" i="2"/>
  <c r="M25" i="2"/>
  <c r="J25" i="2"/>
  <c r="G25" i="2"/>
  <c r="W24" i="2"/>
  <c r="S24" i="2"/>
  <c r="P24" i="2"/>
  <c r="M24" i="2"/>
  <c r="J24" i="2"/>
  <c r="G24" i="2"/>
  <c r="W23" i="2"/>
  <c r="S23" i="2"/>
  <c r="P23" i="2"/>
  <c r="M23" i="2"/>
  <c r="J23" i="2"/>
  <c r="G23" i="2"/>
  <c r="W22" i="2"/>
  <c r="S22" i="2"/>
  <c r="P22" i="2"/>
  <c r="M22" i="2"/>
  <c r="J22" i="2"/>
  <c r="G22" i="2"/>
  <c r="W21" i="2"/>
  <c r="S21" i="2"/>
  <c r="P21" i="2"/>
  <c r="M21" i="2"/>
  <c r="J21" i="2"/>
  <c r="G21" i="2"/>
  <c r="W20" i="2"/>
  <c r="S20" i="2"/>
  <c r="P20" i="2"/>
  <c r="M20" i="2"/>
  <c r="N20" i="2" s="1"/>
  <c r="J20" i="2"/>
  <c r="G20" i="2"/>
  <c r="W19" i="2"/>
  <c r="S19" i="2"/>
  <c r="P19" i="2"/>
  <c r="M19" i="2"/>
  <c r="J19" i="2"/>
  <c r="G19" i="2"/>
  <c r="H19" i="2" s="1"/>
  <c r="W18" i="2"/>
  <c r="S18" i="2"/>
  <c r="P18" i="2"/>
  <c r="M18" i="2"/>
  <c r="J18" i="2"/>
  <c r="G18" i="2"/>
  <c r="W17" i="2"/>
  <c r="S17" i="2"/>
  <c r="P17" i="2"/>
  <c r="M17" i="2"/>
  <c r="J17" i="2"/>
  <c r="G17" i="2"/>
  <c r="W16" i="2"/>
  <c r="S16" i="2"/>
  <c r="P16" i="2"/>
  <c r="M16" i="2"/>
  <c r="J16" i="2"/>
  <c r="G16" i="2"/>
  <c r="W15" i="2"/>
  <c r="S15" i="2"/>
  <c r="P15" i="2"/>
  <c r="M15" i="2"/>
  <c r="J15" i="2"/>
  <c r="G15" i="2"/>
  <c r="H15" i="2" s="1"/>
  <c r="W14" i="2"/>
  <c r="S14" i="2"/>
  <c r="P14" i="2"/>
  <c r="M14" i="2"/>
  <c r="J14" i="2"/>
  <c r="G14" i="2"/>
  <c r="W13" i="2"/>
  <c r="S13" i="2"/>
  <c r="P13" i="2"/>
  <c r="M13" i="2"/>
  <c r="J13" i="2"/>
  <c r="G13" i="2"/>
  <c r="W12" i="2"/>
  <c r="S12" i="2"/>
  <c r="P12" i="2"/>
  <c r="M12" i="2"/>
  <c r="J12" i="2"/>
  <c r="G12" i="2"/>
  <c r="W11" i="2"/>
  <c r="S11" i="2"/>
  <c r="P11" i="2"/>
  <c r="M11" i="2"/>
  <c r="J11" i="2"/>
  <c r="G11" i="2"/>
  <c r="W10" i="2"/>
  <c r="S10" i="2"/>
  <c r="P10" i="2"/>
  <c r="M10" i="2"/>
  <c r="J10" i="2"/>
  <c r="G10" i="2"/>
  <c r="W9" i="2"/>
  <c r="S9" i="2"/>
  <c r="P9" i="2"/>
  <c r="M9" i="2"/>
  <c r="J9" i="2"/>
  <c r="G9" i="2"/>
  <c r="H9" i="2" s="1"/>
  <c r="W8" i="2"/>
  <c r="S8" i="2"/>
  <c r="P8" i="2"/>
  <c r="M8" i="2"/>
  <c r="J8" i="2"/>
  <c r="G8" i="2"/>
  <c r="W7" i="2"/>
  <c r="S7" i="2"/>
  <c r="P7" i="2"/>
  <c r="M7" i="2"/>
  <c r="J7" i="2"/>
  <c r="G7" i="2"/>
  <c r="W6" i="2"/>
  <c r="S6" i="2"/>
  <c r="P6" i="2"/>
  <c r="M6" i="2"/>
  <c r="J6" i="2"/>
  <c r="G6" i="2"/>
  <c r="W5" i="2"/>
  <c r="S5" i="2"/>
  <c r="P5" i="2"/>
  <c r="M5" i="2"/>
  <c r="N50" i="2" s="1"/>
  <c r="J5" i="2"/>
  <c r="G5" i="2"/>
  <c r="W4" i="2"/>
  <c r="S4" i="2"/>
  <c r="P4" i="2"/>
  <c r="M4" i="2"/>
  <c r="J4" i="2"/>
  <c r="G4" i="2"/>
  <c r="X9" i="2" l="1"/>
  <c r="H4" i="2"/>
  <c r="N32" i="2"/>
  <c r="N24" i="2"/>
  <c r="X6" i="2"/>
  <c r="X100" i="2"/>
  <c r="N13" i="2"/>
  <c r="N11" i="2"/>
  <c r="H8" i="2"/>
  <c r="T105" i="2"/>
  <c r="N17" i="2"/>
  <c r="H11" i="2"/>
  <c r="N88" i="2"/>
  <c r="H12" i="2"/>
  <c r="H58" i="2"/>
  <c r="H108" i="2"/>
  <c r="N19" i="2"/>
  <c r="X126" i="2"/>
  <c r="N8" i="2"/>
  <c r="T125" i="2"/>
  <c r="N12" i="2"/>
  <c r="N76" i="2"/>
  <c r="N74" i="2"/>
  <c r="T18" i="2"/>
  <c r="T13" i="2"/>
  <c r="T9" i="2"/>
  <c r="X16" i="2"/>
  <c r="H36" i="2"/>
  <c r="H38" i="2"/>
  <c r="X41" i="2"/>
  <c r="X43" i="2"/>
  <c r="T45" i="2"/>
  <c r="T47" i="2"/>
  <c r="N59" i="2"/>
  <c r="N61" i="2"/>
  <c r="H69" i="2"/>
  <c r="H73" i="2"/>
  <c r="X76" i="2"/>
  <c r="X78" i="2"/>
  <c r="T82" i="2"/>
  <c r="T84" i="2"/>
  <c r="N92" i="2"/>
  <c r="N94" i="2"/>
  <c r="H96" i="2"/>
  <c r="X99" i="2"/>
  <c r="H113" i="2"/>
  <c r="H119" i="2"/>
  <c r="H125" i="2"/>
  <c r="N6" i="2"/>
  <c r="X18" i="2"/>
  <c r="N26" i="2"/>
  <c r="N30" i="2"/>
  <c r="H42" i="2"/>
  <c r="H44" i="2"/>
  <c r="X47" i="2"/>
  <c r="X49" i="2"/>
  <c r="T51" i="2"/>
  <c r="T53" i="2"/>
  <c r="N65" i="2"/>
  <c r="N67" i="2"/>
  <c r="H75" i="2"/>
  <c r="H79" i="2"/>
  <c r="X82" i="2"/>
  <c r="X84" i="2"/>
  <c r="T88" i="2"/>
  <c r="T90" i="2"/>
  <c r="H100" i="2"/>
  <c r="T103" i="2"/>
  <c r="N107" i="2"/>
  <c r="T11" i="2"/>
  <c r="H17" i="2"/>
  <c r="T20" i="2"/>
  <c r="T22" i="2"/>
  <c r="T24" i="2"/>
  <c r="N36" i="2"/>
  <c r="H48" i="2"/>
  <c r="H50" i="2"/>
  <c r="X53" i="2"/>
  <c r="X55" i="2"/>
  <c r="T57" i="2"/>
  <c r="T59" i="2"/>
  <c r="N73" i="2"/>
  <c r="H81" i="2"/>
  <c r="H85" i="2"/>
  <c r="X86" i="2"/>
  <c r="X88" i="2"/>
  <c r="X90" i="2"/>
  <c r="N98" i="2"/>
  <c r="N109" i="2"/>
  <c r="N111" i="2"/>
  <c r="N113" i="2"/>
  <c r="N115" i="2"/>
  <c r="N117" i="2"/>
  <c r="N119" i="2"/>
  <c r="N121" i="2"/>
  <c r="N123" i="2"/>
  <c r="N125" i="2"/>
  <c r="X120" i="2"/>
  <c r="X114" i="2"/>
  <c r="X108" i="2"/>
  <c r="X102" i="2"/>
  <c r="X96" i="2"/>
  <c r="X121" i="2"/>
  <c r="X115" i="2"/>
  <c r="X109" i="2"/>
  <c r="X103" i="2"/>
  <c r="X97" i="2"/>
  <c r="X80" i="2"/>
  <c r="X74" i="2"/>
  <c r="X68" i="2"/>
  <c r="X62" i="2"/>
  <c r="X56" i="2"/>
  <c r="X44" i="2"/>
  <c r="X38" i="2"/>
  <c r="X32" i="2"/>
  <c r="X26" i="2"/>
  <c r="X20" i="2"/>
  <c r="X14" i="2"/>
  <c r="X122" i="2"/>
  <c r="X81" i="2"/>
  <c r="X75" i="2"/>
  <c r="X63" i="2"/>
  <c r="X57" i="2"/>
  <c r="X45" i="2"/>
  <c r="X39" i="2"/>
  <c r="X33" i="2"/>
  <c r="X27" i="2"/>
  <c r="X21" i="2"/>
  <c r="X4" i="2"/>
  <c r="X118" i="2"/>
  <c r="X125" i="2"/>
  <c r="X107" i="2"/>
  <c r="X101" i="2"/>
  <c r="X95" i="2"/>
  <c r="T6" i="2"/>
  <c r="X11" i="2"/>
  <c r="X13" i="2"/>
  <c r="X22" i="2"/>
  <c r="X24" i="2"/>
  <c r="T28" i="2"/>
  <c r="T30" i="2"/>
  <c r="N38" i="2"/>
  <c r="N42" i="2"/>
  <c r="H54" i="2"/>
  <c r="H56" i="2"/>
  <c r="X59" i="2"/>
  <c r="X61" i="2"/>
  <c r="T63" i="2"/>
  <c r="T65" i="2"/>
  <c r="N79" i="2"/>
  <c r="H87" i="2"/>
  <c r="H91" i="2"/>
  <c r="X92" i="2"/>
  <c r="N100" i="2"/>
  <c r="H102" i="2"/>
  <c r="X105" i="2"/>
  <c r="T19" i="2"/>
  <c r="T32" i="2"/>
  <c r="T26" i="2"/>
  <c r="T15" i="2"/>
  <c r="T117" i="2"/>
  <c r="T111" i="2"/>
  <c r="H21" i="2"/>
  <c r="H25" i="2"/>
  <c r="X28" i="2"/>
  <c r="X30" i="2"/>
  <c r="T34" i="2"/>
  <c r="T36" i="2"/>
  <c r="N44" i="2"/>
  <c r="N48" i="2"/>
  <c r="H60" i="2"/>
  <c r="H62" i="2"/>
  <c r="X65" i="2"/>
  <c r="X67" i="2"/>
  <c r="T69" i="2"/>
  <c r="T71" i="2"/>
  <c r="N85" i="2"/>
  <c r="X94" i="2"/>
  <c r="T98" i="2"/>
  <c r="H106" i="2"/>
  <c r="T109" i="2"/>
  <c r="T115" i="2"/>
  <c r="T121" i="2"/>
  <c r="T123" i="2"/>
  <c r="H5" i="2"/>
  <c r="H7" i="2"/>
  <c r="H27" i="2"/>
  <c r="H31" i="2"/>
  <c r="X34" i="2"/>
  <c r="X36" i="2"/>
  <c r="T40" i="2"/>
  <c r="T42" i="2"/>
  <c r="N54" i="2"/>
  <c r="H66" i="2"/>
  <c r="H68" i="2"/>
  <c r="X71" i="2"/>
  <c r="X73" i="2"/>
  <c r="T75" i="2"/>
  <c r="T77" i="2"/>
  <c r="N91" i="2"/>
  <c r="N93" i="2"/>
  <c r="H95" i="2"/>
  <c r="X98" i="2"/>
  <c r="N104" i="2"/>
  <c r="X111" i="2"/>
  <c r="X117" i="2"/>
  <c r="X123" i="2"/>
  <c r="T8" i="2"/>
  <c r="X15" i="2"/>
  <c r="T17" i="2"/>
  <c r="N23" i="2"/>
  <c r="N25" i="2"/>
  <c r="H33" i="2"/>
  <c r="H37" i="2"/>
  <c r="X40" i="2"/>
  <c r="X42" i="2"/>
  <c r="T46" i="2"/>
  <c r="T48" i="2"/>
  <c r="N56" i="2"/>
  <c r="N60" i="2"/>
  <c r="H72" i="2"/>
  <c r="H74" i="2"/>
  <c r="X77" i="2"/>
  <c r="X79" i="2"/>
  <c r="T81" i="2"/>
  <c r="T83" i="2"/>
  <c r="T85" i="2"/>
  <c r="N106" i="2"/>
  <c r="H112" i="2"/>
  <c r="H118" i="2"/>
  <c r="H126" i="2"/>
  <c r="N10" i="2"/>
  <c r="N5" i="2"/>
  <c r="N126" i="2"/>
  <c r="N87" i="2"/>
  <c r="N69" i="2"/>
  <c r="N51" i="2"/>
  <c r="N9" i="2"/>
  <c r="N7" i="2"/>
  <c r="T10" i="2"/>
  <c r="N14" i="2"/>
  <c r="X17" i="2"/>
  <c r="X19" i="2"/>
  <c r="N29" i="2"/>
  <c r="N31" i="2"/>
  <c r="H39" i="2"/>
  <c r="H43" i="2"/>
  <c r="X46" i="2"/>
  <c r="X48" i="2"/>
  <c r="T52" i="2"/>
  <c r="T54" i="2"/>
  <c r="N62" i="2"/>
  <c r="N66" i="2"/>
  <c r="H78" i="2"/>
  <c r="H80" i="2"/>
  <c r="X83" i="2"/>
  <c r="X85" i="2"/>
  <c r="T87" i="2"/>
  <c r="T89" i="2"/>
  <c r="T91" i="2"/>
  <c r="N95" i="2"/>
  <c r="T104" i="2"/>
  <c r="X8" i="2"/>
  <c r="X10" i="2"/>
  <c r="X112" i="2"/>
  <c r="T12" i="2"/>
  <c r="H22" i="2"/>
  <c r="H16" i="2"/>
  <c r="H35" i="2"/>
  <c r="H29" i="2"/>
  <c r="H23" i="2"/>
  <c r="H18" i="2"/>
  <c r="H120" i="2"/>
  <c r="H114" i="2"/>
  <c r="H20" i="2"/>
  <c r="T21" i="2"/>
  <c r="T23" i="2"/>
  <c r="N35" i="2"/>
  <c r="N37" i="2"/>
  <c r="H45" i="2"/>
  <c r="H49" i="2"/>
  <c r="X52" i="2"/>
  <c r="X54" i="2"/>
  <c r="T58" i="2"/>
  <c r="T60" i="2"/>
  <c r="N68" i="2"/>
  <c r="N72" i="2"/>
  <c r="H84" i="2"/>
  <c r="H86" i="2"/>
  <c r="X89" i="2"/>
  <c r="X91" i="2"/>
  <c r="T93" i="2"/>
  <c r="N97" i="2"/>
  <c r="N99" i="2"/>
  <c r="H101" i="2"/>
  <c r="X104" i="2"/>
  <c r="N110" i="2"/>
  <c r="N112" i="2"/>
  <c r="N116" i="2"/>
  <c r="N118" i="2"/>
  <c r="N122" i="2"/>
  <c r="N124" i="2"/>
  <c r="H122" i="2"/>
  <c r="T119" i="2"/>
  <c r="X12" i="2"/>
  <c r="X23" i="2"/>
  <c r="X25" i="2"/>
  <c r="T27" i="2"/>
  <c r="T29" i="2"/>
  <c r="N41" i="2"/>
  <c r="N43" i="2"/>
  <c r="H51" i="2"/>
  <c r="H55" i="2"/>
  <c r="X58" i="2"/>
  <c r="X60" i="2"/>
  <c r="T64" i="2"/>
  <c r="T66" i="2"/>
  <c r="N78" i="2"/>
  <c r="H88" i="2"/>
  <c r="H90" i="2"/>
  <c r="H92" i="2"/>
  <c r="X93" i="2"/>
  <c r="T7" i="2"/>
  <c r="H13" i="2"/>
  <c r="T14" i="2"/>
  <c r="N70" i="2"/>
  <c r="N64" i="2"/>
  <c r="N58" i="2"/>
  <c r="N52" i="2"/>
  <c r="N46" i="2"/>
  <c r="N40" i="2"/>
  <c r="N34" i="2"/>
  <c r="N28" i="2"/>
  <c r="N22" i="2"/>
  <c r="N16" i="2"/>
  <c r="N4" i="2"/>
  <c r="N18" i="2"/>
  <c r="N63" i="2"/>
  <c r="N57" i="2"/>
  <c r="N45" i="2"/>
  <c r="N39" i="2"/>
  <c r="N33" i="2"/>
  <c r="N27" i="2"/>
  <c r="N21" i="2"/>
  <c r="N15" i="2"/>
  <c r="H24" i="2"/>
  <c r="H26" i="2"/>
  <c r="X29" i="2"/>
  <c r="X31" i="2"/>
  <c r="T33" i="2"/>
  <c r="T35" i="2"/>
  <c r="N47" i="2"/>
  <c r="N49" i="2"/>
  <c r="H57" i="2"/>
  <c r="H61" i="2"/>
  <c r="X64" i="2"/>
  <c r="X66" i="2"/>
  <c r="T70" i="2"/>
  <c r="T72" i="2"/>
  <c r="N80" i="2"/>
  <c r="N84" i="2"/>
  <c r="H94" i="2"/>
  <c r="T97" i="2"/>
  <c r="N101" i="2"/>
  <c r="X106" i="2"/>
  <c r="T110" i="2"/>
  <c r="T116" i="2"/>
  <c r="T122" i="2"/>
  <c r="H10" i="2"/>
  <c r="H6" i="2"/>
  <c r="X7" i="2"/>
  <c r="T16" i="2"/>
  <c r="H30" i="2"/>
  <c r="H32" i="2"/>
  <c r="X35" i="2"/>
  <c r="X37" i="2"/>
  <c r="T39" i="2"/>
  <c r="T41" i="2"/>
  <c r="N53" i="2"/>
  <c r="N55" i="2"/>
  <c r="H63" i="2"/>
  <c r="H67" i="2"/>
  <c r="X70" i="2"/>
  <c r="X72" i="2"/>
  <c r="T76" i="2"/>
  <c r="T78" i="2"/>
  <c r="N86" i="2"/>
  <c r="N90" i="2"/>
  <c r="T99" i="2"/>
  <c r="N103" i="2"/>
  <c r="N105" i="2"/>
  <c r="H107" i="2"/>
  <c r="X110" i="2"/>
  <c r="X116" i="2"/>
  <c r="X124" i="2"/>
  <c r="T5" i="2"/>
  <c r="H14" i="2"/>
  <c r="N75" i="2"/>
  <c r="N81" i="2"/>
  <c r="T94" i="2"/>
  <c r="H97" i="2"/>
  <c r="T100" i="2"/>
  <c r="H103" i="2"/>
  <c r="T106" i="2"/>
  <c r="H109" i="2"/>
  <c r="T112" i="2"/>
  <c r="X113" i="2"/>
  <c r="H115" i="2"/>
  <c r="T118" i="2"/>
  <c r="X119" i="2"/>
  <c r="H121" i="2"/>
  <c r="T124" i="2"/>
  <c r="T4" i="2"/>
  <c r="X5" i="2"/>
  <c r="T38" i="2"/>
  <c r="H41" i="2"/>
  <c r="T44" i="2"/>
  <c r="H47" i="2"/>
  <c r="T50" i="2"/>
  <c r="X51" i="2"/>
  <c r="H53" i="2"/>
  <c r="T56" i="2"/>
  <c r="H59" i="2"/>
  <c r="T62" i="2"/>
  <c r="H65" i="2"/>
  <c r="T68" i="2"/>
  <c r="X69" i="2"/>
  <c r="H71" i="2"/>
  <c r="T74" i="2"/>
  <c r="H77" i="2"/>
  <c r="T80" i="2"/>
  <c r="H83" i="2"/>
  <c r="T86" i="2"/>
  <c r="X87" i="2"/>
  <c r="H89" i="2"/>
  <c r="T92" i="2"/>
  <c r="N96" i="2"/>
  <c r="N102" i="2"/>
  <c r="N108" i="2"/>
  <c r="N114" i="2"/>
  <c r="N120" i="2"/>
  <c r="H124" i="2"/>
  <c r="T25" i="2"/>
  <c r="H28" i="2"/>
  <c r="T31" i="2"/>
  <c r="H34" i="2"/>
  <c r="T37" i="2"/>
  <c r="H40" i="2"/>
  <c r="T43" i="2"/>
  <c r="H46" i="2"/>
  <c r="T49" i="2"/>
  <c r="X50" i="2"/>
  <c r="H52" i="2"/>
  <c r="T55" i="2"/>
  <c r="T61" i="2"/>
  <c r="H64" i="2"/>
  <c r="T67" i="2"/>
  <c r="H70" i="2"/>
  <c r="T73" i="2"/>
  <c r="H76" i="2"/>
  <c r="T79" i="2"/>
  <c r="H82" i="2"/>
  <c r="N71" i="2"/>
  <c r="N77" i="2"/>
  <c r="N83" i="2"/>
  <c r="N89" i="2"/>
  <c r="H93" i="2"/>
  <c r="T96" i="2"/>
  <c r="H99" i="2"/>
  <c r="T102" i="2"/>
  <c r="H105" i="2"/>
  <c r="T108" i="2"/>
  <c r="H111" i="2"/>
  <c r="T114" i="2"/>
  <c r="H117" i="2"/>
  <c r="T120" i="2"/>
  <c r="H123" i="2"/>
  <c r="T126" i="2"/>
  <c r="N82" i="2"/>
  <c r="T95" i="2"/>
  <c r="H98" i="2"/>
  <c r="T101" i="2"/>
  <c r="H104" i="2"/>
  <c r="T107" i="2"/>
  <c r="H110" i="2"/>
  <c r="T113" i="2"/>
  <c r="H116" i="2"/>
</calcChain>
</file>

<file path=xl/sharedStrings.xml><?xml version="1.0" encoding="utf-8"?>
<sst xmlns="http://schemas.openxmlformats.org/spreadsheetml/2006/main" count="3029" uniqueCount="656">
  <si>
    <t>배번</t>
  </si>
  <si>
    <t>조편성</t>
  </si>
  <si>
    <t>소속학교</t>
  </si>
  <si>
    <t>학생</t>
  </si>
  <si>
    <t>성별</t>
  </si>
  <si>
    <t>성명</t>
  </si>
  <si>
    <t>제자리멀리뛰기1차</t>
  </si>
  <si>
    <t>제자리멀리뛰기2차</t>
  </si>
  <si>
    <t>제/멀(최대)</t>
  </si>
  <si>
    <t>제멀 랭킹</t>
  </si>
  <si>
    <t>서전트</t>
  </si>
  <si>
    <t>서전트 랭킹</t>
  </si>
  <si>
    <t>배근력 1차</t>
  </si>
  <si>
    <t>배근력 2차</t>
  </si>
  <si>
    <t>배근력(최대)</t>
  </si>
  <si>
    <t>배근력 랭킹</t>
  </si>
  <si>
    <t>20m왕복달리기</t>
  </si>
  <si>
    <t>20m왕복달리기 랭킹</t>
  </si>
  <si>
    <t>좌전굴 1차</t>
  </si>
  <si>
    <t>좌전굴 2차</t>
  </si>
  <si>
    <t>좌전굴(최대)</t>
  </si>
  <si>
    <t>좌전굴 랭킹</t>
  </si>
  <si>
    <t>메디신볼 1차</t>
  </si>
  <si>
    <t>메디신볼 2차</t>
  </si>
  <si>
    <t>메디신(최대)</t>
  </si>
  <si>
    <t>메디신 랭킹</t>
  </si>
  <si>
    <t>A-1-1</t>
  </si>
  <si>
    <t>남</t>
  </si>
  <si>
    <t>A-1-2</t>
  </si>
  <si>
    <t>여</t>
  </si>
  <si>
    <t>A-1-3</t>
  </si>
  <si>
    <t>A-1-4</t>
  </si>
  <si>
    <t>A-1-5</t>
  </si>
  <si>
    <t>x</t>
  </si>
  <si>
    <t>A-1-6</t>
  </si>
  <si>
    <t>A-1-7</t>
  </si>
  <si>
    <t>김민준</t>
  </si>
  <si>
    <t>A-1-8</t>
  </si>
  <si>
    <t>A-1-9</t>
  </si>
  <si>
    <t>A-1-10</t>
  </si>
  <si>
    <t>A-1-11</t>
  </si>
  <si>
    <t>A-1-12</t>
  </si>
  <si>
    <t>A-1-13</t>
  </si>
  <si>
    <t>A-1-14</t>
  </si>
  <si>
    <t>A-1-15</t>
  </si>
  <si>
    <t>A-1-16</t>
  </si>
  <si>
    <t>F(6)</t>
  </si>
  <si>
    <t>A-1-17</t>
  </si>
  <si>
    <t>김민성</t>
  </si>
  <si>
    <t>A-1-18</t>
  </si>
  <si>
    <t>김연우</t>
  </si>
  <si>
    <t>F(5.9)</t>
  </si>
  <si>
    <t>A-2-1</t>
  </si>
  <si>
    <t>A-2-2</t>
  </si>
  <si>
    <t>A-2-3</t>
  </si>
  <si>
    <t>A-2-4</t>
  </si>
  <si>
    <t>A-2-5</t>
  </si>
  <si>
    <t>A-2-6</t>
  </si>
  <si>
    <t>A-2-7</t>
  </si>
  <si>
    <t>A-2-8</t>
  </si>
  <si>
    <t>A-2-9</t>
  </si>
  <si>
    <t>A-2-10</t>
  </si>
  <si>
    <t>A-2-11</t>
  </si>
  <si>
    <t>F(7.5)</t>
  </si>
  <si>
    <t>A-2-12</t>
  </si>
  <si>
    <t>A-2-13</t>
  </si>
  <si>
    <t>A-2-14</t>
  </si>
  <si>
    <t>A-2-15</t>
  </si>
  <si>
    <t>A-2-16</t>
  </si>
  <si>
    <t>A-2-17</t>
  </si>
  <si>
    <t>A-2-18</t>
  </si>
  <si>
    <t>A-2-19</t>
  </si>
  <si>
    <t>F(8.9)</t>
  </si>
  <si>
    <t>A-2-20</t>
  </si>
  <si>
    <t>A-2-21</t>
  </si>
  <si>
    <t>A-2-22</t>
  </si>
  <si>
    <t>B-1-1</t>
  </si>
  <si>
    <t>B-1-2</t>
  </si>
  <si>
    <t>B-1-3</t>
  </si>
  <si>
    <t>B-1-4</t>
  </si>
  <si>
    <t>B-1-5</t>
  </si>
  <si>
    <t>B-1-6</t>
  </si>
  <si>
    <t>B-1-7</t>
  </si>
  <si>
    <t>B-1-8</t>
  </si>
  <si>
    <t>B-1-9</t>
  </si>
  <si>
    <t>B-1-10</t>
  </si>
  <si>
    <t>B-1-11</t>
  </si>
  <si>
    <t>B-1-12</t>
  </si>
  <si>
    <t>김민서</t>
  </si>
  <si>
    <t>B-1-13</t>
  </si>
  <si>
    <t>X(부상)</t>
  </si>
  <si>
    <t>F(6.9)</t>
  </si>
  <si>
    <t>X</t>
  </si>
  <si>
    <t>B-2-1</t>
  </si>
  <si>
    <t>B-2-2</t>
  </si>
  <si>
    <t>B-2-3</t>
  </si>
  <si>
    <t>B-2-4</t>
  </si>
  <si>
    <t>B-2-5</t>
  </si>
  <si>
    <t>B-2-6</t>
  </si>
  <si>
    <t>B-2-7</t>
  </si>
  <si>
    <t>측정불가(무릎부상)</t>
  </si>
  <si>
    <t>B-2-8</t>
  </si>
  <si>
    <t>B-2-9</t>
  </si>
  <si>
    <t xml:space="preserve">   </t>
  </si>
  <si>
    <t>B-2-10</t>
  </si>
  <si>
    <t>B-2-11</t>
  </si>
  <si>
    <t>B-2-12</t>
  </si>
  <si>
    <t>B-2-13</t>
  </si>
  <si>
    <t>B-2-14</t>
  </si>
  <si>
    <t>B-2-15</t>
  </si>
  <si>
    <t>B-2-16</t>
  </si>
  <si>
    <t>B-2-17</t>
  </si>
  <si>
    <t>B-2-18</t>
  </si>
  <si>
    <t>C-1-1</t>
  </si>
  <si>
    <t>C-1-2</t>
  </si>
  <si>
    <t>C-1-3</t>
  </si>
  <si>
    <t>C-1-4</t>
  </si>
  <si>
    <t>C-1-5</t>
  </si>
  <si>
    <t>C-1-6</t>
  </si>
  <si>
    <t>C-1-7</t>
  </si>
  <si>
    <t>C-1-8</t>
  </si>
  <si>
    <t>C-1-9</t>
  </si>
  <si>
    <t>C-1-10</t>
  </si>
  <si>
    <t>C-1-11</t>
  </si>
  <si>
    <t>C-1-12</t>
  </si>
  <si>
    <t>C-1-13</t>
  </si>
  <si>
    <t>C-1-14</t>
  </si>
  <si>
    <t>C-1-15</t>
  </si>
  <si>
    <t>C-1-16</t>
  </si>
  <si>
    <t>C-1-17</t>
  </si>
  <si>
    <t>C-1-18</t>
  </si>
  <si>
    <t>C-1-19</t>
  </si>
  <si>
    <t>김시현</t>
  </si>
  <si>
    <t>부상</t>
  </si>
  <si>
    <t>임예은</t>
  </si>
  <si>
    <t>C-2-1</t>
  </si>
  <si>
    <t>C-2-2</t>
  </si>
  <si>
    <t>C-2-3</t>
  </si>
  <si>
    <t>C-2-4</t>
  </si>
  <si>
    <t>C-2-5</t>
  </si>
  <si>
    <t>C-2-6</t>
  </si>
  <si>
    <t>C-2-7</t>
  </si>
  <si>
    <t>C-2-8</t>
  </si>
  <si>
    <t>C-2-9</t>
  </si>
  <si>
    <t>C-2-10</t>
  </si>
  <si>
    <t>이재윤</t>
  </si>
  <si>
    <t>C-2-11</t>
  </si>
  <si>
    <t>C-2-12</t>
  </si>
  <si>
    <t>C-2-13</t>
  </si>
  <si>
    <t>C-2-14</t>
  </si>
  <si>
    <t>C-2-15</t>
  </si>
  <si>
    <t>C-2-16</t>
  </si>
  <si>
    <t>C-2-17</t>
  </si>
  <si>
    <t>C-2-18</t>
  </si>
  <si>
    <t>C-2-19</t>
  </si>
  <si>
    <t>C-2-20</t>
  </si>
  <si>
    <t>C-2-21</t>
  </si>
  <si>
    <t>C-2-22</t>
  </si>
  <si>
    <t>C-2-23</t>
  </si>
  <si>
    <t>학생선수</t>
  </si>
  <si>
    <t>신비</t>
  </si>
  <si>
    <t>파울</t>
  </si>
  <si>
    <t>김현우</t>
  </si>
  <si>
    <t>F(8.5)</t>
  </si>
  <si>
    <t>F(8)</t>
  </si>
  <si>
    <t>F(8.2)</t>
  </si>
  <si>
    <t>F(8.7)</t>
  </si>
  <si>
    <t>F(5.7)</t>
  </si>
  <si>
    <t>F(6.5)</t>
  </si>
  <si>
    <t>F(7.7)</t>
  </si>
  <si>
    <t>F(6.6)</t>
  </si>
  <si>
    <t>B-1</t>
  </si>
  <si>
    <t>이현성</t>
  </si>
  <si>
    <t>6.4(f)</t>
  </si>
  <si>
    <t>F(7.1)</t>
  </si>
  <si>
    <t>김동현</t>
  </si>
  <si>
    <t>박시현</t>
  </si>
  <si>
    <t>F(7.6)</t>
  </si>
  <si>
    <t>F(9.6)</t>
  </si>
  <si>
    <t>측정불가(발목인대파열)</t>
  </si>
  <si>
    <t>2025학년도 인천 체육인재 한마당 참가 학생 명단</t>
  </si>
  <si>
    <t>A1</t>
  </si>
  <si>
    <t>인천영종고등학교</t>
  </si>
  <si>
    <t>윤동건</t>
  </si>
  <si>
    <t>서윤서</t>
  </si>
  <si>
    <t>이건희</t>
  </si>
  <si>
    <t>정재희</t>
  </si>
  <si>
    <t>전이수</t>
  </si>
  <si>
    <t>선인고등학교</t>
  </si>
  <si>
    <t>구본석</t>
  </si>
  <si>
    <t>최형준</t>
  </si>
  <si>
    <t>이인태</t>
  </si>
  <si>
    <t>김도연</t>
  </si>
  <si>
    <t>신송고등학교</t>
  </si>
  <si>
    <t>허수호</t>
  </si>
  <si>
    <t>황영석</t>
  </si>
  <si>
    <t>노찬서</t>
  </si>
  <si>
    <t>송태두</t>
  </si>
  <si>
    <t>제물포고등학교</t>
  </si>
  <si>
    <t>김경진</t>
  </si>
  <si>
    <t>김무진</t>
  </si>
  <si>
    <t>강은수</t>
  </si>
  <si>
    <t>학익고등학교</t>
  </si>
  <si>
    <t>조영진</t>
  </si>
  <si>
    <t>최윤호</t>
  </si>
  <si>
    <t>황현</t>
  </si>
  <si>
    <t>김선재</t>
  </si>
  <si>
    <t>광성고등학교</t>
  </si>
  <si>
    <t>안현진</t>
  </si>
  <si>
    <t>김경헌</t>
  </si>
  <si>
    <t>윤민혁</t>
  </si>
  <si>
    <t>이상현</t>
  </si>
  <si>
    <t>송도고등학교</t>
  </si>
  <si>
    <t>노진호</t>
  </si>
  <si>
    <t>박성재</t>
  </si>
  <si>
    <t>박준혁</t>
  </si>
  <si>
    <t>윤건희</t>
  </si>
  <si>
    <t>이종하</t>
  </si>
  <si>
    <t>A2</t>
  </si>
  <si>
    <t>인천효성고등학교</t>
  </si>
  <si>
    <t>손혁준</t>
  </si>
  <si>
    <t>김가온</t>
  </si>
  <si>
    <t>정지원</t>
  </si>
  <si>
    <t>김규혁</t>
  </si>
  <si>
    <t>임세진</t>
  </si>
  <si>
    <t>정성원</t>
  </si>
  <si>
    <t>문성현</t>
  </si>
  <si>
    <t>나한결</t>
  </si>
  <si>
    <t>최승민</t>
  </si>
  <si>
    <t>장윤상</t>
  </si>
  <si>
    <t>김세현</t>
  </si>
  <si>
    <t>허준혁</t>
  </si>
  <si>
    <t>정재효</t>
  </si>
  <si>
    <t>박한음</t>
  </si>
  <si>
    <t>장태희</t>
  </si>
  <si>
    <t>이승현</t>
  </si>
  <si>
    <t>이민혁</t>
  </si>
  <si>
    <t>이연욱</t>
  </si>
  <si>
    <t>정은찬</t>
  </si>
  <si>
    <t>조용부</t>
  </si>
  <si>
    <t>김동욱</t>
  </si>
  <si>
    <t xml:space="preserve">이민우 </t>
  </si>
  <si>
    <t>최재민</t>
  </si>
  <si>
    <t>최강현</t>
  </si>
  <si>
    <t>서원혁</t>
  </si>
  <si>
    <t>라현승</t>
  </si>
  <si>
    <t>이준호</t>
  </si>
  <si>
    <t>재능고등학교</t>
  </si>
  <si>
    <t>강동우</t>
  </si>
  <si>
    <t>김우성</t>
  </si>
  <si>
    <t>채민석</t>
  </si>
  <si>
    <t>A3</t>
  </si>
  <si>
    <t>백령고등학교</t>
  </si>
  <si>
    <t>김현민</t>
  </si>
  <si>
    <t>백석고등학교</t>
  </si>
  <si>
    <t>박용진</t>
  </si>
  <si>
    <t>즈엉</t>
  </si>
  <si>
    <t>차예준</t>
  </si>
  <si>
    <t>박태규</t>
  </si>
  <si>
    <t>박시영</t>
  </si>
  <si>
    <t>한재윤</t>
  </si>
  <si>
    <t>정민기</t>
  </si>
  <si>
    <t>작전고등학교</t>
  </si>
  <si>
    <t>김효준</t>
  </si>
  <si>
    <t>김도엽</t>
  </si>
  <si>
    <t>최세영</t>
  </si>
  <si>
    <t>이태양</t>
  </si>
  <si>
    <t>조희찬</t>
  </si>
  <si>
    <t>곽고려</t>
  </si>
  <si>
    <t>배우람</t>
  </si>
  <si>
    <t>이혁진</t>
  </si>
  <si>
    <t>최민서</t>
  </si>
  <si>
    <t>최성현</t>
  </si>
  <si>
    <t>홍현수</t>
  </si>
  <si>
    <t>강민수</t>
  </si>
  <si>
    <t>고승범</t>
  </si>
  <si>
    <t>김도윤</t>
  </si>
  <si>
    <t>김무빈</t>
  </si>
  <si>
    <t>김현겸</t>
  </si>
  <si>
    <t>김태은</t>
  </si>
  <si>
    <t>박민호</t>
  </si>
  <si>
    <t>송지호</t>
  </si>
  <si>
    <t>임현우</t>
  </si>
  <si>
    <t>정재훈</t>
  </si>
  <si>
    <t>A4</t>
  </si>
  <si>
    <t>심준석</t>
  </si>
  <si>
    <t>양천화</t>
  </si>
  <si>
    <t>김지환</t>
  </si>
  <si>
    <t>도림고등학교</t>
  </si>
  <si>
    <t>김재용</t>
  </si>
  <si>
    <t>김보승</t>
  </si>
  <si>
    <t>이민욱</t>
  </si>
  <si>
    <t>김한을</t>
  </si>
  <si>
    <t>대청고등학교</t>
  </si>
  <si>
    <t>김윤빈</t>
  </si>
  <si>
    <t>조인호</t>
  </si>
  <si>
    <t>조현서</t>
  </si>
  <si>
    <t>인천영흥고등학교</t>
  </si>
  <si>
    <t>신동민</t>
  </si>
  <si>
    <t>박민석</t>
  </si>
  <si>
    <t>김진원</t>
  </si>
  <si>
    <t>승현우</t>
  </si>
  <si>
    <t>방주환</t>
  </si>
  <si>
    <t>이태연</t>
  </si>
  <si>
    <t>문서진</t>
  </si>
  <si>
    <t>전인성</t>
  </si>
  <si>
    <t>인하대학교사범대학부속고등학교</t>
  </si>
  <si>
    <t>김승태</t>
  </si>
  <si>
    <t>교동고등학교</t>
  </si>
  <si>
    <t>이현서</t>
  </si>
  <si>
    <t>계산공업고등학교</t>
  </si>
  <si>
    <t>장승혁</t>
  </si>
  <si>
    <t>김은수</t>
  </si>
  <si>
    <t>김한결</t>
  </si>
  <si>
    <t>오우석</t>
  </si>
  <si>
    <t>오환철</t>
  </si>
  <si>
    <t>이재빈</t>
  </si>
  <si>
    <t>권우진</t>
  </si>
  <si>
    <t>김상준</t>
  </si>
  <si>
    <t>유지원</t>
  </si>
  <si>
    <t>이상연</t>
  </si>
  <si>
    <t>이준서</t>
  </si>
  <si>
    <t>A5</t>
  </si>
  <si>
    <t>민준혁</t>
  </si>
  <si>
    <t>유지웅</t>
  </si>
  <si>
    <t>김진우</t>
  </si>
  <si>
    <t>안윤호</t>
  </si>
  <si>
    <t>김승구</t>
  </si>
  <si>
    <t>강민석</t>
  </si>
  <si>
    <t>김연재</t>
  </si>
  <si>
    <t>김대엽</t>
  </si>
  <si>
    <t>유창민</t>
  </si>
  <si>
    <t>최정욱</t>
  </si>
  <si>
    <t>임승찬</t>
  </si>
  <si>
    <t>조유찬</t>
  </si>
  <si>
    <t>인천송천고등학교</t>
  </si>
  <si>
    <t>김정원</t>
  </si>
  <si>
    <t>손영주</t>
  </si>
  <si>
    <t>함민욱</t>
  </si>
  <si>
    <t>김헌태</t>
  </si>
  <si>
    <t>반재영</t>
  </si>
  <si>
    <t>임우현</t>
  </si>
  <si>
    <t>권예준</t>
  </si>
  <si>
    <t>신채민</t>
  </si>
  <si>
    <t>이준오</t>
  </si>
  <si>
    <t>이해준</t>
  </si>
  <si>
    <t>최동현</t>
  </si>
  <si>
    <t>홍재민</t>
  </si>
  <si>
    <t>유슈프</t>
  </si>
  <si>
    <t>유순혁</t>
  </si>
  <si>
    <t>윤종우</t>
  </si>
  <si>
    <t>정우진</t>
  </si>
  <si>
    <t>A6</t>
  </si>
  <si>
    <t>신지유</t>
  </si>
  <si>
    <t>인천논현고등학교</t>
  </si>
  <si>
    <t>윤희</t>
  </si>
  <si>
    <t>조서현</t>
  </si>
  <si>
    <t>이은채</t>
  </si>
  <si>
    <t>인명여자고등학교</t>
  </si>
  <si>
    <t>김채희</t>
  </si>
  <si>
    <t>박수빈</t>
  </si>
  <si>
    <t>정혜민</t>
  </si>
  <si>
    <t>윤예인</t>
  </si>
  <si>
    <t>연수여자고등학교</t>
  </si>
  <si>
    <t>김규린</t>
  </si>
  <si>
    <t>김슬비</t>
  </si>
  <si>
    <t>김예서</t>
  </si>
  <si>
    <t>박가빈</t>
  </si>
  <si>
    <t>박서연</t>
  </si>
  <si>
    <t>이예린</t>
  </si>
  <si>
    <t>한성주</t>
  </si>
  <si>
    <t>우현지</t>
  </si>
  <si>
    <t>이연지</t>
  </si>
  <si>
    <t>정채원</t>
  </si>
  <si>
    <t>인천여자고등학교</t>
  </si>
  <si>
    <t>김현서</t>
  </si>
  <si>
    <t>이수연</t>
  </si>
  <si>
    <t>김서영</t>
  </si>
  <si>
    <t>함서영</t>
  </si>
  <si>
    <t>김송연</t>
  </si>
  <si>
    <t>최혜인</t>
  </si>
  <si>
    <t>황소민</t>
  </si>
  <si>
    <t>방서윤</t>
  </si>
  <si>
    <t>오지아</t>
  </si>
  <si>
    <t>윤예원</t>
  </si>
  <si>
    <t>황윤진</t>
  </si>
  <si>
    <t>A7</t>
  </si>
  <si>
    <t>곽라희</t>
  </si>
  <si>
    <t>조교령</t>
  </si>
  <si>
    <t>박소연</t>
  </si>
  <si>
    <t>엄서윤</t>
  </si>
  <si>
    <t>장예소</t>
  </si>
  <si>
    <t>안유비</t>
  </si>
  <si>
    <t>김민정</t>
  </si>
  <si>
    <t>김서연</t>
  </si>
  <si>
    <t>김나연</t>
  </si>
  <si>
    <t>마준서</t>
  </si>
  <si>
    <t>명신여자고등학교</t>
  </si>
  <si>
    <t>김지민</t>
  </si>
  <si>
    <t>윤아영</t>
  </si>
  <si>
    <t>김지민2</t>
  </si>
  <si>
    <t>황서정</t>
  </si>
  <si>
    <t>박문여자고등학교</t>
  </si>
  <si>
    <t>서예현</t>
  </si>
  <si>
    <t>민시아</t>
  </si>
  <si>
    <t>황서율</t>
  </si>
  <si>
    <t>유소은</t>
  </si>
  <si>
    <t>신가희</t>
  </si>
  <si>
    <t>이채윤</t>
  </si>
  <si>
    <t>정태인</t>
  </si>
  <si>
    <t>오수아</t>
  </si>
  <si>
    <t>김시연</t>
  </si>
  <si>
    <t>김채원</t>
  </si>
  <si>
    <t>강예진</t>
  </si>
  <si>
    <t>구다은</t>
  </si>
  <si>
    <t>인천고잔고등학교</t>
  </si>
  <si>
    <t>오예린</t>
  </si>
  <si>
    <t>임예주</t>
  </si>
  <si>
    <t>박시아</t>
  </si>
  <si>
    <t>윤경서</t>
  </si>
  <si>
    <t>B1</t>
  </si>
  <si>
    <t>인천하늘고등학교</t>
  </si>
  <si>
    <t>두현우</t>
  </si>
  <si>
    <t>박원빈</t>
  </si>
  <si>
    <t>홍준우</t>
  </si>
  <si>
    <t>연수고등학교</t>
  </si>
  <si>
    <t>권상우</t>
  </si>
  <si>
    <t>이우현</t>
  </si>
  <si>
    <t>강원준</t>
  </si>
  <si>
    <t>인천원당고등학교</t>
  </si>
  <si>
    <t>안성재</t>
  </si>
  <si>
    <t>손휘영</t>
  </si>
  <si>
    <t>박민규</t>
  </si>
  <si>
    <t>이찬우</t>
  </si>
  <si>
    <t>인천연송고등학교</t>
  </si>
  <si>
    <t>지우성</t>
  </si>
  <si>
    <t>최선우</t>
  </si>
  <si>
    <t>김주한</t>
  </si>
  <si>
    <t>명재강</t>
  </si>
  <si>
    <t>소지훈</t>
  </si>
  <si>
    <t>이지훈</t>
  </si>
  <si>
    <t>강진철</t>
  </si>
  <si>
    <t>김도완</t>
  </si>
  <si>
    <t>박상후</t>
  </si>
  <si>
    <t>인천청라고</t>
  </si>
  <si>
    <t>조한형</t>
  </si>
  <si>
    <t>마건호</t>
  </si>
  <si>
    <t>김승건</t>
  </si>
  <si>
    <t>인천산곡고등학교</t>
  </si>
  <si>
    <t>유현서</t>
  </si>
  <si>
    <t>이승훈</t>
  </si>
  <si>
    <t>한국주얼리고등학교</t>
  </si>
  <si>
    <t>서형석</t>
  </si>
  <si>
    <t>이한선</t>
  </si>
  <si>
    <t>김태겸</t>
  </si>
  <si>
    <t>가정고등학교</t>
  </si>
  <si>
    <t>박수호</t>
  </si>
  <si>
    <t>이자임</t>
  </si>
  <si>
    <t>B2</t>
  </si>
  <si>
    <t>장수민</t>
  </si>
  <si>
    <t>이병철</t>
  </si>
  <si>
    <t>심규현</t>
  </si>
  <si>
    <t>한승훈</t>
  </si>
  <si>
    <t>양은우</t>
  </si>
  <si>
    <t>김은우</t>
  </si>
  <si>
    <t>민준상</t>
  </si>
  <si>
    <t>박주완</t>
  </si>
  <si>
    <t>임동규</t>
  </si>
  <si>
    <t>장은혁</t>
  </si>
  <si>
    <t>권준희</t>
  </si>
  <si>
    <t>이주한</t>
  </si>
  <si>
    <t>이현우</t>
  </si>
  <si>
    <t>김지호</t>
  </si>
  <si>
    <t>김은찬</t>
  </si>
  <si>
    <t>전성현</t>
  </si>
  <si>
    <t>성민규</t>
  </si>
  <si>
    <t>김재윤</t>
  </si>
  <si>
    <t>정한서</t>
  </si>
  <si>
    <t>김윤우</t>
  </si>
  <si>
    <t>김진성</t>
  </si>
  <si>
    <t>이규현</t>
  </si>
  <si>
    <t>남도형</t>
  </si>
  <si>
    <t>박경빈</t>
  </si>
  <si>
    <t>박유찬</t>
  </si>
  <si>
    <t>인천해원고등학교</t>
  </si>
  <si>
    <t>이경빈</t>
  </si>
  <si>
    <t>김성환</t>
  </si>
  <si>
    <t>임준한</t>
  </si>
  <si>
    <t>인천공항고등학교</t>
  </si>
  <si>
    <t>원휘찬</t>
  </si>
  <si>
    <t>이상엽</t>
  </si>
  <si>
    <t>최병찬</t>
  </si>
  <si>
    <t>최서우</t>
  </si>
  <si>
    <t>B3</t>
  </si>
  <si>
    <t>이승우</t>
  </si>
  <si>
    <t>이채성</t>
  </si>
  <si>
    <t>이진호</t>
  </si>
  <si>
    <t>배은찬</t>
  </si>
  <si>
    <t>이든</t>
  </si>
  <si>
    <t>이성동</t>
  </si>
  <si>
    <t>최준혁</t>
  </si>
  <si>
    <t>황예성</t>
  </si>
  <si>
    <t>김 산</t>
  </si>
  <si>
    <t>서원준</t>
  </si>
  <si>
    <t>성시현</t>
  </si>
  <si>
    <t>김서준</t>
  </si>
  <si>
    <t>김주혁</t>
  </si>
  <si>
    <t>이정준</t>
  </si>
  <si>
    <t>조승현</t>
  </si>
  <si>
    <t>정제훈</t>
  </si>
  <si>
    <t>정찬희</t>
  </si>
  <si>
    <t>이찬기</t>
  </si>
  <si>
    <t>이유근</t>
  </si>
  <si>
    <t>한종화</t>
  </si>
  <si>
    <t>인천고등학교</t>
  </si>
  <si>
    <t>조현영</t>
  </si>
  <si>
    <t>이현준</t>
  </si>
  <si>
    <t>구본은</t>
  </si>
  <si>
    <t>박현민</t>
  </si>
  <si>
    <t>김선우</t>
  </si>
  <si>
    <t>윤정연</t>
  </si>
  <si>
    <t>권대근</t>
  </si>
  <si>
    <t>이현석</t>
  </si>
  <si>
    <t>이파도</t>
  </si>
  <si>
    <t>배민성</t>
  </si>
  <si>
    <t>고동윤</t>
  </si>
  <si>
    <t>B4</t>
  </si>
  <si>
    <t>채수호</t>
  </si>
  <si>
    <t>강연성</t>
  </si>
  <si>
    <t>오세훈</t>
  </si>
  <si>
    <t>홍윤성</t>
  </si>
  <si>
    <t>윤원상</t>
  </si>
  <si>
    <t>김규민</t>
  </si>
  <si>
    <t>김준모</t>
  </si>
  <si>
    <t>김지효</t>
  </si>
  <si>
    <t>유재찬</t>
  </si>
  <si>
    <t>이현동</t>
  </si>
  <si>
    <t>이동혁</t>
  </si>
  <si>
    <t>박용관</t>
  </si>
  <si>
    <t>조상현</t>
  </si>
  <si>
    <t>이윤재</t>
  </si>
  <si>
    <t>이정호</t>
  </si>
  <si>
    <t>천여찬</t>
  </si>
  <si>
    <t>채민준</t>
  </si>
  <si>
    <t>황동하</t>
  </si>
  <si>
    <t>윤태민</t>
  </si>
  <si>
    <t>박성주</t>
  </si>
  <si>
    <t>성민건</t>
  </si>
  <si>
    <t>이지우</t>
  </si>
  <si>
    <t>이재동</t>
  </si>
  <si>
    <t>윤서준</t>
  </si>
  <si>
    <t>배요한</t>
  </si>
  <si>
    <t>장준혁</t>
  </si>
  <si>
    <t>조현</t>
  </si>
  <si>
    <t>유태우</t>
  </si>
  <si>
    <t>장건혁</t>
  </si>
  <si>
    <t>이성한</t>
  </si>
  <si>
    <t>B5</t>
  </si>
  <si>
    <t>인천해송고</t>
  </si>
  <si>
    <t>최지수</t>
  </si>
  <si>
    <t>한채원</t>
  </si>
  <si>
    <t>박효린</t>
  </si>
  <si>
    <t>배수민</t>
  </si>
  <si>
    <t>신지윤</t>
  </si>
  <si>
    <t>이영채</t>
  </si>
  <si>
    <t>조하민</t>
  </si>
  <si>
    <t>학익여자고등학교</t>
  </si>
  <si>
    <t>최민주</t>
  </si>
  <si>
    <t>김태린</t>
  </si>
  <si>
    <t>박세빈</t>
  </si>
  <si>
    <t>이지효</t>
  </si>
  <si>
    <t>최아윤</t>
  </si>
  <si>
    <t>신명여자고등학교</t>
  </si>
  <si>
    <t>김가린</t>
  </si>
  <si>
    <t>서정민</t>
  </si>
  <si>
    <t>이시윤</t>
  </si>
  <si>
    <t>조은아</t>
  </si>
  <si>
    <t>인화여자고등학교</t>
  </si>
  <si>
    <t>최희영</t>
  </si>
  <si>
    <t>김서윤</t>
  </si>
  <si>
    <t>진현정</t>
  </si>
  <si>
    <t>작전여자고등학교</t>
  </si>
  <si>
    <t>황지은</t>
  </si>
  <si>
    <t>지정원</t>
  </si>
  <si>
    <t>천지영</t>
  </si>
  <si>
    <t>유지아</t>
  </si>
  <si>
    <t>연혜빈</t>
  </si>
  <si>
    <t>유은미</t>
  </si>
  <si>
    <t>이은빈</t>
  </si>
  <si>
    <t>B6</t>
  </si>
  <si>
    <t>인성여자고등학교</t>
  </si>
  <si>
    <t>김가연</t>
  </si>
  <si>
    <t>정수아</t>
  </si>
  <si>
    <t>박수아</t>
  </si>
  <si>
    <t>정한나</t>
  </si>
  <si>
    <t>박채령</t>
  </si>
  <si>
    <t>박하은</t>
  </si>
  <si>
    <t xml:space="preserve">학생 </t>
  </si>
  <si>
    <t>유은결</t>
  </si>
  <si>
    <t>장은하</t>
  </si>
  <si>
    <t>인천초은고등학교</t>
  </si>
  <si>
    <t>구나연</t>
  </si>
  <si>
    <t>유채현</t>
  </si>
  <si>
    <t>황정원</t>
  </si>
  <si>
    <t>이승은</t>
  </si>
  <si>
    <t>송하음</t>
  </si>
  <si>
    <t>이소진</t>
  </si>
  <si>
    <t>김연지</t>
  </si>
  <si>
    <t>박유빈</t>
  </si>
  <si>
    <t xml:space="preserve">박은결 </t>
  </si>
  <si>
    <t>이서한</t>
  </si>
  <si>
    <t>전효원</t>
  </si>
  <si>
    <t>배소현</t>
  </si>
  <si>
    <t>이서윤</t>
  </si>
  <si>
    <t>이예빈</t>
  </si>
  <si>
    <t>고소원</t>
  </si>
  <si>
    <t>송민교</t>
  </si>
  <si>
    <t>김은채</t>
  </si>
  <si>
    <t>B7</t>
  </si>
  <si>
    <t>이수빈</t>
  </si>
  <si>
    <t>천지수</t>
  </si>
  <si>
    <t>인수현</t>
  </si>
  <si>
    <t>문희서</t>
  </si>
  <si>
    <t>최다정</t>
  </si>
  <si>
    <t>채민지</t>
  </si>
  <si>
    <t>박은서</t>
  </si>
  <si>
    <t>박다온</t>
  </si>
  <si>
    <t>권수아</t>
  </si>
  <si>
    <t>이유솔</t>
  </si>
  <si>
    <t>기현정</t>
  </si>
  <si>
    <t>안소민</t>
  </si>
  <si>
    <t>김주아</t>
  </si>
  <si>
    <t>조윤하</t>
  </si>
  <si>
    <t>이서연</t>
  </si>
  <si>
    <t>김윤정</t>
  </si>
  <si>
    <t>이예림</t>
  </si>
  <si>
    <t>문일여자고등학교</t>
  </si>
  <si>
    <t>강유린</t>
  </si>
  <si>
    <t>유정이</t>
  </si>
  <si>
    <t>황지후</t>
  </si>
  <si>
    <t>안예린</t>
  </si>
  <si>
    <t>옥련여자고등학교</t>
  </si>
  <si>
    <t>박소현</t>
  </si>
  <si>
    <t>부광여자고등학교</t>
  </si>
  <si>
    <t>김유담</t>
  </si>
  <si>
    <t>서민서</t>
  </si>
  <si>
    <t>장희주</t>
  </si>
  <si>
    <t>이한슬</t>
  </si>
  <si>
    <t>조채은</t>
  </si>
  <si>
    <t>김려원</t>
  </si>
  <si>
    <t>기록</t>
    <phoneticPr fontId="10" type="noConversion"/>
  </si>
  <si>
    <t>제자리멀리뛰기</t>
    <phoneticPr fontId="10" type="noConversion"/>
  </si>
  <si>
    <t>배근력</t>
    <phoneticPr fontId="10" type="noConversion"/>
  </si>
  <si>
    <t>좌전굴</t>
    <phoneticPr fontId="10" type="noConversion"/>
  </si>
  <si>
    <t>메디신볼</t>
    <phoneticPr fontId="10" type="noConversion"/>
  </si>
  <si>
    <t>F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</si>
</sst>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26"/>
      <color theme="1"/>
      <name val="Malgun Gothic"/>
      <family val="3"/>
      <charset val="129"/>
    </font>
    <font>
      <b/>
      <sz val="20"/>
      <color theme="1"/>
      <name val="Gulimche"/>
      <family val="3"/>
      <charset val="129"/>
    </font>
    <font>
      <sz val="12"/>
      <color theme="1"/>
      <name val="Malgun Gothic"/>
      <family val="3"/>
      <charset val="129"/>
    </font>
    <font>
      <sz val="12"/>
      <color rgb="FF00000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Calibri"/>
      <scheme val="minor"/>
    </font>
    <font>
      <sz val="12"/>
      <color rgb="FF000000"/>
      <name val="한컴산뜻돋움"/>
      <charset val="129"/>
    </font>
    <font>
      <b/>
      <sz val="2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D965"/>
        <bgColor rgb="FFFFD965"/>
      </patternFill>
    </fill>
    <fill>
      <patternFill patternType="solid">
        <fgColor rgb="FFFBE4D5"/>
        <bgColor rgb="FFFBE4D5"/>
      </patternFill>
    </fill>
    <fill>
      <patternFill patternType="solid">
        <fgColor rgb="FFA8D08D"/>
        <bgColor rgb="FFA8D08D"/>
      </patternFill>
    </fill>
    <fill>
      <patternFill patternType="solid">
        <fgColor rgb="FFE7E6E6"/>
        <bgColor rgb="FFE7E6E6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4" borderId="17" xfId="0" applyFont="1" applyFill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6" borderId="17" xfId="0" applyFont="1" applyFill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7" borderId="21" xfId="0" applyFont="1" applyFill="1" applyBorder="1" applyAlignment="1">
      <alignment vertical="center"/>
    </xf>
    <xf numFmtId="0" fontId="6" fillId="7" borderId="13" xfId="0" applyFont="1" applyFill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8" borderId="23" xfId="0" applyFont="1" applyFill="1" applyBorder="1" applyAlignment="1">
      <alignment vertical="center"/>
    </xf>
    <xf numFmtId="0" fontId="6" fillId="8" borderId="19" xfId="0" applyFont="1" applyFill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3" fillId="9" borderId="25" xfId="0" applyFont="1" applyFill="1" applyBorder="1" applyAlignment="1">
      <alignment horizontal="center" vertical="center"/>
    </xf>
    <xf numFmtId="0" fontId="4" fillId="9" borderId="12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6" fillId="4" borderId="27" xfId="0" applyFont="1" applyFill="1" applyBorder="1" applyAlignment="1">
      <alignment vertical="center"/>
    </xf>
    <xf numFmtId="0" fontId="6" fillId="0" borderId="28" xfId="0" applyFont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6" fillId="5" borderId="11" xfId="0" applyFont="1" applyFill="1" applyBorder="1" applyAlignment="1">
      <alignment vertical="center"/>
    </xf>
    <xf numFmtId="0" fontId="6" fillId="6" borderId="27" xfId="0" applyFont="1" applyFill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6" fillId="7" borderId="29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8" borderId="30" xfId="0" applyFont="1" applyFill="1" applyBorder="1" applyAlignment="1">
      <alignment vertical="center"/>
    </xf>
    <xf numFmtId="0" fontId="6" fillId="8" borderId="11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4" fillId="9" borderId="12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 wrapText="1"/>
    </xf>
    <xf numFmtId="0" fontId="4" fillId="8" borderId="12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8" borderId="34" xfId="0" applyFont="1" applyFill="1" applyBorder="1" applyAlignment="1">
      <alignment horizontal="center" vertical="center"/>
    </xf>
    <xf numFmtId="0" fontId="3" fillId="8" borderId="35" xfId="0" applyFont="1" applyFill="1" applyBorder="1" applyAlignment="1">
      <alignment horizontal="center" vertical="center"/>
    </xf>
    <xf numFmtId="0" fontId="4" fillId="8" borderId="36" xfId="0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/>
    </xf>
    <xf numFmtId="0" fontId="6" fillId="3" borderId="34" xfId="0" applyFont="1" applyFill="1" applyBorder="1" applyAlignment="1">
      <alignment vertical="center"/>
    </xf>
    <xf numFmtId="0" fontId="6" fillId="3" borderId="37" xfId="0" applyFont="1" applyFill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38" xfId="0" applyFont="1" applyBorder="1" applyAlignment="1">
      <alignment vertical="center"/>
    </xf>
    <xf numFmtId="0" fontId="6" fillId="4" borderId="39" xfId="0" applyFont="1" applyFill="1" applyBorder="1" applyAlignment="1">
      <alignment vertical="center"/>
    </xf>
    <xf numFmtId="0" fontId="6" fillId="5" borderId="34" xfId="0" applyFont="1" applyFill="1" applyBorder="1" applyAlignment="1">
      <alignment vertical="center"/>
    </xf>
    <xf numFmtId="0" fontId="6" fillId="5" borderId="35" xfId="0" applyFont="1" applyFill="1" applyBorder="1" applyAlignment="1">
      <alignment vertical="center"/>
    </xf>
    <xf numFmtId="0" fontId="6" fillId="0" borderId="40" xfId="0" applyFont="1" applyBorder="1" applyAlignment="1">
      <alignment vertical="center"/>
    </xf>
    <xf numFmtId="0" fontId="6" fillId="6" borderId="39" xfId="0" applyFont="1" applyFill="1" applyBorder="1" applyAlignment="1">
      <alignment vertical="center"/>
    </xf>
    <xf numFmtId="0" fontId="6" fillId="0" borderId="39" xfId="0" applyFont="1" applyBorder="1" applyAlignment="1">
      <alignment vertical="center"/>
    </xf>
    <xf numFmtId="0" fontId="6" fillId="7" borderId="41" xfId="0" applyFont="1" applyFill="1" applyBorder="1" applyAlignment="1">
      <alignment vertical="center"/>
    </xf>
    <xf numFmtId="0" fontId="6" fillId="7" borderId="36" xfId="0" applyFont="1" applyFill="1" applyBorder="1" applyAlignment="1">
      <alignment vertical="center"/>
    </xf>
    <xf numFmtId="0" fontId="6" fillId="8" borderId="42" xfId="0" applyFont="1" applyFill="1" applyBorder="1" applyAlignment="1">
      <alignment vertical="center"/>
    </xf>
    <xf numFmtId="0" fontId="6" fillId="8" borderId="35" xfId="0" applyFont="1" applyFill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3" fillId="9" borderId="13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 wrapText="1"/>
    </xf>
    <xf numFmtId="0" fontId="8" fillId="9" borderId="12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4" fillId="8" borderId="12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vertical="center"/>
    </xf>
    <xf numFmtId="0" fontId="6" fillId="10" borderId="35" xfId="0" applyFont="1" applyFill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6" fillId="0" borderId="44" xfId="0" applyFont="1" applyBorder="1" applyAlignment="1">
      <alignment vertical="center"/>
    </xf>
    <xf numFmtId="0" fontId="6" fillId="0" borderId="45" xfId="0" applyFont="1" applyBorder="1" applyAlignment="1">
      <alignment vertical="center"/>
    </xf>
    <xf numFmtId="0" fontId="3" fillId="9" borderId="11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35" xfId="0" applyFont="1" applyFill="1" applyBorder="1" applyAlignment="1">
      <alignment horizontal="center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6" fillId="8" borderId="30" xfId="0" applyFont="1" applyFill="1" applyBorder="1" applyAlignment="1">
      <alignment horizontal="right" vertical="center"/>
    </xf>
    <xf numFmtId="0" fontId="6" fillId="8" borderId="11" xfId="0" applyFont="1" applyFill="1" applyBorder="1" applyAlignment="1">
      <alignment horizontal="right" vertical="center"/>
    </xf>
    <xf numFmtId="0" fontId="3" fillId="8" borderId="19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4" fillId="8" borderId="46" xfId="0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0" fontId="4" fillId="3" borderId="47" xfId="0" applyFont="1" applyFill="1" applyBorder="1" applyAlignment="1">
      <alignment horizontal="center" vertical="center" wrapText="1"/>
    </xf>
    <xf numFmtId="0" fontId="4" fillId="3" borderId="48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 wrapText="1"/>
    </xf>
    <xf numFmtId="0" fontId="4" fillId="11" borderId="11" xfId="0" applyFont="1" applyFill="1" applyBorder="1" applyAlignment="1">
      <alignment horizontal="center" vertical="center" wrapText="1"/>
    </xf>
    <xf numFmtId="0" fontId="4" fillId="11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3" fillId="11" borderId="31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3" fillId="11" borderId="47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3" fillId="11" borderId="36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 shrinkToFit="1"/>
    </xf>
    <xf numFmtId="0" fontId="4" fillId="0" borderId="45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4" fillId="11" borderId="36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K999"/>
  <sheetViews>
    <sheetView tabSelected="1" workbookViewId="0">
      <pane xSplit="3" ySplit="2" topLeftCell="D105" activePane="bottomRight" state="frozen"/>
      <selection pane="topRight" activeCell="G1" sqref="G1"/>
      <selection pane="bottomLeft" activeCell="A4" sqref="A4"/>
      <selection pane="bottomRight" activeCell="M11" sqref="M11"/>
    </sheetView>
  </sheetViews>
  <sheetFormatPr defaultColWidth="14.3984375" defaultRowHeight="15" customHeight="1"/>
  <cols>
    <col min="1" max="1" width="8.3984375" customWidth="1"/>
    <col min="2" max="2" width="11" customWidth="1"/>
    <col min="3" max="3" width="8.86328125" customWidth="1"/>
    <col min="4" max="4" width="20.1328125" customWidth="1"/>
    <col min="5" max="9" width="15.3984375" customWidth="1"/>
    <col min="10" max="10" width="20.59765625" customWidth="1"/>
    <col min="11" max="13" width="10.59765625" customWidth="1"/>
    <col min="14" max="14" width="20.59765625" customWidth="1"/>
    <col min="15" max="15" width="8.73046875" customWidth="1"/>
    <col min="16" max="16" width="10.59765625" customWidth="1"/>
  </cols>
  <sheetData>
    <row r="1" spans="1:9" ht="23.25" customHeight="1" thickBot="1">
      <c r="A1" s="3"/>
      <c r="B1" s="4"/>
      <c r="C1" s="4"/>
      <c r="D1" s="5" t="s">
        <v>651</v>
      </c>
      <c r="E1" s="8" t="s">
        <v>10</v>
      </c>
      <c r="F1" s="10" t="s">
        <v>652</v>
      </c>
      <c r="G1" s="13" t="s">
        <v>16</v>
      </c>
      <c r="H1" s="14" t="s">
        <v>653</v>
      </c>
      <c r="I1" s="17" t="s">
        <v>654</v>
      </c>
    </row>
    <row r="2" spans="1:9" ht="23.25" customHeight="1" thickBot="1">
      <c r="A2" s="3" t="s">
        <v>0</v>
      </c>
      <c r="B2" s="4" t="s">
        <v>3</v>
      </c>
      <c r="C2" s="4" t="s">
        <v>4</v>
      </c>
      <c r="D2" s="5" t="s">
        <v>650</v>
      </c>
      <c r="E2" s="5" t="s">
        <v>650</v>
      </c>
      <c r="F2" s="5" t="s">
        <v>650</v>
      </c>
      <c r="G2" s="5" t="s">
        <v>650</v>
      </c>
      <c r="H2" s="5" t="s">
        <v>650</v>
      </c>
      <c r="I2" s="5" t="s">
        <v>650</v>
      </c>
    </row>
    <row r="3" spans="1:9" ht="18" customHeight="1">
      <c r="A3" s="20">
        <v>1</v>
      </c>
      <c r="B3" s="23" t="s">
        <v>3</v>
      </c>
      <c r="C3" s="22" t="s">
        <v>27</v>
      </c>
      <c r="D3" s="24">
        <v>0</v>
      </c>
      <c r="E3" s="28"/>
      <c r="F3" s="30">
        <v>0</v>
      </c>
      <c r="G3" s="32"/>
      <c r="H3" s="34">
        <v>0</v>
      </c>
      <c r="I3" s="37">
        <v>0</v>
      </c>
    </row>
    <row r="4" spans="1:9" ht="18" customHeight="1">
      <c r="A4" s="40">
        <v>2</v>
      </c>
      <c r="B4" s="41" t="s">
        <v>3</v>
      </c>
      <c r="C4" s="22" t="s">
        <v>29</v>
      </c>
      <c r="D4" s="42">
        <v>0</v>
      </c>
      <c r="E4" s="44"/>
      <c r="F4" s="46">
        <v>0</v>
      </c>
      <c r="G4" s="48"/>
      <c r="H4" s="50">
        <v>0</v>
      </c>
      <c r="I4" s="52">
        <v>0</v>
      </c>
    </row>
    <row r="5" spans="1:9" ht="18" customHeight="1">
      <c r="A5" s="40">
        <v>3</v>
      </c>
      <c r="B5" s="41" t="s">
        <v>3</v>
      </c>
      <c r="C5" s="22" t="s">
        <v>27</v>
      </c>
      <c r="D5" s="42">
        <v>254</v>
      </c>
      <c r="E5" s="44">
        <v>60</v>
      </c>
      <c r="F5" s="46">
        <v>119.5</v>
      </c>
      <c r="G5" s="48">
        <v>15.49</v>
      </c>
      <c r="H5" s="50">
        <v>14.2</v>
      </c>
      <c r="I5" s="52">
        <v>6.9</v>
      </c>
    </row>
    <row r="6" spans="1:9" ht="18" customHeight="1">
      <c r="A6" s="40">
        <v>4</v>
      </c>
      <c r="B6" s="41" t="s">
        <v>3</v>
      </c>
      <c r="C6" s="22" t="s">
        <v>29</v>
      </c>
      <c r="D6" s="42">
        <v>206</v>
      </c>
      <c r="E6" s="44">
        <v>42</v>
      </c>
      <c r="F6" s="46">
        <v>92.5</v>
      </c>
      <c r="G6" s="48">
        <v>17.38</v>
      </c>
      <c r="H6" s="50">
        <v>19.3</v>
      </c>
      <c r="I6" s="52">
        <v>6.1</v>
      </c>
    </row>
    <row r="7" spans="1:9" ht="18" customHeight="1">
      <c r="A7" s="40">
        <v>5</v>
      </c>
      <c r="B7" s="55" t="s">
        <v>3</v>
      </c>
      <c r="C7" s="22" t="s">
        <v>27</v>
      </c>
      <c r="D7" s="42">
        <v>274</v>
      </c>
      <c r="E7" s="44">
        <v>70</v>
      </c>
      <c r="F7" s="46">
        <v>157.5</v>
      </c>
      <c r="G7" s="48">
        <v>13.81</v>
      </c>
      <c r="H7" s="50">
        <v>20</v>
      </c>
      <c r="I7" s="52">
        <v>8.5</v>
      </c>
    </row>
    <row r="8" spans="1:9" ht="18" customHeight="1">
      <c r="A8" s="40">
        <v>6</v>
      </c>
      <c r="B8" s="41" t="s">
        <v>3</v>
      </c>
      <c r="C8" s="22" t="s">
        <v>27</v>
      </c>
      <c r="D8" s="42">
        <v>296</v>
      </c>
      <c r="E8" s="44">
        <v>77</v>
      </c>
      <c r="F8" s="46">
        <v>137</v>
      </c>
      <c r="G8" s="48">
        <v>13.46</v>
      </c>
      <c r="H8" s="50">
        <v>10.5</v>
      </c>
      <c r="I8" s="52">
        <v>8.5</v>
      </c>
    </row>
    <row r="9" spans="1:9" ht="18" customHeight="1">
      <c r="A9" s="40">
        <v>7</v>
      </c>
      <c r="B9" s="41" t="s">
        <v>3</v>
      </c>
      <c r="C9" s="22" t="s">
        <v>27</v>
      </c>
      <c r="D9" s="42">
        <v>274</v>
      </c>
      <c r="E9" s="44">
        <v>65</v>
      </c>
      <c r="F9" s="46">
        <v>176.1</v>
      </c>
      <c r="G9" s="48">
        <v>14.1</v>
      </c>
      <c r="H9" s="50">
        <v>24.3</v>
      </c>
      <c r="I9" s="52">
        <v>7.1</v>
      </c>
    </row>
    <row r="10" spans="1:9" ht="18" customHeight="1">
      <c r="A10" s="40">
        <v>8</v>
      </c>
      <c r="B10" s="41" t="s">
        <v>3</v>
      </c>
      <c r="C10" s="22" t="s">
        <v>29</v>
      </c>
      <c r="D10" s="42">
        <v>214</v>
      </c>
      <c r="E10" s="44">
        <v>52</v>
      </c>
      <c r="F10" s="46">
        <v>110</v>
      </c>
      <c r="G10" s="48">
        <v>16.32</v>
      </c>
      <c r="H10" s="50">
        <v>24.8</v>
      </c>
      <c r="I10" s="52">
        <v>8.1999999999999993</v>
      </c>
    </row>
    <row r="11" spans="1:9" ht="18" customHeight="1">
      <c r="A11" s="40">
        <v>9</v>
      </c>
      <c r="B11" s="41" t="s">
        <v>3</v>
      </c>
      <c r="C11" s="22" t="s">
        <v>27</v>
      </c>
      <c r="D11" s="42">
        <v>250</v>
      </c>
      <c r="E11" s="44">
        <v>56</v>
      </c>
      <c r="F11" s="46">
        <v>146</v>
      </c>
      <c r="G11" s="48">
        <v>15.21</v>
      </c>
      <c r="H11" s="50">
        <v>17.600000000000001</v>
      </c>
      <c r="I11" s="52">
        <v>6.2</v>
      </c>
    </row>
    <row r="12" spans="1:9" ht="18" customHeight="1">
      <c r="A12" s="40">
        <v>10</v>
      </c>
      <c r="B12" s="41" t="s">
        <v>3</v>
      </c>
      <c r="C12" s="22" t="s">
        <v>27</v>
      </c>
      <c r="D12" s="42">
        <v>268</v>
      </c>
      <c r="E12" s="44">
        <v>66</v>
      </c>
      <c r="F12" s="46">
        <v>187</v>
      </c>
      <c r="G12" s="48">
        <v>14.24</v>
      </c>
      <c r="H12" s="50">
        <v>28.8</v>
      </c>
      <c r="I12" s="52">
        <v>9.5</v>
      </c>
    </row>
    <row r="13" spans="1:9" ht="18" customHeight="1">
      <c r="A13" s="40">
        <v>11</v>
      </c>
      <c r="B13" s="41" t="s">
        <v>3</v>
      </c>
      <c r="C13" s="22" t="s">
        <v>27</v>
      </c>
      <c r="D13" s="42">
        <v>234</v>
      </c>
      <c r="E13" s="44">
        <v>60</v>
      </c>
      <c r="F13" s="46">
        <v>122.5</v>
      </c>
      <c r="G13" s="48">
        <v>15.56</v>
      </c>
      <c r="H13" s="50">
        <v>16.100000000000001</v>
      </c>
      <c r="I13" s="52">
        <v>7.9</v>
      </c>
    </row>
    <row r="14" spans="1:9" ht="18" customHeight="1">
      <c r="A14" s="40">
        <v>12</v>
      </c>
      <c r="B14" s="41" t="s">
        <v>3</v>
      </c>
      <c r="C14" s="22" t="s">
        <v>27</v>
      </c>
      <c r="D14" s="42">
        <v>0</v>
      </c>
      <c r="E14" s="44"/>
      <c r="F14" s="46">
        <v>0</v>
      </c>
      <c r="G14" s="48"/>
      <c r="H14" s="50">
        <v>0</v>
      </c>
      <c r="I14" s="52">
        <v>0</v>
      </c>
    </row>
    <row r="15" spans="1:9" ht="18" customHeight="1">
      <c r="A15" s="40">
        <v>13</v>
      </c>
      <c r="B15" s="41" t="s">
        <v>3</v>
      </c>
      <c r="C15" s="22" t="s">
        <v>29</v>
      </c>
      <c r="D15" s="42">
        <v>188</v>
      </c>
      <c r="E15" s="44">
        <v>34</v>
      </c>
      <c r="F15" s="46">
        <v>86.5</v>
      </c>
      <c r="G15" s="48">
        <v>18.46</v>
      </c>
      <c r="H15" s="50">
        <v>34.5</v>
      </c>
      <c r="I15" s="52">
        <v>6.4</v>
      </c>
    </row>
    <row r="16" spans="1:9" ht="18" customHeight="1">
      <c r="A16" s="40">
        <v>14</v>
      </c>
      <c r="B16" s="41" t="s">
        <v>3</v>
      </c>
      <c r="C16" s="22" t="s">
        <v>29</v>
      </c>
      <c r="D16" s="42">
        <v>206</v>
      </c>
      <c r="E16" s="44">
        <v>46</v>
      </c>
      <c r="F16" s="46">
        <v>85.5</v>
      </c>
      <c r="G16" s="48">
        <v>17.02</v>
      </c>
      <c r="H16" s="50">
        <v>26.8</v>
      </c>
      <c r="I16" s="52">
        <v>7</v>
      </c>
    </row>
    <row r="17" spans="1:9" ht="18" customHeight="1">
      <c r="A17" s="40">
        <v>15</v>
      </c>
      <c r="B17" s="41" t="s">
        <v>3</v>
      </c>
      <c r="C17" s="22" t="s">
        <v>29</v>
      </c>
      <c r="D17" s="42">
        <v>218</v>
      </c>
      <c r="E17" s="44">
        <v>47</v>
      </c>
      <c r="F17" s="46">
        <v>87</v>
      </c>
      <c r="G17" s="48">
        <v>16.41</v>
      </c>
      <c r="H17" s="50">
        <v>29.1</v>
      </c>
      <c r="I17" s="52">
        <v>6.4</v>
      </c>
    </row>
    <row r="18" spans="1:9" ht="18" customHeight="1">
      <c r="A18" s="40">
        <v>16</v>
      </c>
      <c r="B18" s="41" t="s">
        <v>3</v>
      </c>
      <c r="C18" s="22" t="s">
        <v>29</v>
      </c>
      <c r="D18" s="42">
        <v>179</v>
      </c>
      <c r="E18" s="44">
        <v>35</v>
      </c>
      <c r="F18" s="46">
        <v>72</v>
      </c>
      <c r="G18" s="48">
        <v>18.41</v>
      </c>
      <c r="H18" s="50">
        <v>14.9</v>
      </c>
      <c r="I18" s="52">
        <v>5.7</v>
      </c>
    </row>
    <row r="19" spans="1:9" ht="18" customHeight="1">
      <c r="A19" s="40">
        <v>17</v>
      </c>
      <c r="B19" s="41" t="s">
        <v>3</v>
      </c>
      <c r="C19" s="22" t="s">
        <v>27</v>
      </c>
      <c r="D19" s="42">
        <v>245</v>
      </c>
      <c r="E19" s="44">
        <v>63</v>
      </c>
      <c r="F19" s="46">
        <v>141</v>
      </c>
      <c r="G19" s="48">
        <v>15.12</v>
      </c>
      <c r="H19" s="50">
        <v>20.7</v>
      </c>
      <c r="I19" s="52">
        <v>7.3</v>
      </c>
    </row>
    <row r="20" spans="1:9" ht="18" customHeight="1">
      <c r="A20" s="40">
        <v>18</v>
      </c>
      <c r="B20" s="41" t="s">
        <v>3</v>
      </c>
      <c r="C20" s="22" t="s">
        <v>29</v>
      </c>
      <c r="D20" s="42">
        <v>192</v>
      </c>
      <c r="E20" s="44">
        <v>35</v>
      </c>
      <c r="F20" s="46">
        <v>71.5</v>
      </c>
      <c r="G20" s="48">
        <v>17.989999999999998</v>
      </c>
      <c r="H20" s="50">
        <v>25.4</v>
      </c>
      <c r="I20" s="52">
        <v>5.4</v>
      </c>
    </row>
    <row r="21" spans="1:9" ht="18" customHeight="1">
      <c r="A21" s="40">
        <v>19</v>
      </c>
      <c r="B21" s="41" t="s">
        <v>3</v>
      </c>
      <c r="C21" s="22" t="s">
        <v>29</v>
      </c>
      <c r="D21" s="42">
        <v>196</v>
      </c>
      <c r="E21" s="44">
        <v>41</v>
      </c>
      <c r="F21" s="46">
        <v>78.5</v>
      </c>
      <c r="G21" s="48">
        <v>17.739999999999998</v>
      </c>
      <c r="H21" s="50">
        <v>26.5</v>
      </c>
      <c r="I21" s="52">
        <v>6.8</v>
      </c>
    </row>
    <row r="22" spans="1:9" ht="18" customHeight="1">
      <c r="A22" s="40">
        <v>20</v>
      </c>
      <c r="B22" s="41" t="s">
        <v>3</v>
      </c>
      <c r="C22" s="22" t="s">
        <v>27</v>
      </c>
      <c r="D22" s="42">
        <v>0</v>
      </c>
      <c r="E22" s="44"/>
      <c r="F22" s="46">
        <v>0</v>
      </c>
      <c r="G22" s="48"/>
      <c r="H22" s="50">
        <v>0</v>
      </c>
      <c r="I22" s="52">
        <v>0</v>
      </c>
    </row>
    <row r="23" spans="1:9" ht="18" customHeight="1">
      <c r="A23" s="40">
        <v>21</v>
      </c>
      <c r="B23" s="41" t="s">
        <v>3</v>
      </c>
      <c r="C23" s="22" t="s">
        <v>29</v>
      </c>
      <c r="D23" s="42">
        <v>0</v>
      </c>
      <c r="E23" s="44"/>
      <c r="F23" s="46">
        <v>0</v>
      </c>
      <c r="G23" s="48"/>
      <c r="H23" s="50">
        <v>0</v>
      </c>
      <c r="I23" s="52">
        <v>0</v>
      </c>
    </row>
    <row r="24" spans="1:9" ht="18" customHeight="1">
      <c r="A24" s="40">
        <v>22</v>
      </c>
      <c r="B24" s="41" t="s">
        <v>3</v>
      </c>
      <c r="C24" s="22" t="s">
        <v>27</v>
      </c>
      <c r="D24" s="42">
        <v>230</v>
      </c>
      <c r="E24" s="44">
        <v>53</v>
      </c>
      <c r="F24" s="46">
        <v>138</v>
      </c>
      <c r="G24" s="48">
        <v>18.2</v>
      </c>
      <c r="H24" s="50">
        <v>19.600000000000001</v>
      </c>
      <c r="I24" s="52">
        <v>7.1</v>
      </c>
    </row>
    <row r="25" spans="1:9" ht="18" customHeight="1">
      <c r="A25" s="40">
        <v>23</v>
      </c>
      <c r="B25" s="41" t="s">
        <v>3</v>
      </c>
      <c r="C25" s="22" t="s">
        <v>27</v>
      </c>
      <c r="D25" s="42">
        <v>228</v>
      </c>
      <c r="E25" s="44">
        <v>46</v>
      </c>
      <c r="F25" s="46">
        <v>132</v>
      </c>
      <c r="G25" s="48">
        <v>16.489999999999998</v>
      </c>
      <c r="H25" s="50">
        <v>21.8</v>
      </c>
      <c r="I25" s="52">
        <v>6.5</v>
      </c>
    </row>
    <row r="26" spans="1:9" ht="18" customHeight="1">
      <c r="A26" s="40">
        <v>24</v>
      </c>
      <c r="B26" s="41" t="s">
        <v>3</v>
      </c>
      <c r="C26" s="22" t="s">
        <v>29</v>
      </c>
      <c r="D26" s="42">
        <v>202</v>
      </c>
      <c r="E26" s="44">
        <v>42</v>
      </c>
      <c r="F26" s="46">
        <v>62.5</v>
      </c>
      <c r="G26" s="48">
        <v>16.670000000000002</v>
      </c>
      <c r="H26" s="50">
        <v>3.6</v>
      </c>
      <c r="I26" s="52">
        <v>6.4</v>
      </c>
    </row>
    <row r="27" spans="1:9" ht="18" customHeight="1">
      <c r="A27" s="40">
        <v>25</v>
      </c>
      <c r="B27" s="41" t="s">
        <v>3</v>
      </c>
      <c r="C27" s="22" t="s">
        <v>27</v>
      </c>
      <c r="D27" s="42">
        <v>0</v>
      </c>
      <c r="E27" s="44">
        <v>52</v>
      </c>
      <c r="F27" s="46">
        <v>95.5</v>
      </c>
      <c r="G27" s="48">
        <v>16.079999999999998</v>
      </c>
      <c r="H27" s="50">
        <v>17.100000000000001</v>
      </c>
      <c r="I27" s="52">
        <v>5.9</v>
      </c>
    </row>
    <row r="28" spans="1:9" ht="18" customHeight="1">
      <c r="A28" s="40">
        <v>26</v>
      </c>
      <c r="B28" s="41" t="s">
        <v>3</v>
      </c>
      <c r="C28" s="22" t="s">
        <v>27</v>
      </c>
      <c r="D28" s="42">
        <v>0</v>
      </c>
      <c r="E28" s="44"/>
      <c r="F28" s="46">
        <v>0</v>
      </c>
      <c r="G28" s="48"/>
      <c r="H28" s="50">
        <v>0</v>
      </c>
      <c r="I28" s="52">
        <v>0</v>
      </c>
    </row>
    <row r="29" spans="1:9" ht="18" customHeight="1">
      <c r="A29" s="40">
        <v>27</v>
      </c>
      <c r="B29" s="41" t="s">
        <v>3</v>
      </c>
      <c r="C29" s="22" t="s">
        <v>27</v>
      </c>
      <c r="D29" s="42">
        <v>206</v>
      </c>
      <c r="E29" s="44">
        <v>56</v>
      </c>
      <c r="F29" s="46">
        <v>93.5</v>
      </c>
      <c r="G29" s="48">
        <v>15.5</v>
      </c>
      <c r="H29" s="50">
        <v>16</v>
      </c>
      <c r="I29" s="52">
        <v>6.4</v>
      </c>
    </row>
    <row r="30" spans="1:9" ht="18" customHeight="1">
      <c r="A30" s="40">
        <v>28</v>
      </c>
      <c r="B30" s="41" t="s">
        <v>3</v>
      </c>
      <c r="C30" s="22" t="s">
        <v>27</v>
      </c>
      <c r="D30" s="42">
        <v>0</v>
      </c>
      <c r="E30" s="44"/>
      <c r="F30" s="46">
        <v>111.5</v>
      </c>
      <c r="G30" s="48"/>
      <c r="H30" s="50">
        <v>3.2</v>
      </c>
      <c r="I30" s="52">
        <v>0</v>
      </c>
    </row>
    <row r="31" spans="1:9" ht="18" customHeight="1">
      <c r="A31" s="40">
        <v>29</v>
      </c>
      <c r="B31" s="41" t="s">
        <v>3</v>
      </c>
      <c r="C31" s="22" t="s">
        <v>27</v>
      </c>
      <c r="D31" s="42">
        <v>235</v>
      </c>
      <c r="E31" s="44">
        <v>54</v>
      </c>
      <c r="F31" s="46">
        <v>100</v>
      </c>
      <c r="G31" s="48">
        <v>16.100000000000001</v>
      </c>
      <c r="H31" s="50">
        <v>20</v>
      </c>
      <c r="I31" s="52">
        <v>0</v>
      </c>
    </row>
    <row r="32" spans="1:9" ht="18" customHeight="1">
      <c r="A32" s="56">
        <v>30</v>
      </c>
      <c r="B32" s="59" t="s">
        <v>3</v>
      </c>
      <c r="C32" s="58" t="s">
        <v>27</v>
      </c>
      <c r="D32" s="42">
        <v>209</v>
      </c>
      <c r="E32" s="44">
        <v>42</v>
      </c>
      <c r="F32" s="46">
        <v>157.5</v>
      </c>
      <c r="G32" s="48">
        <v>16.11</v>
      </c>
      <c r="H32" s="50">
        <v>7.1</v>
      </c>
      <c r="I32" s="52">
        <v>5.2</v>
      </c>
    </row>
    <row r="33" spans="1:9" ht="18" customHeight="1">
      <c r="A33" s="56">
        <v>31</v>
      </c>
      <c r="B33" s="60" t="s">
        <v>3</v>
      </c>
      <c r="C33" s="58" t="s">
        <v>27</v>
      </c>
      <c r="D33" s="42">
        <v>0</v>
      </c>
      <c r="E33" s="44"/>
      <c r="F33" s="46">
        <v>0</v>
      </c>
      <c r="G33" s="48"/>
      <c r="H33" s="50">
        <v>0</v>
      </c>
      <c r="I33" s="52">
        <v>0</v>
      </c>
    </row>
    <row r="34" spans="1:9" ht="18" customHeight="1">
      <c r="A34" s="64">
        <v>32</v>
      </c>
      <c r="B34" s="66" t="s">
        <v>3</v>
      </c>
      <c r="C34" s="65" t="s">
        <v>29</v>
      </c>
      <c r="D34" s="24">
        <v>0</v>
      </c>
      <c r="E34" s="28"/>
      <c r="F34" s="30">
        <v>0</v>
      </c>
      <c r="G34" s="32"/>
      <c r="H34" s="34">
        <v>0</v>
      </c>
      <c r="I34" s="37">
        <v>0</v>
      </c>
    </row>
    <row r="35" spans="1:9" ht="18" customHeight="1">
      <c r="A35" s="56">
        <v>33</v>
      </c>
      <c r="B35" s="60" t="s">
        <v>3</v>
      </c>
      <c r="C35" s="58" t="s">
        <v>27</v>
      </c>
      <c r="D35" s="42">
        <v>240</v>
      </c>
      <c r="E35" s="44">
        <v>52</v>
      </c>
      <c r="F35" s="46">
        <v>128.5</v>
      </c>
      <c r="G35" s="48">
        <v>15.56</v>
      </c>
      <c r="H35" s="50">
        <v>10.1</v>
      </c>
      <c r="I35" s="52">
        <v>7</v>
      </c>
    </row>
    <row r="36" spans="1:9" ht="18" customHeight="1">
      <c r="A36" s="56">
        <v>34</v>
      </c>
      <c r="B36" s="60" t="s">
        <v>3</v>
      </c>
      <c r="C36" s="58" t="s">
        <v>27</v>
      </c>
      <c r="D36" s="42">
        <v>192</v>
      </c>
      <c r="E36" s="44">
        <v>42</v>
      </c>
      <c r="F36" s="46">
        <v>110.5</v>
      </c>
      <c r="G36" s="48">
        <v>16.27</v>
      </c>
      <c r="H36" s="50">
        <v>11.4</v>
      </c>
      <c r="I36" s="52">
        <v>6.4</v>
      </c>
    </row>
    <row r="37" spans="1:9" ht="18" customHeight="1">
      <c r="A37" s="56">
        <v>35</v>
      </c>
      <c r="B37" s="60" t="s">
        <v>3</v>
      </c>
      <c r="C37" s="58" t="s">
        <v>27</v>
      </c>
      <c r="D37" s="42">
        <v>289</v>
      </c>
      <c r="E37" s="44">
        <v>66</v>
      </c>
      <c r="F37" s="46">
        <v>154.5</v>
      </c>
      <c r="G37" s="48">
        <v>14.6</v>
      </c>
      <c r="H37" s="50">
        <v>18.399999999999999</v>
      </c>
      <c r="I37" s="52">
        <v>8.4</v>
      </c>
    </row>
    <row r="38" spans="1:9" ht="18" customHeight="1">
      <c r="A38" s="56">
        <v>36</v>
      </c>
      <c r="B38" s="60" t="s">
        <v>3</v>
      </c>
      <c r="C38" s="58" t="s">
        <v>27</v>
      </c>
      <c r="D38" s="42">
        <v>242</v>
      </c>
      <c r="E38" s="44">
        <v>61</v>
      </c>
      <c r="F38" s="46">
        <v>153</v>
      </c>
      <c r="G38" s="48">
        <v>15.4</v>
      </c>
      <c r="H38" s="50">
        <v>9.6</v>
      </c>
      <c r="I38" s="52">
        <v>10</v>
      </c>
    </row>
    <row r="39" spans="1:9" ht="18" customHeight="1">
      <c r="A39" s="56">
        <v>37</v>
      </c>
      <c r="B39" s="60" t="s">
        <v>3</v>
      </c>
      <c r="C39" s="58" t="s">
        <v>27</v>
      </c>
      <c r="D39" s="42">
        <v>0</v>
      </c>
      <c r="E39" s="44"/>
      <c r="F39" s="46">
        <v>0</v>
      </c>
      <c r="G39" s="48"/>
      <c r="H39" s="50">
        <v>0</v>
      </c>
      <c r="I39" s="52">
        <v>0</v>
      </c>
    </row>
    <row r="40" spans="1:9" ht="18" customHeight="1">
      <c r="A40" s="56">
        <v>38</v>
      </c>
      <c r="B40" s="60" t="s">
        <v>3</v>
      </c>
      <c r="C40" s="58" t="s">
        <v>27</v>
      </c>
      <c r="D40" s="42">
        <v>0</v>
      </c>
      <c r="E40" s="44"/>
      <c r="F40" s="46">
        <v>0</v>
      </c>
      <c r="G40" s="48"/>
      <c r="H40" s="50">
        <v>0</v>
      </c>
      <c r="I40" s="52">
        <v>0</v>
      </c>
    </row>
    <row r="41" spans="1:9" ht="18" customHeight="1">
      <c r="A41" s="56">
        <v>39</v>
      </c>
      <c r="B41" s="60" t="s">
        <v>3</v>
      </c>
      <c r="C41" s="58" t="s">
        <v>27</v>
      </c>
      <c r="D41" s="42">
        <v>0</v>
      </c>
      <c r="E41" s="44"/>
      <c r="F41" s="46">
        <v>108</v>
      </c>
      <c r="G41" s="48"/>
      <c r="H41" s="50">
        <v>0</v>
      </c>
      <c r="I41" s="52">
        <v>0</v>
      </c>
    </row>
    <row r="42" spans="1:9" ht="18" customHeight="1">
      <c r="A42" s="56">
        <v>40</v>
      </c>
      <c r="B42" s="60" t="s">
        <v>3</v>
      </c>
      <c r="C42" s="58" t="s">
        <v>27</v>
      </c>
      <c r="D42" s="42">
        <v>258</v>
      </c>
      <c r="E42" s="44">
        <v>53</v>
      </c>
      <c r="F42" s="46">
        <v>0</v>
      </c>
      <c r="G42" s="48">
        <v>15.71</v>
      </c>
      <c r="H42" s="50">
        <v>13.8</v>
      </c>
      <c r="I42" s="52">
        <v>7.1</v>
      </c>
    </row>
    <row r="43" spans="1:9" ht="18" customHeight="1">
      <c r="A43" s="56">
        <v>41</v>
      </c>
      <c r="B43" s="60" t="s">
        <v>3</v>
      </c>
      <c r="C43" s="58" t="s">
        <v>27</v>
      </c>
      <c r="D43" s="42">
        <v>258</v>
      </c>
      <c r="E43" s="44">
        <v>72</v>
      </c>
      <c r="F43" s="46">
        <v>113</v>
      </c>
      <c r="G43" s="48">
        <v>14.67</v>
      </c>
      <c r="H43" s="50">
        <v>19.8</v>
      </c>
      <c r="I43" s="52">
        <v>7.9</v>
      </c>
    </row>
    <row r="44" spans="1:9" ht="18" customHeight="1">
      <c r="A44" s="56">
        <v>42</v>
      </c>
      <c r="B44" s="60" t="s">
        <v>3</v>
      </c>
      <c r="C44" s="58" t="s">
        <v>27</v>
      </c>
      <c r="D44" s="42">
        <v>0</v>
      </c>
      <c r="E44" s="44"/>
      <c r="F44" s="46">
        <v>0</v>
      </c>
      <c r="G44" s="48"/>
      <c r="H44" s="50">
        <v>0</v>
      </c>
      <c r="I44" s="52">
        <v>0</v>
      </c>
    </row>
    <row r="45" spans="1:9" ht="18" customHeight="1">
      <c r="A45" s="56">
        <v>43</v>
      </c>
      <c r="B45" s="60" t="s">
        <v>3</v>
      </c>
      <c r="C45" s="58" t="s">
        <v>27</v>
      </c>
      <c r="D45" s="42">
        <v>235</v>
      </c>
      <c r="E45" s="44">
        <v>53</v>
      </c>
      <c r="F45" s="46">
        <v>126.5</v>
      </c>
      <c r="G45" s="48">
        <v>14.94</v>
      </c>
      <c r="H45" s="50">
        <v>20.5</v>
      </c>
      <c r="I45" s="52">
        <v>6.8</v>
      </c>
    </row>
    <row r="46" spans="1:9" ht="18" customHeight="1">
      <c r="A46" s="56">
        <v>44</v>
      </c>
      <c r="B46" s="60" t="s">
        <v>3</v>
      </c>
      <c r="C46" s="58" t="s">
        <v>27</v>
      </c>
      <c r="D46" s="42">
        <v>242</v>
      </c>
      <c r="E46" s="44">
        <v>50</v>
      </c>
      <c r="F46" s="46">
        <v>118.5</v>
      </c>
      <c r="G46" s="48">
        <v>15.37</v>
      </c>
      <c r="H46" s="50">
        <v>22.3</v>
      </c>
      <c r="I46" s="52">
        <v>8.1999999999999993</v>
      </c>
    </row>
    <row r="47" spans="1:9" ht="18" customHeight="1">
      <c r="A47" s="56">
        <v>45</v>
      </c>
      <c r="B47" s="60" t="s">
        <v>3</v>
      </c>
      <c r="C47" s="58" t="s">
        <v>27</v>
      </c>
      <c r="D47" s="42">
        <v>0</v>
      </c>
      <c r="E47" s="44"/>
      <c r="F47" s="46">
        <v>0</v>
      </c>
      <c r="G47" s="48"/>
      <c r="H47" s="50">
        <v>0</v>
      </c>
      <c r="I47" s="52">
        <v>0</v>
      </c>
    </row>
    <row r="48" spans="1:9" ht="18" customHeight="1">
      <c r="A48" s="56">
        <v>46</v>
      </c>
      <c r="B48" s="60" t="s">
        <v>3</v>
      </c>
      <c r="C48" s="58" t="s">
        <v>27</v>
      </c>
      <c r="D48" s="42">
        <v>252</v>
      </c>
      <c r="E48" s="44" t="s">
        <v>655</v>
      </c>
      <c r="F48" s="46">
        <v>124.5</v>
      </c>
      <c r="G48" s="48">
        <v>14.68</v>
      </c>
      <c r="H48" s="50">
        <v>20.5</v>
      </c>
      <c r="I48" s="52">
        <v>6.8</v>
      </c>
    </row>
    <row r="49" spans="1:9" ht="18" customHeight="1">
      <c r="A49" s="56">
        <v>47</v>
      </c>
      <c r="B49" s="60" t="s">
        <v>3</v>
      </c>
      <c r="C49" s="58" t="s">
        <v>27</v>
      </c>
      <c r="D49" s="42">
        <v>213</v>
      </c>
      <c r="E49" s="44">
        <v>43</v>
      </c>
      <c r="F49" s="46">
        <v>157</v>
      </c>
      <c r="G49" s="48">
        <v>16.09</v>
      </c>
      <c r="H49" s="50">
        <v>21.5</v>
      </c>
      <c r="I49" s="52">
        <v>5.7</v>
      </c>
    </row>
    <row r="50" spans="1:9" ht="18" customHeight="1">
      <c r="A50" s="56">
        <v>48</v>
      </c>
      <c r="B50" s="60" t="s">
        <v>3</v>
      </c>
      <c r="C50" s="58" t="s">
        <v>27</v>
      </c>
      <c r="D50" s="42">
        <v>230</v>
      </c>
      <c r="E50" s="44">
        <v>49</v>
      </c>
      <c r="F50" s="46">
        <v>141</v>
      </c>
      <c r="G50" s="48">
        <v>15.54</v>
      </c>
      <c r="H50" s="50">
        <v>21.1</v>
      </c>
      <c r="I50" s="52">
        <v>8.6999999999999993</v>
      </c>
    </row>
    <row r="51" spans="1:9" ht="18" customHeight="1">
      <c r="A51" s="56">
        <v>49</v>
      </c>
      <c r="B51" s="60" t="s">
        <v>3</v>
      </c>
      <c r="C51" s="58" t="s">
        <v>27</v>
      </c>
      <c r="D51" s="42">
        <v>0</v>
      </c>
      <c r="E51" s="44"/>
      <c r="F51" s="46">
        <v>0</v>
      </c>
      <c r="G51" s="48">
        <v>18.55</v>
      </c>
      <c r="H51" s="50">
        <v>0</v>
      </c>
      <c r="I51" s="52">
        <v>7.5</v>
      </c>
    </row>
    <row r="52" spans="1:9" ht="18" customHeight="1">
      <c r="A52" s="56">
        <v>50</v>
      </c>
      <c r="B52" s="60" t="s">
        <v>3</v>
      </c>
      <c r="C52" s="58" t="s">
        <v>27</v>
      </c>
      <c r="D52" s="42">
        <v>0</v>
      </c>
      <c r="E52" s="44"/>
      <c r="F52" s="46">
        <v>0</v>
      </c>
      <c r="G52" s="48"/>
      <c r="H52" s="50">
        <v>0</v>
      </c>
      <c r="I52" s="52">
        <v>0</v>
      </c>
    </row>
    <row r="53" spans="1:9" ht="18" customHeight="1">
      <c r="A53" s="56">
        <v>51</v>
      </c>
      <c r="B53" s="60" t="s">
        <v>3</v>
      </c>
      <c r="C53" s="58" t="s">
        <v>27</v>
      </c>
      <c r="D53" s="42">
        <v>231</v>
      </c>
      <c r="E53" s="44">
        <v>49</v>
      </c>
      <c r="F53" s="46">
        <v>125</v>
      </c>
      <c r="G53" s="48">
        <v>16.41</v>
      </c>
      <c r="H53" s="50">
        <v>8.9</v>
      </c>
      <c r="I53" s="52">
        <v>7.3</v>
      </c>
    </row>
    <row r="54" spans="1:9" ht="18" customHeight="1">
      <c r="A54" s="56">
        <v>52</v>
      </c>
      <c r="B54" s="60" t="s">
        <v>3</v>
      </c>
      <c r="C54" s="58" t="s">
        <v>27</v>
      </c>
      <c r="D54" s="42">
        <v>214</v>
      </c>
      <c r="E54" s="44">
        <v>43</v>
      </c>
      <c r="F54" s="46">
        <v>154</v>
      </c>
      <c r="G54" s="48">
        <v>16.57</v>
      </c>
      <c r="H54" s="50">
        <v>17.100000000000001</v>
      </c>
      <c r="I54" s="52">
        <v>7.2</v>
      </c>
    </row>
    <row r="55" spans="1:9" ht="18" customHeight="1">
      <c r="A55" s="56">
        <v>53</v>
      </c>
      <c r="B55" s="60" t="s">
        <v>3</v>
      </c>
      <c r="C55" s="58" t="s">
        <v>27</v>
      </c>
      <c r="D55" s="42">
        <v>248</v>
      </c>
      <c r="E55" s="44">
        <v>65</v>
      </c>
      <c r="F55" s="46">
        <v>92.5</v>
      </c>
      <c r="G55" s="48">
        <v>15.04</v>
      </c>
      <c r="H55" s="50">
        <v>14.8</v>
      </c>
      <c r="I55" s="52">
        <v>7.3</v>
      </c>
    </row>
    <row r="56" spans="1:9" ht="18" customHeight="1">
      <c r="A56" s="56">
        <v>54</v>
      </c>
      <c r="B56" s="60" t="s">
        <v>3</v>
      </c>
      <c r="C56" s="58" t="s">
        <v>27</v>
      </c>
      <c r="D56" s="42">
        <v>249</v>
      </c>
      <c r="E56" s="44">
        <v>61</v>
      </c>
      <c r="F56" s="46">
        <v>139.5</v>
      </c>
      <c r="G56" s="48">
        <v>15.37</v>
      </c>
      <c r="H56" s="50">
        <v>7.3</v>
      </c>
      <c r="I56" s="52">
        <v>7</v>
      </c>
    </row>
    <row r="57" spans="1:9" ht="18" customHeight="1">
      <c r="A57" s="56">
        <v>55</v>
      </c>
      <c r="B57" s="60" t="s">
        <v>3</v>
      </c>
      <c r="C57" s="58" t="s">
        <v>27</v>
      </c>
      <c r="D57" s="42">
        <v>234</v>
      </c>
      <c r="E57" s="44">
        <v>50</v>
      </c>
      <c r="F57" s="46">
        <v>115</v>
      </c>
      <c r="G57" s="48">
        <v>15.17</v>
      </c>
      <c r="H57" s="50">
        <v>14.5</v>
      </c>
      <c r="I57" s="52">
        <v>7.2</v>
      </c>
    </row>
    <row r="58" spans="1:9" ht="18" customHeight="1">
      <c r="A58" s="56">
        <v>56</v>
      </c>
      <c r="B58" s="60" t="s">
        <v>3</v>
      </c>
      <c r="C58" s="58" t="s">
        <v>27</v>
      </c>
      <c r="D58" s="42">
        <v>242</v>
      </c>
      <c r="E58" s="44">
        <v>56</v>
      </c>
      <c r="F58" s="46">
        <v>147.5</v>
      </c>
      <c r="G58" s="48">
        <v>14.4</v>
      </c>
      <c r="H58" s="50">
        <v>24.5</v>
      </c>
      <c r="I58" s="52">
        <v>7.5</v>
      </c>
    </row>
    <row r="59" spans="1:9" ht="18" customHeight="1">
      <c r="A59" s="56">
        <v>57</v>
      </c>
      <c r="B59" s="60" t="s">
        <v>3</v>
      </c>
      <c r="C59" s="58" t="s">
        <v>27</v>
      </c>
      <c r="D59" s="42">
        <v>0</v>
      </c>
      <c r="E59" s="44"/>
      <c r="F59" s="46">
        <v>0</v>
      </c>
      <c r="G59" s="48"/>
      <c r="H59" s="50">
        <v>0</v>
      </c>
      <c r="I59" s="52">
        <v>0</v>
      </c>
    </row>
    <row r="60" spans="1:9" ht="18" customHeight="1" thickBot="1">
      <c r="A60" s="68">
        <v>58</v>
      </c>
      <c r="B60" s="70" t="s">
        <v>3</v>
      </c>
      <c r="C60" s="71" t="s">
        <v>27</v>
      </c>
      <c r="D60" s="72">
        <v>0</v>
      </c>
      <c r="E60" s="76"/>
      <c r="F60" s="77">
        <v>0</v>
      </c>
      <c r="G60" s="80"/>
      <c r="H60" s="82">
        <v>0</v>
      </c>
      <c r="I60" s="84">
        <v>0</v>
      </c>
    </row>
    <row r="61" spans="1:9" ht="18" customHeight="1">
      <c r="A61" s="20">
        <v>59</v>
      </c>
      <c r="B61" s="88" t="s">
        <v>3</v>
      </c>
      <c r="C61" s="87" t="s">
        <v>27</v>
      </c>
      <c r="D61" s="24">
        <v>0</v>
      </c>
      <c r="E61" s="28"/>
      <c r="F61" s="30">
        <v>0</v>
      </c>
      <c r="G61" s="32"/>
      <c r="H61" s="34">
        <v>0</v>
      </c>
      <c r="I61" s="37">
        <v>0</v>
      </c>
    </row>
    <row r="62" spans="1:9" ht="18" customHeight="1">
      <c r="A62" s="40">
        <v>60</v>
      </c>
      <c r="B62" s="89" t="s">
        <v>3</v>
      </c>
      <c r="C62" s="22" t="s">
        <v>27</v>
      </c>
      <c r="D62" s="42">
        <v>215</v>
      </c>
      <c r="E62" s="44">
        <v>46</v>
      </c>
      <c r="F62" s="46">
        <v>104</v>
      </c>
      <c r="G62" s="48">
        <v>16.510000000000002</v>
      </c>
      <c r="H62" s="50">
        <v>23</v>
      </c>
      <c r="I62" s="52">
        <v>6.7</v>
      </c>
    </row>
    <row r="63" spans="1:9" ht="18" customHeight="1">
      <c r="A63" s="40">
        <v>61</v>
      </c>
      <c r="B63" s="89" t="s">
        <v>3</v>
      </c>
      <c r="C63" s="22" t="s">
        <v>27</v>
      </c>
      <c r="D63" s="42">
        <v>0</v>
      </c>
      <c r="E63" s="44">
        <v>38</v>
      </c>
      <c r="F63" s="46">
        <v>124</v>
      </c>
      <c r="G63" s="48">
        <v>15.87</v>
      </c>
      <c r="H63" s="50">
        <v>25.9</v>
      </c>
      <c r="I63" s="52">
        <v>5.9</v>
      </c>
    </row>
    <row r="64" spans="1:9" ht="18" customHeight="1">
      <c r="A64" s="20">
        <v>62</v>
      </c>
      <c r="B64" s="23" t="s">
        <v>3</v>
      </c>
      <c r="C64" s="87" t="s">
        <v>27</v>
      </c>
      <c r="D64" s="24">
        <v>230</v>
      </c>
      <c r="E64" s="28">
        <v>56</v>
      </c>
      <c r="F64" s="30">
        <v>106</v>
      </c>
      <c r="G64" s="32">
        <v>17.350000000000001</v>
      </c>
      <c r="H64" s="34">
        <v>10.4</v>
      </c>
      <c r="I64" s="37">
        <v>5.9</v>
      </c>
    </row>
    <row r="65" spans="1:9" ht="18" customHeight="1">
      <c r="A65" s="40">
        <v>63</v>
      </c>
      <c r="B65" s="41" t="s">
        <v>3</v>
      </c>
      <c r="C65" s="22" t="s">
        <v>27</v>
      </c>
      <c r="D65" s="42">
        <v>217</v>
      </c>
      <c r="E65" s="44">
        <v>44</v>
      </c>
      <c r="F65" s="46">
        <v>123</v>
      </c>
      <c r="G65" s="48">
        <v>16.059999999999999</v>
      </c>
      <c r="H65" s="50">
        <v>5.9</v>
      </c>
      <c r="I65" s="52">
        <v>5.8</v>
      </c>
    </row>
    <row r="66" spans="1:9" ht="18" customHeight="1">
      <c r="A66" s="40">
        <v>64</v>
      </c>
      <c r="B66" s="41" t="s">
        <v>3</v>
      </c>
      <c r="C66" s="22" t="s">
        <v>27</v>
      </c>
      <c r="D66" s="42">
        <v>222</v>
      </c>
      <c r="E66" s="44">
        <v>46</v>
      </c>
      <c r="F66" s="46">
        <v>159</v>
      </c>
      <c r="G66" s="48">
        <v>15.32</v>
      </c>
      <c r="H66" s="50">
        <v>19.5</v>
      </c>
      <c r="I66" s="52">
        <v>8</v>
      </c>
    </row>
    <row r="67" spans="1:9" ht="18" customHeight="1">
      <c r="A67" s="40">
        <v>65</v>
      </c>
      <c r="B67" s="41" t="s">
        <v>3</v>
      </c>
      <c r="C67" s="22" t="s">
        <v>27</v>
      </c>
      <c r="D67" s="42">
        <v>242</v>
      </c>
      <c r="E67" s="44" t="s">
        <v>33</v>
      </c>
      <c r="F67" s="46">
        <v>121</v>
      </c>
      <c r="G67" s="48">
        <v>16.68</v>
      </c>
      <c r="H67" s="50">
        <v>17.2</v>
      </c>
      <c r="I67" s="52">
        <v>8.3000000000000007</v>
      </c>
    </row>
    <row r="68" spans="1:9" ht="18" customHeight="1">
      <c r="A68" s="40">
        <v>66</v>
      </c>
      <c r="B68" s="41" t="s">
        <v>3</v>
      </c>
      <c r="C68" s="22" t="s">
        <v>27</v>
      </c>
      <c r="D68" s="42">
        <v>0</v>
      </c>
      <c r="E68" s="44"/>
      <c r="F68" s="46">
        <v>0</v>
      </c>
      <c r="G68" s="48"/>
      <c r="H68" s="50">
        <v>0</v>
      </c>
      <c r="I68" s="52">
        <v>0</v>
      </c>
    </row>
    <row r="69" spans="1:9" ht="18" customHeight="1">
      <c r="A69" s="40">
        <v>67</v>
      </c>
      <c r="B69" s="41" t="s">
        <v>3</v>
      </c>
      <c r="C69" s="22" t="s">
        <v>27</v>
      </c>
      <c r="D69" s="42">
        <v>0</v>
      </c>
      <c r="E69" s="44"/>
      <c r="F69" s="46">
        <v>0</v>
      </c>
      <c r="G69" s="48"/>
      <c r="H69" s="50">
        <v>0</v>
      </c>
      <c r="I69" s="52">
        <v>0</v>
      </c>
    </row>
    <row r="70" spans="1:9" ht="18" customHeight="1">
      <c r="A70" s="40">
        <v>68</v>
      </c>
      <c r="B70" s="41" t="s">
        <v>3</v>
      </c>
      <c r="C70" s="22" t="s">
        <v>27</v>
      </c>
      <c r="D70" s="42">
        <v>0</v>
      </c>
      <c r="E70" s="44"/>
      <c r="F70" s="46">
        <v>0</v>
      </c>
      <c r="G70" s="48"/>
      <c r="H70" s="50">
        <v>0</v>
      </c>
      <c r="I70" s="52">
        <v>0</v>
      </c>
    </row>
    <row r="71" spans="1:9" ht="18" customHeight="1">
      <c r="A71" s="40">
        <v>69</v>
      </c>
      <c r="B71" s="41" t="s">
        <v>3</v>
      </c>
      <c r="C71" s="22" t="s">
        <v>27</v>
      </c>
      <c r="D71" s="42">
        <v>0</v>
      </c>
      <c r="E71" s="44"/>
      <c r="F71" s="46">
        <v>0</v>
      </c>
      <c r="G71" s="48"/>
      <c r="H71" s="50">
        <v>0</v>
      </c>
      <c r="I71" s="52">
        <v>0</v>
      </c>
    </row>
    <row r="72" spans="1:9" ht="18" customHeight="1">
      <c r="A72" s="40">
        <v>70</v>
      </c>
      <c r="B72" s="41" t="s">
        <v>3</v>
      </c>
      <c r="C72" s="22" t="s">
        <v>27</v>
      </c>
      <c r="D72" s="42">
        <v>209</v>
      </c>
      <c r="E72" s="44">
        <v>52</v>
      </c>
      <c r="F72" s="46">
        <v>85.5</v>
      </c>
      <c r="G72" s="48">
        <v>15.85</v>
      </c>
      <c r="H72" s="50">
        <v>0</v>
      </c>
      <c r="I72" s="52">
        <v>5.9</v>
      </c>
    </row>
    <row r="73" spans="1:9" ht="18" customHeight="1">
      <c r="A73" s="40">
        <v>71</v>
      </c>
      <c r="B73" s="41" t="s">
        <v>3</v>
      </c>
      <c r="C73" s="22" t="s">
        <v>29</v>
      </c>
      <c r="D73" s="42">
        <v>166</v>
      </c>
      <c r="E73" s="44">
        <v>34</v>
      </c>
      <c r="F73" s="46">
        <v>82</v>
      </c>
      <c r="G73" s="48">
        <v>20.45</v>
      </c>
      <c r="H73" s="50">
        <v>30.7</v>
      </c>
      <c r="I73" s="52">
        <v>6.6</v>
      </c>
    </row>
    <row r="74" spans="1:9" ht="18" customHeight="1">
      <c r="A74" s="40">
        <v>72</v>
      </c>
      <c r="B74" s="41" t="s">
        <v>3</v>
      </c>
      <c r="C74" s="22" t="s">
        <v>27</v>
      </c>
      <c r="D74" s="42">
        <v>254</v>
      </c>
      <c r="E74" s="44">
        <v>60</v>
      </c>
      <c r="F74" s="46">
        <v>160</v>
      </c>
      <c r="G74" s="48">
        <v>14.5</v>
      </c>
      <c r="H74" s="50">
        <v>23.6</v>
      </c>
      <c r="I74" s="52">
        <v>7.6</v>
      </c>
    </row>
    <row r="75" spans="1:9" ht="18" customHeight="1">
      <c r="A75" s="40">
        <v>73</v>
      </c>
      <c r="B75" s="41" t="s">
        <v>3</v>
      </c>
      <c r="C75" s="22" t="s">
        <v>27</v>
      </c>
      <c r="D75" s="42">
        <v>241</v>
      </c>
      <c r="E75" s="44">
        <v>55</v>
      </c>
      <c r="F75" s="46">
        <v>105</v>
      </c>
      <c r="G75" s="48">
        <v>17.149999999999999</v>
      </c>
      <c r="H75" s="50">
        <v>13.7</v>
      </c>
      <c r="I75" s="52">
        <v>5.8</v>
      </c>
    </row>
    <row r="76" spans="1:9" ht="18" customHeight="1">
      <c r="A76" s="40">
        <v>74</v>
      </c>
      <c r="B76" s="41" t="s">
        <v>3</v>
      </c>
      <c r="C76" s="22" t="s">
        <v>27</v>
      </c>
      <c r="D76" s="42">
        <v>255</v>
      </c>
      <c r="E76" s="44">
        <v>55</v>
      </c>
      <c r="F76" s="46">
        <v>138</v>
      </c>
      <c r="G76" s="48">
        <v>15.18</v>
      </c>
      <c r="H76" s="50">
        <v>17</v>
      </c>
      <c r="I76" s="52">
        <v>6.6</v>
      </c>
    </row>
    <row r="77" spans="1:9" ht="18" customHeight="1">
      <c r="A77" s="40">
        <v>75</v>
      </c>
      <c r="B77" s="41" t="s">
        <v>3</v>
      </c>
      <c r="C77" s="22" t="s">
        <v>27</v>
      </c>
      <c r="D77" s="42">
        <v>259</v>
      </c>
      <c r="E77" s="44">
        <v>53</v>
      </c>
      <c r="F77" s="46">
        <v>134</v>
      </c>
      <c r="G77" s="48">
        <v>14.96</v>
      </c>
      <c r="H77" s="50">
        <v>21.8</v>
      </c>
      <c r="I77" s="52">
        <v>7.7</v>
      </c>
    </row>
    <row r="78" spans="1:9" ht="18" customHeight="1">
      <c r="A78" s="40">
        <v>76</v>
      </c>
      <c r="B78" s="41" t="s">
        <v>3</v>
      </c>
      <c r="C78" s="22" t="s">
        <v>29</v>
      </c>
      <c r="D78" s="42">
        <v>0</v>
      </c>
      <c r="E78" s="44"/>
      <c r="F78" s="46">
        <v>0</v>
      </c>
      <c r="G78" s="48"/>
      <c r="H78" s="50">
        <v>0</v>
      </c>
      <c r="I78" s="52">
        <v>0</v>
      </c>
    </row>
    <row r="79" spans="1:9" ht="18" customHeight="1">
      <c r="A79" s="40">
        <v>77</v>
      </c>
      <c r="B79" s="41" t="s">
        <v>3</v>
      </c>
      <c r="C79" s="22" t="s">
        <v>27</v>
      </c>
      <c r="D79" s="42">
        <v>290</v>
      </c>
      <c r="E79" s="44">
        <v>73</v>
      </c>
      <c r="F79" s="46">
        <v>177</v>
      </c>
      <c r="G79" s="48">
        <v>13.15</v>
      </c>
      <c r="H79" s="50">
        <v>16.600000000000001</v>
      </c>
      <c r="I79" s="52">
        <v>8.9</v>
      </c>
    </row>
    <row r="80" spans="1:9" ht="18" customHeight="1">
      <c r="A80" s="40">
        <v>78</v>
      </c>
      <c r="B80" s="41" t="s">
        <v>3</v>
      </c>
      <c r="C80" s="22" t="s">
        <v>27</v>
      </c>
      <c r="D80" s="42">
        <v>287</v>
      </c>
      <c r="E80" s="44">
        <v>63</v>
      </c>
      <c r="F80" s="46">
        <v>130</v>
      </c>
      <c r="G80" s="48">
        <v>14.39</v>
      </c>
      <c r="H80" s="50">
        <v>14.2</v>
      </c>
      <c r="I80" s="52">
        <v>7.3</v>
      </c>
    </row>
    <row r="81" spans="1:9" ht="18" customHeight="1">
      <c r="A81" s="40">
        <v>79</v>
      </c>
      <c r="B81" s="41" t="s">
        <v>3</v>
      </c>
      <c r="C81" s="22" t="s">
        <v>27</v>
      </c>
      <c r="D81" s="42">
        <v>240</v>
      </c>
      <c r="E81" s="44">
        <v>50</v>
      </c>
      <c r="F81" s="46">
        <v>122</v>
      </c>
      <c r="G81" s="48">
        <v>15.13</v>
      </c>
      <c r="H81" s="50">
        <v>25.8</v>
      </c>
      <c r="I81" s="52">
        <v>7.5</v>
      </c>
    </row>
    <row r="82" spans="1:9" ht="18" customHeight="1">
      <c r="A82" s="40">
        <v>80</v>
      </c>
      <c r="B82" s="89" t="s">
        <v>3</v>
      </c>
      <c r="C82" s="22" t="s">
        <v>27</v>
      </c>
      <c r="D82" s="42">
        <v>238</v>
      </c>
      <c r="E82" s="44">
        <v>52</v>
      </c>
      <c r="F82" s="46">
        <v>109</v>
      </c>
      <c r="G82" s="48">
        <v>14.99</v>
      </c>
      <c r="H82" s="50">
        <v>19.8</v>
      </c>
      <c r="I82" s="52">
        <v>5.7</v>
      </c>
    </row>
    <row r="83" spans="1:9" ht="18" customHeight="1">
      <c r="A83" s="40">
        <v>81</v>
      </c>
      <c r="B83" s="89" t="s">
        <v>3</v>
      </c>
      <c r="C83" s="22" t="s">
        <v>27</v>
      </c>
      <c r="D83" s="42">
        <v>242</v>
      </c>
      <c r="E83" s="44" t="s">
        <v>33</v>
      </c>
      <c r="F83" s="46">
        <v>120</v>
      </c>
      <c r="G83" s="48">
        <v>14.69</v>
      </c>
      <c r="H83" s="50">
        <v>16.600000000000001</v>
      </c>
      <c r="I83" s="52">
        <v>8</v>
      </c>
    </row>
    <row r="84" spans="1:9" ht="18" customHeight="1">
      <c r="A84" s="40">
        <v>82</v>
      </c>
      <c r="B84" s="89" t="s">
        <v>3</v>
      </c>
      <c r="C84" s="22" t="s">
        <v>27</v>
      </c>
      <c r="D84" s="42">
        <v>0</v>
      </c>
      <c r="E84" s="44"/>
      <c r="F84" s="46">
        <v>135.5</v>
      </c>
      <c r="G84" s="48" t="s">
        <v>90</v>
      </c>
      <c r="H84" s="50">
        <v>20.8</v>
      </c>
      <c r="I84" s="52">
        <v>11.8</v>
      </c>
    </row>
    <row r="85" spans="1:9" ht="18" customHeight="1">
      <c r="A85" s="40">
        <v>83</v>
      </c>
      <c r="B85" s="89" t="s">
        <v>3</v>
      </c>
      <c r="C85" s="22" t="s">
        <v>27</v>
      </c>
      <c r="D85" s="42">
        <v>251</v>
      </c>
      <c r="E85" s="44">
        <v>56</v>
      </c>
      <c r="F85" s="46">
        <v>103</v>
      </c>
      <c r="G85" s="48">
        <v>14.37</v>
      </c>
      <c r="H85" s="50">
        <v>10.8</v>
      </c>
      <c r="I85" s="52">
        <v>7.3</v>
      </c>
    </row>
    <row r="86" spans="1:9" ht="18" customHeight="1">
      <c r="A86" s="40">
        <v>84</v>
      </c>
      <c r="B86" s="41" t="s">
        <v>3</v>
      </c>
      <c r="C86" s="22" t="s">
        <v>27</v>
      </c>
      <c r="D86" s="42">
        <v>253</v>
      </c>
      <c r="E86" s="44">
        <v>52</v>
      </c>
      <c r="F86" s="46">
        <v>198.5</v>
      </c>
      <c r="G86" s="48">
        <v>15.07</v>
      </c>
      <c r="H86" s="50">
        <v>22.3</v>
      </c>
      <c r="I86" s="52">
        <v>10.1</v>
      </c>
    </row>
    <row r="87" spans="1:9" ht="18" customHeight="1">
      <c r="A87" s="40">
        <v>85</v>
      </c>
      <c r="B87" s="41" t="s">
        <v>3</v>
      </c>
      <c r="C87" s="22" t="s">
        <v>27</v>
      </c>
      <c r="D87" s="42">
        <v>270</v>
      </c>
      <c r="E87" s="44">
        <v>56</v>
      </c>
      <c r="F87" s="46">
        <v>142</v>
      </c>
      <c r="G87" s="48">
        <v>14.26</v>
      </c>
      <c r="H87" s="50">
        <v>3.8</v>
      </c>
      <c r="I87" s="52">
        <v>10</v>
      </c>
    </row>
    <row r="88" spans="1:9" ht="18" customHeight="1">
      <c r="A88" s="40">
        <v>86</v>
      </c>
      <c r="B88" s="41" t="s">
        <v>3</v>
      </c>
      <c r="C88" s="22" t="s">
        <v>27</v>
      </c>
      <c r="D88" s="42">
        <v>285</v>
      </c>
      <c r="E88" s="44">
        <v>68</v>
      </c>
      <c r="F88" s="46">
        <v>148</v>
      </c>
      <c r="G88" s="48">
        <v>13.85</v>
      </c>
      <c r="H88" s="50">
        <v>19</v>
      </c>
      <c r="I88" s="52">
        <v>8.5</v>
      </c>
    </row>
    <row r="89" spans="1:9" ht="18" customHeight="1">
      <c r="A89" s="56">
        <v>87</v>
      </c>
      <c r="B89" s="60" t="s">
        <v>3</v>
      </c>
      <c r="C89" s="58" t="s">
        <v>27</v>
      </c>
      <c r="D89" s="42">
        <v>270</v>
      </c>
      <c r="E89" s="44">
        <v>63</v>
      </c>
      <c r="F89" s="46">
        <v>117</v>
      </c>
      <c r="G89" s="48" t="s">
        <v>90</v>
      </c>
      <c r="H89" s="50">
        <v>0</v>
      </c>
      <c r="I89" s="52">
        <v>8.3000000000000007</v>
      </c>
    </row>
    <row r="90" spans="1:9" ht="18" customHeight="1">
      <c r="A90" s="56">
        <v>88</v>
      </c>
      <c r="B90" s="60" t="s">
        <v>3</v>
      </c>
      <c r="C90" s="58" t="s">
        <v>27</v>
      </c>
      <c r="D90" s="42">
        <v>0</v>
      </c>
      <c r="E90" s="44"/>
      <c r="F90" s="46">
        <v>0</v>
      </c>
      <c r="G90" s="48"/>
      <c r="H90" s="50">
        <v>0</v>
      </c>
      <c r="I90" s="52">
        <v>0</v>
      </c>
    </row>
    <row r="91" spans="1:9" ht="18" customHeight="1">
      <c r="A91" s="56">
        <v>89</v>
      </c>
      <c r="B91" s="60" t="s">
        <v>3</v>
      </c>
      <c r="C91" s="58" t="s">
        <v>27</v>
      </c>
      <c r="D91" s="42">
        <v>0</v>
      </c>
      <c r="E91" s="44">
        <v>52</v>
      </c>
      <c r="F91" s="46">
        <v>178.5</v>
      </c>
      <c r="G91" s="48" t="s">
        <v>90</v>
      </c>
      <c r="H91" s="50">
        <v>13.5</v>
      </c>
      <c r="I91" s="52">
        <v>10.8</v>
      </c>
    </row>
    <row r="92" spans="1:9" ht="18" customHeight="1">
      <c r="A92" s="56">
        <v>90</v>
      </c>
      <c r="B92" s="60" t="s">
        <v>3</v>
      </c>
      <c r="C92" s="58" t="s">
        <v>27</v>
      </c>
      <c r="D92" s="42">
        <v>0</v>
      </c>
      <c r="E92" s="44"/>
      <c r="F92" s="46">
        <v>0</v>
      </c>
      <c r="G92" s="48"/>
      <c r="H92" s="50">
        <v>0</v>
      </c>
      <c r="I92" s="52">
        <v>0</v>
      </c>
    </row>
    <row r="93" spans="1:9" ht="18" customHeight="1">
      <c r="A93" s="56">
        <v>91</v>
      </c>
      <c r="B93" s="59" t="s">
        <v>3</v>
      </c>
      <c r="C93" s="58" t="s">
        <v>27</v>
      </c>
      <c r="D93" s="42">
        <v>261</v>
      </c>
      <c r="E93" s="44">
        <v>65</v>
      </c>
      <c r="F93" s="46">
        <v>152</v>
      </c>
      <c r="G93" s="48">
        <v>14.4</v>
      </c>
      <c r="H93" s="50">
        <v>12.3</v>
      </c>
      <c r="I93" s="52">
        <v>7.5</v>
      </c>
    </row>
    <row r="94" spans="1:9" ht="18" customHeight="1">
      <c r="A94" s="56">
        <v>92</v>
      </c>
      <c r="B94" s="60" t="s">
        <v>3</v>
      </c>
      <c r="C94" s="58" t="s">
        <v>29</v>
      </c>
      <c r="D94" s="42">
        <v>235</v>
      </c>
      <c r="E94" s="44" t="s">
        <v>655</v>
      </c>
      <c r="F94" s="46">
        <v>97</v>
      </c>
      <c r="G94" s="48">
        <v>15.75</v>
      </c>
      <c r="H94" s="50">
        <v>23.5</v>
      </c>
      <c r="I94" s="52">
        <v>8.6999999999999993</v>
      </c>
    </row>
    <row r="95" spans="1:9" ht="18" customHeight="1">
      <c r="A95" s="56">
        <v>93</v>
      </c>
      <c r="B95" s="60" t="s">
        <v>3</v>
      </c>
      <c r="C95" s="58" t="s">
        <v>27</v>
      </c>
      <c r="D95" s="42">
        <v>0</v>
      </c>
      <c r="E95" s="44" t="s">
        <v>100</v>
      </c>
      <c r="F95" s="46">
        <v>0</v>
      </c>
      <c r="G95" s="48"/>
      <c r="H95" s="50">
        <v>21.1</v>
      </c>
      <c r="I95" s="52">
        <v>8.4</v>
      </c>
    </row>
    <row r="96" spans="1:9" ht="18" customHeight="1">
      <c r="A96" s="64">
        <v>94</v>
      </c>
      <c r="B96" s="66" t="s">
        <v>3</v>
      </c>
      <c r="C96" s="65" t="s">
        <v>27</v>
      </c>
      <c r="D96" s="24">
        <v>228</v>
      </c>
      <c r="E96" s="28">
        <v>53</v>
      </c>
      <c r="F96" s="30">
        <v>167</v>
      </c>
      <c r="G96" s="32">
        <v>15.01</v>
      </c>
      <c r="H96" s="34">
        <v>18.3</v>
      </c>
      <c r="I96" s="37">
        <v>8</v>
      </c>
    </row>
    <row r="97" spans="1:11" ht="18" customHeight="1">
      <c r="A97" s="56">
        <v>95</v>
      </c>
      <c r="B97" s="60" t="s">
        <v>3</v>
      </c>
      <c r="C97" s="58" t="s">
        <v>27</v>
      </c>
      <c r="D97" s="42">
        <v>226</v>
      </c>
      <c r="E97" s="44">
        <v>52</v>
      </c>
      <c r="F97" s="46">
        <v>122</v>
      </c>
      <c r="G97" s="48">
        <v>15.51</v>
      </c>
      <c r="H97" s="50">
        <v>21.5</v>
      </c>
      <c r="I97" s="52">
        <v>7.1</v>
      </c>
      <c r="K97" s="90" t="s">
        <v>103</v>
      </c>
    </row>
    <row r="98" spans="1:11" ht="18" customHeight="1">
      <c r="A98" s="56">
        <v>96</v>
      </c>
      <c r="B98" s="60" t="s">
        <v>3</v>
      </c>
      <c r="C98" s="58" t="s">
        <v>29</v>
      </c>
      <c r="D98" s="42">
        <v>188</v>
      </c>
      <c r="E98" s="44">
        <v>38</v>
      </c>
      <c r="F98" s="46">
        <v>89.5</v>
      </c>
      <c r="G98" s="48">
        <v>17.5</v>
      </c>
      <c r="H98" s="50">
        <v>32.1</v>
      </c>
      <c r="I98" s="52">
        <v>5.6</v>
      </c>
    </row>
    <row r="99" spans="1:11" ht="18" customHeight="1">
      <c r="A99" s="56">
        <v>97</v>
      </c>
      <c r="B99" s="60" t="s">
        <v>3</v>
      </c>
      <c r="C99" s="58" t="s">
        <v>29</v>
      </c>
      <c r="D99" s="42">
        <v>192</v>
      </c>
      <c r="E99" s="44">
        <v>36</v>
      </c>
      <c r="F99" s="46">
        <v>84</v>
      </c>
      <c r="G99" s="48">
        <v>17.36</v>
      </c>
      <c r="H99" s="50">
        <v>7.8</v>
      </c>
      <c r="I99" s="52">
        <v>6.5</v>
      </c>
    </row>
    <row r="100" spans="1:11" ht="18" customHeight="1">
      <c r="A100" s="56">
        <v>98</v>
      </c>
      <c r="B100" s="60" t="s">
        <v>3</v>
      </c>
      <c r="C100" s="58" t="s">
        <v>27</v>
      </c>
      <c r="D100" s="42">
        <v>255</v>
      </c>
      <c r="E100" s="44">
        <v>58</v>
      </c>
      <c r="F100" s="46">
        <v>196</v>
      </c>
      <c r="G100" s="48">
        <v>14.26</v>
      </c>
      <c r="H100" s="50">
        <v>23</v>
      </c>
      <c r="I100" s="52">
        <v>8.1</v>
      </c>
    </row>
    <row r="101" spans="1:11" ht="18" customHeight="1">
      <c r="A101" s="56">
        <v>99</v>
      </c>
      <c r="B101" s="60" t="s">
        <v>3</v>
      </c>
      <c r="C101" s="58" t="s">
        <v>27</v>
      </c>
      <c r="D101" s="42">
        <v>268</v>
      </c>
      <c r="E101" s="44">
        <v>60</v>
      </c>
      <c r="F101" s="46">
        <v>162</v>
      </c>
      <c r="G101" s="48">
        <v>14.33</v>
      </c>
      <c r="H101" s="50">
        <v>0</v>
      </c>
      <c r="I101" s="52">
        <v>7</v>
      </c>
    </row>
    <row r="102" spans="1:11" ht="18" customHeight="1">
      <c r="A102" s="56">
        <v>100</v>
      </c>
      <c r="B102" s="60" t="s">
        <v>3</v>
      </c>
      <c r="C102" s="58" t="s">
        <v>27</v>
      </c>
      <c r="D102" s="42">
        <v>265</v>
      </c>
      <c r="E102" s="44">
        <v>58</v>
      </c>
      <c r="F102" s="46">
        <v>149</v>
      </c>
      <c r="G102" s="48">
        <v>14.51</v>
      </c>
      <c r="H102" s="50">
        <v>2.6</v>
      </c>
      <c r="I102" s="52">
        <v>7.6</v>
      </c>
    </row>
    <row r="103" spans="1:11" ht="18" customHeight="1">
      <c r="A103" s="56">
        <v>101</v>
      </c>
      <c r="B103" s="60" t="s">
        <v>3</v>
      </c>
      <c r="C103" s="58" t="s">
        <v>27</v>
      </c>
      <c r="D103" s="42">
        <v>242</v>
      </c>
      <c r="E103" s="44">
        <v>53</v>
      </c>
      <c r="F103" s="46">
        <v>116</v>
      </c>
      <c r="G103" s="48">
        <v>15.15</v>
      </c>
      <c r="H103" s="50">
        <v>17.7</v>
      </c>
      <c r="I103" s="52">
        <v>7.9</v>
      </c>
    </row>
    <row r="104" spans="1:11" ht="18" customHeight="1">
      <c r="A104" s="56">
        <v>102</v>
      </c>
      <c r="B104" s="60" t="s">
        <v>3</v>
      </c>
      <c r="C104" s="58" t="s">
        <v>27</v>
      </c>
      <c r="D104" s="42">
        <v>226</v>
      </c>
      <c r="E104" s="44">
        <v>55</v>
      </c>
      <c r="F104" s="46">
        <v>137.5</v>
      </c>
      <c r="G104" s="48">
        <v>16.21</v>
      </c>
      <c r="H104" s="50">
        <v>14.2</v>
      </c>
      <c r="I104" s="52">
        <v>6.5</v>
      </c>
    </row>
    <row r="105" spans="1:11" ht="18" customHeight="1">
      <c r="A105" s="56">
        <v>103</v>
      </c>
      <c r="B105" s="60" t="s">
        <v>3</v>
      </c>
      <c r="C105" s="58" t="s">
        <v>27</v>
      </c>
      <c r="D105" s="42">
        <v>249</v>
      </c>
      <c r="E105" s="44">
        <v>61</v>
      </c>
      <c r="F105" s="46">
        <v>156</v>
      </c>
      <c r="G105" s="48">
        <v>15.15</v>
      </c>
      <c r="H105" s="50">
        <v>9.4</v>
      </c>
      <c r="I105" s="52">
        <v>9.5</v>
      </c>
    </row>
    <row r="106" spans="1:11" ht="18" customHeight="1">
      <c r="A106" s="56">
        <v>104</v>
      </c>
      <c r="B106" s="91" t="s">
        <v>3</v>
      </c>
      <c r="C106" s="58" t="s">
        <v>27</v>
      </c>
      <c r="D106" s="42">
        <v>227</v>
      </c>
      <c r="E106" s="44" t="s">
        <v>655</v>
      </c>
      <c r="F106" s="46">
        <v>105</v>
      </c>
      <c r="G106" s="48">
        <v>15.13</v>
      </c>
      <c r="H106" s="50">
        <v>17.399999999999999</v>
      </c>
      <c r="I106" s="52">
        <v>6</v>
      </c>
    </row>
    <row r="107" spans="1:11" ht="18" customHeight="1">
      <c r="A107" s="56">
        <v>105</v>
      </c>
      <c r="B107" s="91" t="s">
        <v>3</v>
      </c>
      <c r="C107" s="58" t="s">
        <v>27</v>
      </c>
      <c r="D107" s="42">
        <v>242</v>
      </c>
      <c r="E107" s="44">
        <v>56</v>
      </c>
      <c r="F107" s="46">
        <v>124</v>
      </c>
      <c r="G107" s="48">
        <v>15.35</v>
      </c>
      <c r="H107" s="50">
        <v>20.7</v>
      </c>
      <c r="I107" s="52">
        <v>7.2</v>
      </c>
    </row>
    <row r="108" spans="1:11" ht="18" customHeight="1">
      <c r="A108" s="56">
        <v>106</v>
      </c>
      <c r="B108" s="91" t="s">
        <v>3</v>
      </c>
      <c r="C108" s="58" t="s">
        <v>27</v>
      </c>
      <c r="D108" s="42">
        <v>242</v>
      </c>
      <c r="E108" s="44">
        <v>53</v>
      </c>
      <c r="F108" s="46">
        <v>101.5</v>
      </c>
      <c r="G108" s="48">
        <v>14.99</v>
      </c>
      <c r="H108" s="50">
        <v>11.8</v>
      </c>
      <c r="I108" s="52">
        <v>6.7</v>
      </c>
    </row>
    <row r="109" spans="1:11" ht="18" customHeight="1">
      <c r="A109" s="56">
        <v>107</v>
      </c>
      <c r="B109" s="60" t="s">
        <v>3</v>
      </c>
      <c r="C109" s="58" t="s">
        <v>27</v>
      </c>
      <c r="D109" s="42">
        <v>224</v>
      </c>
      <c r="E109" s="44">
        <v>55</v>
      </c>
      <c r="F109" s="46">
        <v>134</v>
      </c>
      <c r="G109" s="48">
        <v>15.37</v>
      </c>
      <c r="H109" s="50">
        <v>15.8</v>
      </c>
      <c r="I109" s="52">
        <v>6.6</v>
      </c>
    </row>
    <row r="110" spans="1:11" ht="18" customHeight="1">
      <c r="A110" s="56">
        <v>108</v>
      </c>
      <c r="B110" s="60" t="s">
        <v>3</v>
      </c>
      <c r="C110" s="58" t="s">
        <v>29</v>
      </c>
      <c r="D110" s="42">
        <v>228</v>
      </c>
      <c r="E110" s="44">
        <v>50</v>
      </c>
      <c r="F110" s="46">
        <v>97</v>
      </c>
      <c r="G110" s="48">
        <v>16.27</v>
      </c>
      <c r="H110" s="50">
        <v>33.700000000000003</v>
      </c>
      <c r="I110" s="52">
        <v>8</v>
      </c>
    </row>
    <row r="111" spans="1:11" ht="18" customHeight="1">
      <c r="A111" s="56">
        <v>109</v>
      </c>
      <c r="B111" s="60" t="s">
        <v>3</v>
      </c>
      <c r="C111" s="58" t="s">
        <v>29</v>
      </c>
      <c r="D111" s="42">
        <v>186</v>
      </c>
      <c r="E111" s="44">
        <v>40</v>
      </c>
      <c r="F111" s="46">
        <v>72</v>
      </c>
      <c r="G111" s="48">
        <v>17.64</v>
      </c>
      <c r="H111" s="50">
        <v>18</v>
      </c>
      <c r="I111" s="52">
        <v>6.1</v>
      </c>
    </row>
    <row r="112" spans="1:11" ht="18" customHeight="1">
      <c r="A112" s="56">
        <v>110</v>
      </c>
      <c r="B112" s="60" t="s">
        <v>3</v>
      </c>
      <c r="C112" s="58" t="s">
        <v>29</v>
      </c>
      <c r="D112" s="42">
        <v>184</v>
      </c>
      <c r="E112" s="44">
        <v>39</v>
      </c>
      <c r="F112" s="46">
        <v>69</v>
      </c>
      <c r="G112" s="48">
        <v>18.04</v>
      </c>
      <c r="H112" s="50">
        <v>27.6</v>
      </c>
      <c r="I112" s="52">
        <v>6.3</v>
      </c>
    </row>
    <row r="113" spans="1:9" ht="18" customHeight="1">
      <c r="A113" s="56">
        <v>111</v>
      </c>
      <c r="B113" s="60" t="s">
        <v>3</v>
      </c>
      <c r="C113" s="58" t="s">
        <v>29</v>
      </c>
      <c r="D113" s="42">
        <v>204</v>
      </c>
      <c r="E113" s="44">
        <v>52</v>
      </c>
      <c r="F113" s="46">
        <v>94</v>
      </c>
      <c r="G113" s="48">
        <v>16.86</v>
      </c>
      <c r="H113" s="50">
        <v>21.1</v>
      </c>
      <c r="I113" s="52">
        <v>7.6</v>
      </c>
    </row>
    <row r="114" spans="1:9" ht="18" customHeight="1">
      <c r="A114" s="56">
        <v>112</v>
      </c>
      <c r="B114" s="60" t="s">
        <v>3</v>
      </c>
      <c r="C114" s="58" t="s">
        <v>29</v>
      </c>
      <c r="D114" s="42">
        <v>179</v>
      </c>
      <c r="E114" s="44">
        <v>39</v>
      </c>
      <c r="F114" s="46">
        <v>75</v>
      </c>
      <c r="G114" s="48">
        <v>17.11</v>
      </c>
      <c r="H114" s="50">
        <v>22</v>
      </c>
      <c r="I114" s="52">
        <v>6</v>
      </c>
    </row>
    <row r="115" spans="1:9" ht="18" customHeight="1" thickBot="1">
      <c r="A115" s="68">
        <v>113</v>
      </c>
      <c r="B115" s="70" t="s">
        <v>3</v>
      </c>
      <c r="C115" s="71" t="s">
        <v>29</v>
      </c>
      <c r="D115" s="72">
        <v>191</v>
      </c>
      <c r="E115" s="76">
        <v>40</v>
      </c>
      <c r="F115" s="77">
        <v>63</v>
      </c>
      <c r="G115" s="80">
        <v>18.34</v>
      </c>
      <c r="H115" s="82">
        <v>27</v>
      </c>
      <c r="I115" s="84">
        <v>6</v>
      </c>
    </row>
    <row r="116" spans="1:9" ht="18" customHeight="1">
      <c r="A116" s="20">
        <v>114</v>
      </c>
      <c r="B116" s="23" t="s">
        <v>3</v>
      </c>
      <c r="C116" s="87" t="s">
        <v>29</v>
      </c>
      <c r="D116" s="24">
        <v>207</v>
      </c>
      <c r="E116" s="28">
        <v>42</v>
      </c>
      <c r="F116" s="30">
        <v>47</v>
      </c>
      <c r="G116" s="32">
        <v>16.670000000000002</v>
      </c>
      <c r="H116" s="34">
        <v>14.2</v>
      </c>
      <c r="I116" s="37">
        <v>6.6</v>
      </c>
    </row>
    <row r="117" spans="1:9" ht="18" customHeight="1">
      <c r="A117" s="40">
        <v>115</v>
      </c>
      <c r="B117" s="41" t="s">
        <v>3</v>
      </c>
      <c r="C117" s="22" t="s">
        <v>29</v>
      </c>
      <c r="D117" s="42">
        <v>0</v>
      </c>
      <c r="E117" s="44"/>
      <c r="F117" s="46">
        <v>0</v>
      </c>
      <c r="G117" s="48"/>
      <c r="H117" s="50">
        <v>0</v>
      </c>
      <c r="I117" s="52">
        <v>0</v>
      </c>
    </row>
    <row r="118" spans="1:9" ht="18" customHeight="1">
      <c r="A118" s="40">
        <v>116</v>
      </c>
      <c r="B118" s="41" t="s">
        <v>3</v>
      </c>
      <c r="C118" s="22" t="s">
        <v>29</v>
      </c>
      <c r="D118" s="42">
        <v>171</v>
      </c>
      <c r="E118" s="44">
        <v>35</v>
      </c>
      <c r="F118" s="46">
        <v>72</v>
      </c>
      <c r="G118" s="48">
        <v>18.149999999999999</v>
      </c>
      <c r="H118" s="50">
        <v>20.2</v>
      </c>
      <c r="I118" s="52">
        <v>5.0999999999999996</v>
      </c>
    </row>
    <row r="119" spans="1:9" ht="18" customHeight="1">
      <c r="A119" s="40">
        <v>117</v>
      </c>
      <c r="B119" s="41" t="s">
        <v>3</v>
      </c>
      <c r="C119" s="22" t="s">
        <v>29</v>
      </c>
      <c r="D119" s="42">
        <v>202</v>
      </c>
      <c r="E119" s="44">
        <v>46</v>
      </c>
      <c r="F119" s="46">
        <v>105</v>
      </c>
      <c r="G119" s="48">
        <v>16.97</v>
      </c>
      <c r="H119" s="50">
        <v>24.9</v>
      </c>
      <c r="I119" s="52">
        <v>6.6</v>
      </c>
    </row>
    <row r="120" spans="1:9" ht="18" customHeight="1">
      <c r="A120" s="40">
        <v>118</v>
      </c>
      <c r="B120" s="41" t="s">
        <v>3</v>
      </c>
      <c r="C120" s="22" t="s">
        <v>29</v>
      </c>
      <c r="D120" s="42">
        <v>221</v>
      </c>
      <c r="E120" s="44">
        <v>47</v>
      </c>
      <c r="F120" s="46">
        <v>114.5</v>
      </c>
      <c r="G120" s="48">
        <v>16.399999999999999</v>
      </c>
      <c r="H120" s="50">
        <v>28.3</v>
      </c>
      <c r="I120" s="52">
        <v>8.3000000000000007</v>
      </c>
    </row>
    <row r="121" spans="1:9" ht="18" customHeight="1">
      <c r="A121" s="40">
        <v>119</v>
      </c>
      <c r="B121" s="41" t="s">
        <v>3</v>
      </c>
      <c r="C121" s="22" t="s">
        <v>29</v>
      </c>
      <c r="D121" s="42">
        <v>219</v>
      </c>
      <c r="E121" s="44">
        <v>42</v>
      </c>
      <c r="F121" s="46">
        <v>136.5</v>
      </c>
      <c r="G121" s="48">
        <v>17.489999999999998</v>
      </c>
      <c r="H121" s="50">
        <v>33</v>
      </c>
      <c r="I121" s="52">
        <v>6.9</v>
      </c>
    </row>
    <row r="122" spans="1:9" ht="18" customHeight="1">
      <c r="A122" s="40">
        <v>120</v>
      </c>
      <c r="B122" s="41" t="s">
        <v>3</v>
      </c>
      <c r="C122" s="22" t="s">
        <v>29</v>
      </c>
      <c r="D122" s="42">
        <v>203</v>
      </c>
      <c r="E122" s="44">
        <v>46</v>
      </c>
      <c r="F122" s="46">
        <v>90</v>
      </c>
      <c r="G122" s="48">
        <v>17.420000000000002</v>
      </c>
      <c r="H122" s="50">
        <v>20.9</v>
      </c>
      <c r="I122" s="52">
        <v>6.2</v>
      </c>
    </row>
    <row r="123" spans="1:9" ht="18" customHeight="1">
      <c r="A123" s="40">
        <v>121</v>
      </c>
      <c r="B123" s="41" t="s">
        <v>3</v>
      </c>
      <c r="C123" s="22" t="s">
        <v>29</v>
      </c>
      <c r="D123" s="42">
        <v>170</v>
      </c>
      <c r="E123" s="44">
        <v>35</v>
      </c>
      <c r="F123" s="46">
        <v>113.5</v>
      </c>
      <c r="G123" s="48">
        <v>19.22</v>
      </c>
      <c r="H123" s="50">
        <v>29</v>
      </c>
      <c r="I123" s="52">
        <v>7.4</v>
      </c>
    </row>
    <row r="124" spans="1:9" ht="18" customHeight="1">
      <c r="A124" s="40">
        <v>122</v>
      </c>
      <c r="B124" s="41" t="s">
        <v>3</v>
      </c>
      <c r="C124" s="22" t="s">
        <v>29</v>
      </c>
      <c r="D124" s="42">
        <v>186</v>
      </c>
      <c r="E124" s="44">
        <v>38</v>
      </c>
      <c r="F124" s="46">
        <v>70</v>
      </c>
      <c r="G124" s="48">
        <v>17.23</v>
      </c>
      <c r="H124" s="50">
        <v>25.6</v>
      </c>
      <c r="I124" s="52">
        <v>6</v>
      </c>
    </row>
    <row r="125" spans="1:9" ht="18" customHeight="1">
      <c r="A125" s="40">
        <v>123</v>
      </c>
      <c r="B125" s="41" t="s">
        <v>3</v>
      </c>
      <c r="C125" s="22" t="s">
        <v>29</v>
      </c>
      <c r="D125" s="42">
        <v>0</v>
      </c>
      <c r="E125" s="44"/>
      <c r="F125" s="46">
        <v>0</v>
      </c>
      <c r="G125" s="48"/>
      <c r="H125" s="50">
        <v>0</v>
      </c>
      <c r="I125" s="52">
        <v>0</v>
      </c>
    </row>
    <row r="126" spans="1:9" ht="18" customHeight="1">
      <c r="A126" s="40">
        <v>124</v>
      </c>
      <c r="B126" s="41" t="s">
        <v>3</v>
      </c>
      <c r="C126" s="22" t="s">
        <v>29</v>
      </c>
      <c r="D126" s="42">
        <v>195</v>
      </c>
      <c r="E126" s="44">
        <v>42</v>
      </c>
      <c r="F126" s="46">
        <v>88</v>
      </c>
      <c r="G126" s="48">
        <v>17.829999999999998</v>
      </c>
      <c r="H126" s="50">
        <v>14.7</v>
      </c>
      <c r="I126" s="52">
        <v>6.7</v>
      </c>
    </row>
    <row r="127" spans="1:9" ht="18" customHeight="1">
      <c r="A127" s="40">
        <v>125</v>
      </c>
      <c r="B127" s="41" t="s">
        <v>3</v>
      </c>
      <c r="C127" s="22" t="s">
        <v>29</v>
      </c>
      <c r="D127" s="42">
        <v>0</v>
      </c>
      <c r="E127" s="44"/>
      <c r="F127" s="46">
        <v>0</v>
      </c>
      <c r="G127" s="48"/>
      <c r="H127" s="50">
        <v>0</v>
      </c>
      <c r="I127" s="52">
        <v>0</v>
      </c>
    </row>
    <row r="128" spans="1:9" ht="18" customHeight="1">
      <c r="A128" s="20">
        <v>126</v>
      </c>
      <c r="B128" s="23" t="s">
        <v>3</v>
      </c>
      <c r="C128" s="87" t="s">
        <v>29</v>
      </c>
      <c r="D128" s="24">
        <v>192</v>
      </c>
      <c r="E128" s="28">
        <v>40</v>
      </c>
      <c r="F128" s="30">
        <v>72</v>
      </c>
      <c r="G128" s="32">
        <v>17.48</v>
      </c>
      <c r="H128" s="34">
        <v>20.8</v>
      </c>
      <c r="I128" s="37">
        <v>6.3</v>
      </c>
    </row>
    <row r="129" spans="1:9" ht="18" customHeight="1">
      <c r="A129" s="40">
        <v>127</v>
      </c>
      <c r="B129" s="41" t="s">
        <v>3</v>
      </c>
      <c r="C129" s="22" t="s">
        <v>29</v>
      </c>
      <c r="D129" s="42">
        <v>167</v>
      </c>
      <c r="E129" s="44">
        <v>36</v>
      </c>
      <c r="F129" s="46">
        <v>114.5</v>
      </c>
      <c r="G129" s="48"/>
      <c r="H129" s="50">
        <v>24.7</v>
      </c>
      <c r="I129" s="52">
        <v>7.8</v>
      </c>
    </row>
    <row r="130" spans="1:9" ht="18" customHeight="1">
      <c r="A130" s="40">
        <v>128</v>
      </c>
      <c r="B130" s="41" t="s">
        <v>3</v>
      </c>
      <c r="C130" s="22" t="s">
        <v>29</v>
      </c>
      <c r="D130" s="42">
        <v>206</v>
      </c>
      <c r="E130" s="44">
        <v>43</v>
      </c>
      <c r="F130" s="46">
        <v>86</v>
      </c>
      <c r="G130" s="48">
        <v>16.55</v>
      </c>
      <c r="H130" s="50">
        <v>21</v>
      </c>
      <c r="I130" s="52">
        <v>6.5</v>
      </c>
    </row>
    <row r="131" spans="1:9" ht="18" customHeight="1">
      <c r="A131" s="40">
        <v>129</v>
      </c>
      <c r="B131" s="41" t="s">
        <v>3</v>
      </c>
      <c r="C131" s="22" t="s">
        <v>29</v>
      </c>
      <c r="D131" s="42">
        <v>201</v>
      </c>
      <c r="E131" s="44">
        <v>43</v>
      </c>
      <c r="F131" s="46">
        <v>118.5</v>
      </c>
      <c r="G131" s="48">
        <v>17.36</v>
      </c>
      <c r="H131" s="50">
        <v>22.1</v>
      </c>
      <c r="I131" s="52">
        <v>7.1</v>
      </c>
    </row>
    <row r="132" spans="1:9" ht="18" customHeight="1">
      <c r="A132" s="40">
        <v>130</v>
      </c>
      <c r="B132" s="41" t="s">
        <v>3</v>
      </c>
      <c r="C132" s="22" t="s">
        <v>29</v>
      </c>
      <c r="D132" s="42">
        <v>0</v>
      </c>
      <c r="E132" s="44"/>
      <c r="F132" s="46">
        <v>0</v>
      </c>
      <c r="G132" s="48"/>
      <c r="H132" s="50">
        <v>0</v>
      </c>
      <c r="I132" s="52">
        <v>0</v>
      </c>
    </row>
    <row r="133" spans="1:9" ht="18" customHeight="1">
      <c r="A133" s="40">
        <v>131</v>
      </c>
      <c r="B133" s="41" t="s">
        <v>3</v>
      </c>
      <c r="C133" s="22" t="s">
        <v>29</v>
      </c>
      <c r="D133" s="42">
        <v>0</v>
      </c>
      <c r="E133" s="44"/>
      <c r="F133" s="46">
        <v>0</v>
      </c>
      <c r="G133" s="48"/>
      <c r="H133" s="50">
        <v>0</v>
      </c>
      <c r="I133" s="52">
        <v>0</v>
      </c>
    </row>
    <row r="134" spans="1:9" ht="18" customHeight="1">
      <c r="A134" s="40">
        <v>132</v>
      </c>
      <c r="B134" s="41" t="s">
        <v>3</v>
      </c>
      <c r="C134" s="22" t="s">
        <v>29</v>
      </c>
      <c r="D134" s="42">
        <v>210</v>
      </c>
      <c r="E134" s="44">
        <v>46</v>
      </c>
      <c r="F134" s="46">
        <v>94</v>
      </c>
      <c r="G134" s="48">
        <v>15.87</v>
      </c>
      <c r="H134" s="50">
        <v>31.4</v>
      </c>
      <c r="I134" s="52">
        <v>5.3</v>
      </c>
    </row>
    <row r="135" spans="1:9" ht="18" customHeight="1">
      <c r="A135" s="40">
        <v>133</v>
      </c>
      <c r="B135" s="41" t="s">
        <v>3</v>
      </c>
      <c r="C135" s="22" t="s">
        <v>29</v>
      </c>
      <c r="D135" s="42">
        <v>0</v>
      </c>
      <c r="E135" s="44"/>
      <c r="F135" s="46">
        <v>0</v>
      </c>
      <c r="G135" s="48"/>
      <c r="H135" s="50">
        <v>0</v>
      </c>
      <c r="I135" s="52">
        <v>0</v>
      </c>
    </row>
    <row r="136" spans="1:9" ht="18" customHeight="1">
      <c r="A136" s="40">
        <v>134</v>
      </c>
      <c r="B136" s="41" t="s">
        <v>3</v>
      </c>
      <c r="C136" s="22" t="s">
        <v>29</v>
      </c>
      <c r="D136" s="42">
        <v>214</v>
      </c>
      <c r="E136" s="44">
        <v>44</v>
      </c>
      <c r="F136" s="46">
        <v>72</v>
      </c>
      <c r="G136" s="48">
        <v>16.170000000000002</v>
      </c>
      <c r="H136" s="50">
        <v>26.5</v>
      </c>
      <c r="I136" s="52">
        <v>7.8</v>
      </c>
    </row>
    <row r="137" spans="1:9" ht="18" customHeight="1">
      <c r="A137" s="40">
        <v>135</v>
      </c>
      <c r="B137" s="41" t="s">
        <v>3</v>
      </c>
      <c r="C137" s="22" t="s">
        <v>29</v>
      </c>
      <c r="D137" s="42">
        <v>231</v>
      </c>
      <c r="E137" s="44" t="s">
        <v>655</v>
      </c>
      <c r="F137" s="46">
        <v>65</v>
      </c>
      <c r="G137" s="48">
        <v>16.7</v>
      </c>
      <c r="H137" s="50">
        <v>26</v>
      </c>
      <c r="I137" s="52">
        <v>6.4</v>
      </c>
    </row>
    <row r="138" spans="1:9" ht="18" customHeight="1">
      <c r="A138" s="40">
        <v>136</v>
      </c>
      <c r="B138" s="41" t="s">
        <v>3</v>
      </c>
      <c r="C138" s="22" t="s">
        <v>29</v>
      </c>
      <c r="D138" s="42">
        <v>0</v>
      </c>
      <c r="E138" s="44"/>
      <c r="F138" s="46">
        <v>0</v>
      </c>
      <c r="G138" s="48"/>
      <c r="H138" s="50">
        <v>0</v>
      </c>
      <c r="I138" s="52">
        <v>0</v>
      </c>
    </row>
    <row r="139" spans="1:9" ht="18" customHeight="1">
      <c r="A139" s="40">
        <v>137</v>
      </c>
      <c r="B139" s="41" t="s">
        <v>3</v>
      </c>
      <c r="C139" s="22" t="s">
        <v>29</v>
      </c>
      <c r="D139" s="42"/>
      <c r="E139" s="44" t="s">
        <v>133</v>
      </c>
      <c r="F139" s="46">
        <v>66</v>
      </c>
      <c r="G139" s="48" t="s">
        <v>90</v>
      </c>
      <c r="H139" s="50">
        <v>0</v>
      </c>
      <c r="I139" s="52">
        <v>0</v>
      </c>
    </row>
    <row r="140" spans="1:9" ht="18" customHeight="1">
      <c r="A140" s="40">
        <v>138</v>
      </c>
      <c r="B140" s="41" t="s">
        <v>3</v>
      </c>
      <c r="C140" s="22" t="s">
        <v>29</v>
      </c>
      <c r="D140" s="42">
        <v>182</v>
      </c>
      <c r="E140" s="44">
        <v>35</v>
      </c>
      <c r="F140" s="46">
        <v>73</v>
      </c>
      <c r="G140" s="48">
        <v>17.489999999999998</v>
      </c>
      <c r="H140" s="50">
        <v>24.9</v>
      </c>
      <c r="I140" s="52">
        <v>5.6</v>
      </c>
    </row>
    <row r="141" spans="1:9" ht="19.149999999999999">
      <c r="A141" s="40">
        <v>139</v>
      </c>
      <c r="B141" s="41" t="s">
        <v>3</v>
      </c>
      <c r="C141" s="22" t="s">
        <v>27</v>
      </c>
      <c r="D141" s="42">
        <v>285</v>
      </c>
      <c r="E141" s="44" t="s">
        <v>655</v>
      </c>
      <c r="F141" s="46">
        <v>178</v>
      </c>
      <c r="G141" s="48">
        <v>13.57</v>
      </c>
      <c r="H141" s="50">
        <v>21.5</v>
      </c>
      <c r="I141" s="52">
        <v>7.7</v>
      </c>
    </row>
    <row r="142" spans="1:9" ht="18" customHeight="1">
      <c r="A142" s="40">
        <v>140</v>
      </c>
      <c r="B142" s="41" t="s">
        <v>3</v>
      </c>
      <c r="C142" s="22" t="s">
        <v>29</v>
      </c>
      <c r="D142" s="42">
        <v>0</v>
      </c>
      <c r="E142" s="44"/>
      <c r="F142" s="46">
        <v>0</v>
      </c>
      <c r="G142" s="48"/>
      <c r="H142" s="50">
        <v>0</v>
      </c>
      <c r="I142" s="52">
        <v>0</v>
      </c>
    </row>
    <row r="143" spans="1:9" ht="18" customHeight="1">
      <c r="A143" s="40">
        <v>141</v>
      </c>
      <c r="B143" s="41" t="s">
        <v>3</v>
      </c>
      <c r="C143" s="22" t="s">
        <v>27</v>
      </c>
      <c r="D143" s="42">
        <v>254</v>
      </c>
      <c r="E143" s="44">
        <v>55</v>
      </c>
      <c r="F143" s="46">
        <v>151.19999999999999</v>
      </c>
      <c r="G143" s="48">
        <v>14.87</v>
      </c>
      <c r="H143" s="50">
        <v>20.100000000000001</v>
      </c>
      <c r="I143" s="52">
        <v>6.2</v>
      </c>
    </row>
    <row r="144" spans="1:9" ht="18" customHeight="1">
      <c r="A144" s="40">
        <v>142</v>
      </c>
      <c r="B144" s="41" t="s">
        <v>3</v>
      </c>
      <c r="C144" s="22" t="s">
        <v>27</v>
      </c>
      <c r="D144" s="42">
        <v>219</v>
      </c>
      <c r="E144" s="44">
        <v>47</v>
      </c>
      <c r="F144" s="46">
        <v>133</v>
      </c>
      <c r="G144" s="48" t="s">
        <v>90</v>
      </c>
      <c r="H144" s="50">
        <v>22.2</v>
      </c>
      <c r="I144" s="52">
        <v>6.8</v>
      </c>
    </row>
    <row r="145" spans="1:9" ht="18" customHeight="1">
      <c r="A145" s="56">
        <v>143</v>
      </c>
      <c r="B145" s="60" t="s">
        <v>3</v>
      </c>
      <c r="C145" s="58" t="s">
        <v>29</v>
      </c>
      <c r="D145" s="42">
        <v>0</v>
      </c>
      <c r="E145" s="44"/>
      <c r="F145" s="46">
        <v>0</v>
      </c>
      <c r="G145" s="48"/>
      <c r="H145" s="50">
        <v>0</v>
      </c>
      <c r="I145" s="52">
        <v>0</v>
      </c>
    </row>
    <row r="146" spans="1:9" ht="18" customHeight="1">
      <c r="A146" s="56">
        <v>144</v>
      </c>
      <c r="B146" s="60" t="s">
        <v>3</v>
      </c>
      <c r="C146" s="58" t="s">
        <v>27</v>
      </c>
      <c r="D146" s="42">
        <v>0</v>
      </c>
      <c r="E146" s="44"/>
      <c r="F146" s="46">
        <v>0</v>
      </c>
      <c r="G146" s="48"/>
      <c r="H146" s="50">
        <v>0</v>
      </c>
      <c r="I146" s="52">
        <v>0</v>
      </c>
    </row>
    <row r="147" spans="1:9" ht="18" customHeight="1">
      <c r="A147" s="56">
        <v>145</v>
      </c>
      <c r="B147" s="60" t="s">
        <v>3</v>
      </c>
      <c r="C147" s="58" t="s">
        <v>29</v>
      </c>
      <c r="D147" s="42">
        <v>182</v>
      </c>
      <c r="E147" s="44">
        <v>34</v>
      </c>
      <c r="F147" s="46">
        <v>66</v>
      </c>
      <c r="G147" s="48">
        <v>18.690000000000001</v>
      </c>
      <c r="H147" s="50">
        <v>21.3</v>
      </c>
      <c r="I147" s="52">
        <v>5.2</v>
      </c>
    </row>
    <row r="148" spans="1:9" ht="18" customHeight="1">
      <c r="A148" s="56">
        <v>146</v>
      </c>
      <c r="B148" s="60" t="s">
        <v>3</v>
      </c>
      <c r="C148" s="58" t="s">
        <v>27</v>
      </c>
      <c r="D148" s="42">
        <v>206</v>
      </c>
      <c r="E148" s="44">
        <v>47</v>
      </c>
      <c r="F148" s="46">
        <v>135.5</v>
      </c>
      <c r="G148" s="48">
        <v>16.36</v>
      </c>
      <c r="H148" s="50">
        <v>7.6</v>
      </c>
      <c r="I148" s="52">
        <v>7.9</v>
      </c>
    </row>
    <row r="149" spans="1:9" ht="18" customHeight="1">
      <c r="A149" s="56">
        <v>147</v>
      </c>
      <c r="B149" s="60" t="s">
        <v>3</v>
      </c>
      <c r="C149" s="58" t="s">
        <v>27</v>
      </c>
      <c r="D149" s="42">
        <v>245</v>
      </c>
      <c r="E149" s="44" t="s">
        <v>655</v>
      </c>
      <c r="F149" s="46">
        <v>159</v>
      </c>
      <c r="G149" s="48">
        <v>15.74</v>
      </c>
      <c r="H149" s="50">
        <v>14.2</v>
      </c>
      <c r="I149" s="52">
        <v>7.8</v>
      </c>
    </row>
    <row r="150" spans="1:9" ht="18" customHeight="1">
      <c r="A150" s="56">
        <v>148</v>
      </c>
      <c r="B150" s="60" t="s">
        <v>3</v>
      </c>
      <c r="C150" s="58" t="s">
        <v>27</v>
      </c>
      <c r="D150" s="42">
        <v>0</v>
      </c>
      <c r="E150" s="44"/>
      <c r="F150" s="46">
        <v>0</v>
      </c>
      <c r="G150" s="48"/>
      <c r="H150" s="50">
        <v>0</v>
      </c>
      <c r="I150" s="52">
        <v>0</v>
      </c>
    </row>
    <row r="151" spans="1:9" ht="18" customHeight="1">
      <c r="A151" s="56">
        <v>149</v>
      </c>
      <c r="B151" s="60" t="s">
        <v>3</v>
      </c>
      <c r="C151" s="58" t="s">
        <v>27</v>
      </c>
      <c r="D151" s="42">
        <v>268</v>
      </c>
      <c r="E151" s="44">
        <v>58</v>
      </c>
      <c r="F151" s="46">
        <v>172.5</v>
      </c>
      <c r="G151" s="48">
        <v>14.72</v>
      </c>
      <c r="H151" s="50">
        <v>20.6</v>
      </c>
      <c r="I151" s="52">
        <v>8.1999999999999993</v>
      </c>
    </row>
    <row r="152" spans="1:9" ht="18" customHeight="1">
      <c r="A152" s="56">
        <v>150</v>
      </c>
      <c r="B152" s="60" t="s">
        <v>3</v>
      </c>
      <c r="C152" s="58" t="s">
        <v>27</v>
      </c>
      <c r="D152" s="42">
        <v>314</v>
      </c>
      <c r="E152" s="44">
        <v>63</v>
      </c>
      <c r="F152" s="46">
        <v>209</v>
      </c>
      <c r="G152" s="48">
        <v>13.74</v>
      </c>
      <c r="H152" s="50">
        <v>32.5</v>
      </c>
      <c r="I152" s="52">
        <v>12.7</v>
      </c>
    </row>
    <row r="153" spans="1:9" ht="18" customHeight="1">
      <c r="A153" s="56">
        <v>151</v>
      </c>
      <c r="B153" s="60" t="s">
        <v>3</v>
      </c>
      <c r="C153" s="58" t="s">
        <v>27</v>
      </c>
      <c r="D153" s="42">
        <v>282</v>
      </c>
      <c r="E153" s="44">
        <v>68</v>
      </c>
      <c r="F153" s="46">
        <v>107</v>
      </c>
      <c r="G153" s="48">
        <v>14.08</v>
      </c>
      <c r="H153" s="50">
        <v>27</v>
      </c>
      <c r="I153" s="52">
        <v>9.5</v>
      </c>
    </row>
    <row r="154" spans="1:9" ht="18" customHeight="1">
      <c r="A154" s="56">
        <v>152</v>
      </c>
      <c r="B154" s="60" t="s">
        <v>3</v>
      </c>
      <c r="C154" s="58" t="s">
        <v>27</v>
      </c>
      <c r="D154" s="42">
        <v>0</v>
      </c>
      <c r="E154" s="44"/>
      <c r="F154" s="46">
        <v>0</v>
      </c>
      <c r="G154" s="48"/>
      <c r="H154" s="50">
        <v>0</v>
      </c>
      <c r="I154" s="52">
        <v>0</v>
      </c>
    </row>
    <row r="155" spans="1:9" ht="18" customHeight="1">
      <c r="A155" s="56">
        <v>153</v>
      </c>
      <c r="B155" s="60" t="s">
        <v>3</v>
      </c>
      <c r="C155" s="58" t="s">
        <v>27</v>
      </c>
      <c r="D155" s="42">
        <v>266</v>
      </c>
      <c r="E155" s="44">
        <v>58</v>
      </c>
      <c r="F155" s="46">
        <v>116</v>
      </c>
      <c r="G155" s="48">
        <v>14.74</v>
      </c>
      <c r="H155" s="50">
        <v>11.5</v>
      </c>
      <c r="I155" s="52">
        <v>7.4</v>
      </c>
    </row>
    <row r="156" spans="1:9" ht="18" customHeight="1">
      <c r="A156" s="56">
        <v>154</v>
      </c>
      <c r="B156" s="60" t="s">
        <v>3</v>
      </c>
      <c r="C156" s="58" t="s">
        <v>27</v>
      </c>
      <c r="D156" s="42">
        <v>0</v>
      </c>
      <c r="E156" s="44"/>
      <c r="F156" s="46">
        <v>0</v>
      </c>
      <c r="G156" s="48"/>
      <c r="H156" s="50">
        <v>0</v>
      </c>
      <c r="I156" s="52">
        <v>0</v>
      </c>
    </row>
    <row r="157" spans="1:9" ht="18" customHeight="1">
      <c r="A157" s="56">
        <v>155</v>
      </c>
      <c r="B157" s="60" t="s">
        <v>3</v>
      </c>
      <c r="C157" s="58" t="s">
        <v>27</v>
      </c>
      <c r="D157" s="42">
        <v>258</v>
      </c>
      <c r="E157" s="44">
        <v>63</v>
      </c>
      <c r="F157" s="46">
        <v>116</v>
      </c>
      <c r="G157" s="48">
        <v>14.06</v>
      </c>
      <c r="H157" s="50">
        <v>17.3</v>
      </c>
      <c r="I157" s="52">
        <v>5.4</v>
      </c>
    </row>
    <row r="158" spans="1:9" ht="18" customHeight="1">
      <c r="A158" s="56">
        <v>156</v>
      </c>
      <c r="B158" s="60" t="s">
        <v>3</v>
      </c>
      <c r="C158" s="58" t="s">
        <v>27</v>
      </c>
      <c r="D158" s="42">
        <v>270</v>
      </c>
      <c r="E158" s="44">
        <v>65</v>
      </c>
      <c r="F158" s="46">
        <v>147.5</v>
      </c>
      <c r="G158" s="48">
        <v>14.08</v>
      </c>
      <c r="H158" s="50">
        <v>26</v>
      </c>
      <c r="I158" s="52">
        <v>9</v>
      </c>
    </row>
    <row r="159" spans="1:9" ht="18" customHeight="1">
      <c r="A159" s="56">
        <v>157</v>
      </c>
      <c r="B159" s="60" t="s">
        <v>3</v>
      </c>
      <c r="C159" s="58" t="s">
        <v>29</v>
      </c>
      <c r="D159" s="42">
        <v>215</v>
      </c>
      <c r="E159" s="44">
        <v>49</v>
      </c>
      <c r="F159" s="46">
        <v>134.5</v>
      </c>
      <c r="G159" s="48">
        <v>15.4</v>
      </c>
      <c r="H159" s="50">
        <v>8.3000000000000007</v>
      </c>
      <c r="I159" s="52">
        <v>8.1</v>
      </c>
    </row>
    <row r="160" spans="1:9" ht="18" customHeight="1">
      <c r="A160" s="64">
        <v>158</v>
      </c>
      <c r="B160" s="66" t="s">
        <v>3</v>
      </c>
      <c r="C160" s="65" t="s">
        <v>29</v>
      </c>
      <c r="D160" s="24">
        <v>210</v>
      </c>
      <c r="E160" s="28">
        <v>43</v>
      </c>
      <c r="F160" s="30">
        <v>80.5</v>
      </c>
      <c r="G160" s="32" t="s">
        <v>90</v>
      </c>
      <c r="H160" s="34">
        <v>19</v>
      </c>
      <c r="I160" s="37">
        <v>5.7</v>
      </c>
    </row>
    <row r="161" spans="1:9" ht="18" customHeight="1">
      <c r="A161" s="56">
        <v>159</v>
      </c>
      <c r="B161" s="60" t="s">
        <v>3</v>
      </c>
      <c r="C161" s="58" t="s">
        <v>29</v>
      </c>
      <c r="D161" s="42">
        <v>0</v>
      </c>
      <c r="E161" s="44"/>
      <c r="F161" s="46">
        <v>0</v>
      </c>
      <c r="G161" s="48"/>
      <c r="H161" s="50">
        <v>0</v>
      </c>
      <c r="I161" s="52">
        <v>0</v>
      </c>
    </row>
    <row r="162" spans="1:9" ht="18" customHeight="1">
      <c r="A162" s="56">
        <v>160</v>
      </c>
      <c r="B162" s="60" t="s">
        <v>3</v>
      </c>
      <c r="C162" s="58" t="s">
        <v>29</v>
      </c>
      <c r="D162" s="42">
        <v>0</v>
      </c>
      <c r="E162" s="44"/>
      <c r="F162" s="46">
        <v>0</v>
      </c>
      <c r="G162" s="48"/>
      <c r="H162" s="50">
        <v>0</v>
      </c>
      <c r="I162" s="52">
        <v>0</v>
      </c>
    </row>
    <row r="163" spans="1:9" ht="18" customHeight="1">
      <c r="A163" s="56">
        <v>161</v>
      </c>
      <c r="B163" s="60" t="s">
        <v>3</v>
      </c>
      <c r="C163" s="58" t="s">
        <v>29</v>
      </c>
      <c r="D163" s="42">
        <v>209</v>
      </c>
      <c r="E163" s="44">
        <v>42</v>
      </c>
      <c r="F163" s="46">
        <v>113.5</v>
      </c>
      <c r="G163" s="48">
        <v>17.059999999999999</v>
      </c>
      <c r="H163" s="50">
        <v>27.2</v>
      </c>
      <c r="I163" s="52">
        <v>8</v>
      </c>
    </row>
    <row r="164" spans="1:9" ht="18" customHeight="1">
      <c r="A164" s="56">
        <v>162</v>
      </c>
      <c r="B164" s="60" t="s">
        <v>3</v>
      </c>
      <c r="C164" s="58" t="s">
        <v>29</v>
      </c>
      <c r="D164" s="42">
        <v>0</v>
      </c>
      <c r="E164" s="44"/>
      <c r="F164" s="46">
        <v>0</v>
      </c>
      <c r="G164" s="48"/>
      <c r="H164" s="50">
        <v>0</v>
      </c>
      <c r="I164" s="52">
        <v>0</v>
      </c>
    </row>
    <row r="165" spans="1:9" ht="18" customHeight="1">
      <c r="A165" s="56">
        <v>163</v>
      </c>
      <c r="B165" s="60" t="s">
        <v>3</v>
      </c>
      <c r="C165" s="58" t="s">
        <v>29</v>
      </c>
      <c r="D165" s="42">
        <v>0</v>
      </c>
      <c r="E165" s="44"/>
      <c r="F165" s="46">
        <v>0</v>
      </c>
      <c r="G165" s="48"/>
      <c r="H165" s="50">
        <v>0</v>
      </c>
      <c r="I165" s="52">
        <v>0</v>
      </c>
    </row>
    <row r="166" spans="1:9" ht="18" customHeight="1">
      <c r="A166" s="56">
        <v>164</v>
      </c>
      <c r="B166" s="60" t="s">
        <v>3</v>
      </c>
      <c r="C166" s="58" t="s">
        <v>29</v>
      </c>
      <c r="D166" s="42">
        <v>179</v>
      </c>
      <c r="E166" s="44">
        <v>36</v>
      </c>
      <c r="F166" s="46">
        <v>92</v>
      </c>
      <c r="G166" s="48">
        <v>18.86</v>
      </c>
      <c r="H166" s="50">
        <v>20.6</v>
      </c>
      <c r="I166" s="52">
        <v>6.3</v>
      </c>
    </row>
    <row r="167" spans="1:9" ht="18" customHeight="1">
      <c r="A167" s="56">
        <v>165</v>
      </c>
      <c r="B167" s="60" t="s">
        <v>3</v>
      </c>
      <c r="C167" s="58" t="s">
        <v>29</v>
      </c>
      <c r="D167" s="42">
        <v>200</v>
      </c>
      <c r="E167" s="44">
        <v>44</v>
      </c>
      <c r="F167" s="46">
        <v>107.5</v>
      </c>
      <c r="G167" s="48">
        <v>17.46</v>
      </c>
      <c r="H167" s="50">
        <v>25.8</v>
      </c>
      <c r="I167" s="52">
        <v>7.2</v>
      </c>
    </row>
    <row r="168" spans="1:9" ht="18" customHeight="1">
      <c r="A168" s="56">
        <v>166</v>
      </c>
      <c r="B168" s="60" t="s">
        <v>3</v>
      </c>
      <c r="C168" s="58" t="s">
        <v>27</v>
      </c>
      <c r="D168" s="42">
        <v>234</v>
      </c>
      <c r="E168" s="44">
        <v>60</v>
      </c>
      <c r="F168" s="46">
        <v>115.5</v>
      </c>
      <c r="G168" s="48">
        <v>15.59</v>
      </c>
      <c r="H168" s="50">
        <v>31.2</v>
      </c>
      <c r="I168" s="52">
        <v>6.9</v>
      </c>
    </row>
    <row r="169" spans="1:9" ht="18" customHeight="1">
      <c r="A169" s="56">
        <v>167</v>
      </c>
      <c r="B169" s="60" t="s">
        <v>3</v>
      </c>
      <c r="C169" s="58" t="s">
        <v>27</v>
      </c>
      <c r="D169" s="92">
        <v>234</v>
      </c>
      <c r="E169" s="44">
        <v>50</v>
      </c>
      <c r="F169" s="46">
        <v>129</v>
      </c>
      <c r="G169" s="48">
        <v>14.85</v>
      </c>
      <c r="H169" s="50">
        <v>9.4</v>
      </c>
      <c r="I169" s="52">
        <v>7.2</v>
      </c>
    </row>
    <row r="170" spans="1:9" ht="18" customHeight="1">
      <c r="A170" s="56">
        <v>168</v>
      </c>
      <c r="B170" s="60" t="s">
        <v>3</v>
      </c>
      <c r="C170" s="58" t="s">
        <v>27</v>
      </c>
      <c r="D170" s="92">
        <v>234</v>
      </c>
      <c r="E170" s="44">
        <v>52</v>
      </c>
      <c r="F170" s="46">
        <v>148</v>
      </c>
      <c r="G170" s="48">
        <v>14.9</v>
      </c>
      <c r="H170" s="50">
        <v>15.8</v>
      </c>
      <c r="I170" s="52">
        <v>7.3</v>
      </c>
    </row>
    <row r="171" spans="1:9" ht="18" customHeight="1" thickBot="1">
      <c r="A171" s="68">
        <v>169</v>
      </c>
      <c r="B171" s="70" t="s">
        <v>3</v>
      </c>
      <c r="C171" s="71" t="s">
        <v>27</v>
      </c>
      <c r="D171" s="93">
        <v>245</v>
      </c>
      <c r="E171" s="76">
        <v>46</v>
      </c>
      <c r="F171" s="77">
        <v>138.5</v>
      </c>
      <c r="G171" s="80">
        <v>15.03</v>
      </c>
      <c r="H171" s="82">
        <v>8.6999999999999993</v>
      </c>
      <c r="I171" s="84">
        <v>0</v>
      </c>
    </row>
    <row r="172" spans="1:9" ht="17.25" customHeight="1">
      <c r="A172" s="90">
        <v>170</v>
      </c>
      <c r="B172" s="2"/>
      <c r="C172" s="2" t="s">
        <v>27</v>
      </c>
      <c r="D172" s="92">
        <v>274</v>
      </c>
      <c r="E172" s="44">
        <v>52</v>
      </c>
      <c r="F172" s="46">
        <v>168.5</v>
      </c>
      <c r="G172" s="48">
        <v>14.69</v>
      </c>
      <c r="H172" s="50">
        <v>18.100000000000001</v>
      </c>
      <c r="I172" s="52">
        <v>8.1999999999999993</v>
      </c>
    </row>
    <row r="173" spans="1:9" ht="17.25" customHeight="1">
      <c r="B173" s="2"/>
      <c r="C173" s="2" t="s">
        <v>27</v>
      </c>
      <c r="D173" s="92">
        <v>266</v>
      </c>
      <c r="E173" s="44">
        <v>63</v>
      </c>
      <c r="F173" s="46">
        <v>132.5</v>
      </c>
      <c r="G173" s="48">
        <v>14.59</v>
      </c>
      <c r="H173" s="50">
        <v>25</v>
      </c>
      <c r="I173" s="52">
        <v>8.6</v>
      </c>
    </row>
    <row r="174" spans="1:9" ht="17.25" customHeight="1">
      <c r="B174" s="2"/>
      <c r="C174" s="2" t="s">
        <v>27</v>
      </c>
      <c r="D174" s="92">
        <v>264</v>
      </c>
      <c r="E174" s="44">
        <v>65</v>
      </c>
      <c r="F174" s="46">
        <v>125.5</v>
      </c>
      <c r="G174" s="48">
        <v>13.82</v>
      </c>
      <c r="H174" s="50">
        <v>19.8</v>
      </c>
      <c r="I174" s="52">
        <v>9.1</v>
      </c>
    </row>
    <row r="175" spans="1:9" ht="17.25" customHeight="1">
      <c r="B175" s="2"/>
      <c r="C175" s="2"/>
      <c r="E175" s="90"/>
    </row>
    <row r="176" spans="1:9" ht="17.25" customHeight="1">
      <c r="B176" s="2"/>
      <c r="C176" s="2"/>
    </row>
    <row r="177" spans="2:3" ht="17.25" customHeight="1">
      <c r="B177" s="2"/>
      <c r="C177" s="2"/>
    </row>
    <row r="178" spans="2:3" ht="17.25" customHeight="1">
      <c r="B178" s="2"/>
      <c r="C178" s="2"/>
    </row>
    <row r="179" spans="2:3" ht="17.25" customHeight="1">
      <c r="B179" s="2"/>
      <c r="C179" s="2"/>
    </row>
    <row r="180" spans="2:3" ht="17.25" customHeight="1">
      <c r="B180" s="2"/>
      <c r="C180" s="2"/>
    </row>
    <row r="181" spans="2:3" ht="17.25" customHeight="1">
      <c r="B181" s="2"/>
      <c r="C181" s="2"/>
    </row>
    <row r="182" spans="2:3" ht="17.25" customHeight="1">
      <c r="B182" s="2"/>
      <c r="C182" s="2"/>
    </row>
    <row r="183" spans="2:3" ht="17.25" customHeight="1">
      <c r="B183" s="2"/>
      <c r="C183" s="2"/>
    </row>
    <row r="184" spans="2:3" ht="17.25" customHeight="1">
      <c r="B184" s="2"/>
      <c r="C184" s="2"/>
    </row>
    <row r="185" spans="2:3" ht="17.25" customHeight="1">
      <c r="B185" s="2"/>
      <c r="C185" s="2"/>
    </row>
    <row r="186" spans="2:3" ht="17.25" customHeight="1">
      <c r="B186" s="2"/>
      <c r="C186" s="2"/>
    </row>
    <row r="187" spans="2:3" ht="17.25" customHeight="1">
      <c r="B187" s="2"/>
      <c r="C187" s="2"/>
    </row>
    <row r="188" spans="2:3" ht="17.25" customHeight="1">
      <c r="B188" s="2"/>
      <c r="C188" s="2"/>
    </row>
    <row r="189" spans="2:3" ht="17.25" customHeight="1">
      <c r="B189" s="2"/>
      <c r="C189" s="2"/>
    </row>
    <row r="190" spans="2:3" ht="17.25" customHeight="1">
      <c r="B190" s="2"/>
      <c r="C190" s="2"/>
    </row>
    <row r="191" spans="2:3" ht="17.25" customHeight="1">
      <c r="B191" s="2"/>
      <c r="C191" s="2"/>
    </row>
    <row r="192" spans="2:3" ht="17.25" customHeight="1">
      <c r="B192" s="2"/>
      <c r="C192" s="2"/>
    </row>
    <row r="193" spans="2:3" ht="17.25" customHeight="1">
      <c r="B193" s="2"/>
      <c r="C193" s="2"/>
    </row>
    <row r="194" spans="2:3" ht="17.25" customHeight="1">
      <c r="B194" s="2"/>
      <c r="C194" s="2"/>
    </row>
    <row r="195" spans="2:3" ht="17.25" customHeight="1">
      <c r="B195" s="2"/>
      <c r="C195" s="2"/>
    </row>
    <row r="196" spans="2:3" ht="17.25" customHeight="1">
      <c r="B196" s="2"/>
      <c r="C196" s="2"/>
    </row>
    <row r="197" spans="2:3" ht="17.25" customHeight="1">
      <c r="B197" s="2"/>
      <c r="C197" s="2"/>
    </row>
    <row r="198" spans="2:3" ht="17.25" customHeight="1">
      <c r="B198" s="2"/>
      <c r="C198" s="2"/>
    </row>
    <row r="199" spans="2:3" ht="17.25" customHeight="1">
      <c r="B199" s="2"/>
      <c r="C199" s="2"/>
    </row>
    <row r="200" spans="2:3" ht="17.25" customHeight="1">
      <c r="B200" s="2"/>
      <c r="C200" s="2"/>
    </row>
    <row r="201" spans="2:3" ht="17.25" customHeight="1">
      <c r="B201" s="2"/>
      <c r="C201" s="2"/>
    </row>
    <row r="202" spans="2:3" ht="17.25" customHeight="1">
      <c r="B202" s="2"/>
      <c r="C202" s="2"/>
    </row>
    <row r="203" spans="2:3" ht="17.25" customHeight="1">
      <c r="B203" s="2"/>
      <c r="C203" s="2"/>
    </row>
    <row r="204" spans="2:3" ht="17.25" customHeight="1">
      <c r="B204" s="2"/>
      <c r="C204" s="2"/>
    </row>
    <row r="205" spans="2:3" ht="17.25" customHeight="1">
      <c r="B205" s="2"/>
      <c r="C205" s="2"/>
    </row>
    <row r="206" spans="2:3" ht="17.25" customHeight="1">
      <c r="B206" s="2"/>
      <c r="C206" s="2"/>
    </row>
    <row r="207" spans="2:3" ht="17.25" customHeight="1">
      <c r="B207" s="2"/>
      <c r="C207" s="2"/>
    </row>
    <row r="208" spans="2:3" ht="17.25" customHeight="1">
      <c r="B208" s="2"/>
      <c r="C208" s="2"/>
    </row>
    <row r="209" spans="2:3" ht="17.25" customHeight="1">
      <c r="B209" s="2"/>
      <c r="C209" s="2"/>
    </row>
    <row r="210" spans="2:3" ht="17.25" customHeight="1">
      <c r="B210" s="2"/>
      <c r="C210" s="2"/>
    </row>
    <row r="211" spans="2:3" ht="17.25" customHeight="1">
      <c r="B211" s="2"/>
      <c r="C211" s="2"/>
    </row>
    <row r="212" spans="2:3" ht="17.25" customHeight="1">
      <c r="B212" s="2"/>
      <c r="C212" s="2"/>
    </row>
    <row r="213" spans="2:3" ht="17.25" customHeight="1">
      <c r="B213" s="2"/>
      <c r="C213" s="2"/>
    </row>
    <row r="214" spans="2:3" ht="17.25" customHeight="1">
      <c r="B214" s="2"/>
      <c r="C214" s="2"/>
    </row>
    <row r="215" spans="2:3" ht="17.25" customHeight="1">
      <c r="B215" s="2"/>
      <c r="C215" s="2"/>
    </row>
    <row r="216" spans="2:3" ht="17.25" customHeight="1">
      <c r="B216" s="2"/>
      <c r="C216" s="2"/>
    </row>
    <row r="217" spans="2:3" ht="17.25" customHeight="1">
      <c r="B217" s="2"/>
      <c r="C217" s="2"/>
    </row>
    <row r="218" spans="2:3" ht="17.25" customHeight="1">
      <c r="B218" s="2"/>
      <c r="C218" s="2"/>
    </row>
    <row r="219" spans="2:3" ht="17.25" customHeight="1">
      <c r="B219" s="2"/>
      <c r="C219" s="2"/>
    </row>
    <row r="220" spans="2:3" ht="17.25" customHeight="1">
      <c r="B220" s="2"/>
      <c r="C220" s="2"/>
    </row>
    <row r="221" spans="2:3" ht="17.25" customHeight="1">
      <c r="B221" s="2"/>
      <c r="C221" s="2"/>
    </row>
    <row r="222" spans="2:3" ht="17.25" customHeight="1">
      <c r="B222" s="2"/>
      <c r="C222" s="2"/>
    </row>
    <row r="223" spans="2:3" ht="17.25" customHeight="1">
      <c r="B223" s="2"/>
      <c r="C223" s="2"/>
    </row>
    <row r="224" spans="2:3" ht="17.25" customHeight="1">
      <c r="B224" s="2"/>
      <c r="C224" s="2"/>
    </row>
    <row r="225" spans="2:3" ht="17.25" customHeight="1">
      <c r="B225" s="2"/>
      <c r="C225" s="2"/>
    </row>
    <row r="226" spans="2:3" ht="17.25" customHeight="1">
      <c r="B226" s="2"/>
      <c r="C226" s="2"/>
    </row>
    <row r="227" spans="2:3" ht="17.25" customHeight="1">
      <c r="B227" s="2"/>
      <c r="C227" s="2"/>
    </row>
    <row r="228" spans="2:3" ht="17.25" customHeight="1">
      <c r="B228" s="2"/>
      <c r="C228" s="2"/>
    </row>
    <row r="229" spans="2:3" ht="17.25" customHeight="1">
      <c r="B229" s="2"/>
      <c r="C229" s="2"/>
    </row>
    <row r="230" spans="2:3" ht="17.25" customHeight="1">
      <c r="B230" s="2"/>
      <c r="C230" s="2"/>
    </row>
    <row r="231" spans="2:3" ht="17.25" customHeight="1">
      <c r="B231" s="2"/>
      <c r="C231" s="2"/>
    </row>
    <row r="232" spans="2:3" ht="17.25" customHeight="1">
      <c r="B232" s="2"/>
      <c r="C232" s="2"/>
    </row>
    <row r="233" spans="2:3" ht="17.25" customHeight="1">
      <c r="B233" s="2"/>
      <c r="C233" s="2"/>
    </row>
    <row r="234" spans="2:3" ht="17.25" customHeight="1">
      <c r="B234" s="2"/>
      <c r="C234" s="2"/>
    </row>
    <row r="235" spans="2:3" ht="17.25" customHeight="1">
      <c r="B235" s="2"/>
      <c r="C235" s="2"/>
    </row>
    <row r="236" spans="2:3" ht="17.25" customHeight="1">
      <c r="B236" s="2"/>
      <c r="C236" s="2"/>
    </row>
    <row r="237" spans="2:3" ht="17.25" customHeight="1">
      <c r="B237" s="2"/>
      <c r="C237" s="2"/>
    </row>
    <row r="238" spans="2:3" ht="17.25" customHeight="1">
      <c r="B238" s="2"/>
      <c r="C238" s="2"/>
    </row>
    <row r="239" spans="2:3" ht="17.25" customHeight="1">
      <c r="B239" s="2"/>
      <c r="C239" s="2"/>
    </row>
    <row r="240" spans="2:3" ht="17.25" customHeight="1">
      <c r="B240" s="2"/>
      <c r="C240" s="2"/>
    </row>
    <row r="241" spans="2:3" ht="17.25" customHeight="1">
      <c r="B241" s="2"/>
      <c r="C241" s="2"/>
    </row>
    <row r="242" spans="2:3" ht="17.25" customHeight="1">
      <c r="B242" s="2"/>
      <c r="C242" s="2"/>
    </row>
    <row r="243" spans="2:3" ht="17.25" customHeight="1">
      <c r="B243" s="2"/>
      <c r="C243" s="2"/>
    </row>
    <row r="244" spans="2:3" ht="17.25" customHeight="1">
      <c r="B244" s="2"/>
      <c r="C244" s="2"/>
    </row>
    <row r="245" spans="2:3" ht="17.25" customHeight="1">
      <c r="B245" s="2"/>
      <c r="C245" s="2"/>
    </row>
    <row r="246" spans="2:3" ht="17.25" customHeight="1">
      <c r="B246" s="2"/>
      <c r="C246" s="2"/>
    </row>
    <row r="247" spans="2:3" ht="17.25" customHeight="1">
      <c r="B247" s="2"/>
      <c r="C247" s="2"/>
    </row>
    <row r="248" spans="2:3" ht="17.25" customHeight="1">
      <c r="B248" s="2"/>
      <c r="C248" s="2"/>
    </row>
    <row r="249" spans="2:3" ht="17.25" customHeight="1">
      <c r="B249" s="2"/>
      <c r="C249" s="2"/>
    </row>
    <row r="250" spans="2:3" ht="17.25" customHeight="1">
      <c r="B250" s="2"/>
      <c r="C250" s="2"/>
    </row>
    <row r="251" spans="2:3" ht="17.25" customHeight="1">
      <c r="B251" s="2"/>
      <c r="C251" s="2"/>
    </row>
    <row r="252" spans="2:3" ht="17.25" customHeight="1">
      <c r="B252" s="2"/>
      <c r="C252" s="2"/>
    </row>
    <row r="253" spans="2:3" ht="17.25" customHeight="1">
      <c r="B253" s="2"/>
      <c r="C253" s="2"/>
    </row>
    <row r="254" spans="2:3" ht="17.25" customHeight="1">
      <c r="B254" s="2"/>
      <c r="C254" s="2"/>
    </row>
    <row r="255" spans="2:3" ht="17.25" customHeight="1">
      <c r="B255" s="2"/>
      <c r="C255" s="2"/>
    </row>
    <row r="256" spans="2:3" ht="17.25" customHeight="1">
      <c r="B256" s="2"/>
      <c r="C256" s="2"/>
    </row>
    <row r="257" spans="2:3" ht="17.25" customHeight="1">
      <c r="B257" s="2"/>
      <c r="C257" s="2"/>
    </row>
    <row r="258" spans="2:3" ht="17.25" customHeight="1">
      <c r="B258" s="2"/>
      <c r="C258" s="2"/>
    </row>
    <row r="259" spans="2:3" ht="17.25" customHeight="1">
      <c r="B259" s="2"/>
      <c r="C259" s="2"/>
    </row>
    <row r="260" spans="2:3" ht="17.25" customHeight="1">
      <c r="B260" s="2"/>
      <c r="C260" s="2"/>
    </row>
    <row r="261" spans="2:3" ht="17.25" customHeight="1">
      <c r="B261" s="2"/>
      <c r="C261" s="2"/>
    </row>
    <row r="262" spans="2:3" ht="17.25" customHeight="1">
      <c r="B262" s="2"/>
      <c r="C262" s="2"/>
    </row>
    <row r="263" spans="2:3" ht="17.25" customHeight="1">
      <c r="B263" s="2"/>
      <c r="C263" s="2"/>
    </row>
    <row r="264" spans="2:3" ht="17.25" customHeight="1">
      <c r="B264" s="2"/>
      <c r="C264" s="2"/>
    </row>
    <row r="265" spans="2:3" ht="17.25" customHeight="1">
      <c r="B265" s="2"/>
      <c r="C265" s="2"/>
    </row>
    <row r="266" spans="2:3" ht="17.25" customHeight="1">
      <c r="B266" s="2"/>
      <c r="C266" s="2"/>
    </row>
    <row r="267" spans="2:3" ht="17.25" customHeight="1">
      <c r="B267" s="2"/>
      <c r="C267" s="2"/>
    </row>
    <row r="268" spans="2:3" ht="17.25" customHeight="1">
      <c r="B268" s="2"/>
      <c r="C268" s="2"/>
    </row>
    <row r="269" spans="2:3" ht="17.25" customHeight="1">
      <c r="B269" s="2"/>
      <c r="C269" s="2"/>
    </row>
    <row r="270" spans="2:3" ht="17.25" customHeight="1">
      <c r="B270" s="2"/>
      <c r="C270" s="2"/>
    </row>
    <row r="271" spans="2:3" ht="17.25" customHeight="1">
      <c r="B271" s="2"/>
      <c r="C271" s="2"/>
    </row>
    <row r="272" spans="2:3" ht="17.25" customHeight="1">
      <c r="B272" s="2"/>
      <c r="C272" s="2"/>
    </row>
    <row r="273" spans="2:3" ht="17.25" customHeight="1">
      <c r="B273" s="2"/>
      <c r="C273" s="2"/>
    </row>
    <row r="274" spans="2:3" ht="17.25" customHeight="1">
      <c r="B274" s="2"/>
      <c r="C274" s="2"/>
    </row>
    <row r="275" spans="2:3" ht="17.25" customHeight="1">
      <c r="B275" s="2"/>
      <c r="C275" s="2"/>
    </row>
    <row r="276" spans="2:3" ht="17.25" customHeight="1">
      <c r="B276" s="2"/>
      <c r="C276" s="2"/>
    </row>
    <row r="277" spans="2:3" ht="17.25" customHeight="1">
      <c r="B277" s="2"/>
      <c r="C277" s="2"/>
    </row>
    <row r="278" spans="2:3" ht="17.25" customHeight="1">
      <c r="B278" s="2"/>
      <c r="C278" s="2"/>
    </row>
    <row r="279" spans="2:3" ht="17.25" customHeight="1">
      <c r="B279" s="2"/>
      <c r="C279" s="2"/>
    </row>
    <row r="280" spans="2:3" ht="17.25" customHeight="1">
      <c r="B280" s="2"/>
      <c r="C280" s="2"/>
    </row>
    <row r="281" spans="2:3" ht="17.25" customHeight="1">
      <c r="B281" s="2"/>
      <c r="C281" s="2"/>
    </row>
    <row r="282" spans="2:3" ht="17.25" customHeight="1">
      <c r="B282" s="2"/>
      <c r="C282" s="2"/>
    </row>
    <row r="283" spans="2:3" ht="17.25" customHeight="1">
      <c r="B283" s="2"/>
      <c r="C283" s="2"/>
    </row>
    <row r="284" spans="2:3" ht="17.25" customHeight="1">
      <c r="B284" s="2"/>
      <c r="C284" s="2"/>
    </row>
    <row r="285" spans="2:3" ht="17.25" customHeight="1">
      <c r="B285" s="2"/>
      <c r="C285" s="2"/>
    </row>
    <row r="286" spans="2:3" ht="17.25" customHeight="1">
      <c r="B286" s="2"/>
      <c r="C286" s="2"/>
    </row>
    <row r="287" spans="2:3" ht="17.25" customHeight="1">
      <c r="B287" s="2"/>
      <c r="C287" s="2"/>
    </row>
    <row r="288" spans="2:3" ht="17.25" customHeight="1">
      <c r="B288" s="2"/>
      <c r="C288" s="2"/>
    </row>
    <row r="289" spans="2:3" ht="17.25" customHeight="1">
      <c r="B289" s="2"/>
      <c r="C289" s="2"/>
    </row>
    <row r="290" spans="2:3" ht="17.25" customHeight="1">
      <c r="B290" s="2"/>
      <c r="C290" s="2"/>
    </row>
    <row r="291" spans="2:3" ht="17.25" customHeight="1">
      <c r="B291" s="2"/>
      <c r="C291" s="2"/>
    </row>
    <row r="292" spans="2:3" ht="17.25" customHeight="1">
      <c r="B292" s="2"/>
      <c r="C292" s="2"/>
    </row>
    <row r="293" spans="2:3" ht="17.25" customHeight="1">
      <c r="B293" s="2"/>
      <c r="C293" s="2"/>
    </row>
    <row r="294" spans="2:3" ht="17.25" customHeight="1">
      <c r="B294" s="2"/>
      <c r="C294" s="2"/>
    </row>
    <row r="295" spans="2:3" ht="17.25" customHeight="1">
      <c r="B295" s="2"/>
      <c r="C295" s="2"/>
    </row>
    <row r="296" spans="2:3" ht="17.25" customHeight="1">
      <c r="B296" s="2"/>
      <c r="C296" s="2"/>
    </row>
    <row r="297" spans="2:3" ht="17.25" customHeight="1">
      <c r="B297" s="2"/>
      <c r="C297" s="2"/>
    </row>
    <row r="298" spans="2:3" ht="17.25" customHeight="1">
      <c r="B298" s="2"/>
      <c r="C298" s="2"/>
    </row>
    <row r="299" spans="2:3" ht="17.25" customHeight="1">
      <c r="B299" s="2"/>
      <c r="C299" s="2"/>
    </row>
    <row r="300" spans="2:3" ht="17.25" customHeight="1">
      <c r="B300" s="2"/>
      <c r="C300" s="2"/>
    </row>
    <row r="301" spans="2:3" ht="17.25" customHeight="1">
      <c r="B301" s="2"/>
      <c r="C301" s="2"/>
    </row>
    <row r="302" spans="2:3" ht="17.25" customHeight="1">
      <c r="B302" s="2"/>
      <c r="C302" s="2"/>
    </row>
    <row r="303" spans="2:3" ht="17.25" customHeight="1">
      <c r="B303" s="2"/>
      <c r="C303" s="2"/>
    </row>
    <row r="304" spans="2:3" ht="17.25" customHeight="1">
      <c r="B304" s="2"/>
      <c r="C304" s="2"/>
    </row>
    <row r="305" spans="2:3" ht="17.25" customHeight="1">
      <c r="B305" s="2"/>
      <c r="C305" s="2"/>
    </row>
    <row r="306" spans="2:3" ht="17.25" customHeight="1">
      <c r="B306" s="2"/>
      <c r="C306" s="2"/>
    </row>
    <row r="307" spans="2:3" ht="17.25" customHeight="1">
      <c r="B307" s="2"/>
      <c r="C307" s="2"/>
    </row>
    <row r="308" spans="2:3" ht="17.25" customHeight="1">
      <c r="B308" s="2"/>
      <c r="C308" s="2"/>
    </row>
    <row r="309" spans="2:3" ht="17.25" customHeight="1">
      <c r="B309" s="2"/>
      <c r="C309" s="2"/>
    </row>
    <row r="310" spans="2:3" ht="17.25" customHeight="1">
      <c r="B310" s="2"/>
      <c r="C310" s="2"/>
    </row>
    <row r="311" spans="2:3" ht="17.25" customHeight="1">
      <c r="B311" s="2"/>
      <c r="C311" s="2"/>
    </row>
    <row r="312" spans="2:3" ht="17.25" customHeight="1">
      <c r="B312" s="2"/>
      <c r="C312" s="2"/>
    </row>
    <row r="313" spans="2:3" ht="17.25" customHeight="1">
      <c r="B313" s="2"/>
      <c r="C313" s="2"/>
    </row>
    <row r="314" spans="2:3" ht="17.25" customHeight="1">
      <c r="B314" s="2"/>
      <c r="C314" s="2"/>
    </row>
    <row r="315" spans="2:3" ht="17.25" customHeight="1">
      <c r="B315" s="2"/>
      <c r="C315" s="2"/>
    </row>
    <row r="316" spans="2:3" ht="17.25" customHeight="1">
      <c r="B316" s="2"/>
      <c r="C316" s="2"/>
    </row>
    <row r="317" spans="2:3" ht="17.25" customHeight="1">
      <c r="B317" s="2"/>
      <c r="C317" s="2"/>
    </row>
    <row r="318" spans="2:3" ht="17.25" customHeight="1">
      <c r="B318" s="2"/>
      <c r="C318" s="2"/>
    </row>
    <row r="319" spans="2:3" ht="17.25" customHeight="1">
      <c r="B319" s="2"/>
      <c r="C319" s="2"/>
    </row>
    <row r="320" spans="2:3" ht="17.25" customHeight="1">
      <c r="B320" s="2"/>
      <c r="C320" s="2"/>
    </row>
    <row r="321" spans="2:3" ht="17.25" customHeight="1">
      <c r="B321" s="2"/>
      <c r="C321" s="2"/>
    </row>
    <row r="322" spans="2:3" ht="17.25" customHeight="1">
      <c r="B322" s="2"/>
      <c r="C322" s="2"/>
    </row>
    <row r="323" spans="2:3" ht="17.25" customHeight="1">
      <c r="B323" s="2"/>
      <c r="C323" s="2"/>
    </row>
    <row r="324" spans="2:3" ht="17.25" customHeight="1">
      <c r="B324" s="2"/>
      <c r="C324" s="2"/>
    </row>
    <row r="325" spans="2:3" ht="17.25" customHeight="1">
      <c r="B325" s="2"/>
      <c r="C325" s="2"/>
    </row>
    <row r="326" spans="2:3" ht="17.25" customHeight="1">
      <c r="B326" s="2"/>
      <c r="C326" s="2"/>
    </row>
    <row r="327" spans="2:3" ht="17.25" customHeight="1">
      <c r="B327" s="2"/>
      <c r="C327" s="2"/>
    </row>
    <row r="328" spans="2:3" ht="17.25" customHeight="1">
      <c r="B328" s="2"/>
      <c r="C328" s="2"/>
    </row>
    <row r="329" spans="2:3" ht="17.25" customHeight="1">
      <c r="B329" s="2"/>
      <c r="C329" s="2"/>
    </row>
    <row r="330" spans="2:3" ht="17.25" customHeight="1">
      <c r="B330" s="2"/>
      <c r="C330" s="2"/>
    </row>
    <row r="331" spans="2:3" ht="17.25" customHeight="1">
      <c r="B331" s="2"/>
      <c r="C331" s="2"/>
    </row>
    <row r="332" spans="2:3" ht="17.25" customHeight="1">
      <c r="B332" s="2"/>
      <c r="C332" s="2"/>
    </row>
    <row r="333" spans="2:3" ht="17.25" customHeight="1">
      <c r="B333" s="2"/>
      <c r="C333" s="2"/>
    </row>
    <row r="334" spans="2:3" ht="17.25" customHeight="1">
      <c r="B334" s="2"/>
      <c r="C334" s="2"/>
    </row>
    <row r="335" spans="2:3" ht="17.25" customHeight="1">
      <c r="B335" s="2"/>
      <c r="C335" s="2"/>
    </row>
    <row r="336" spans="2:3" ht="17.25" customHeight="1">
      <c r="B336" s="2"/>
      <c r="C336" s="2"/>
    </row>
    <row r="337" spans="2:3" ht="17.25" customHeight="1">
      <c r="B337" s="2"/>
      <c r="C337" s="2"/>
    </row>
    <row r="338" spans="2:3" ht="17.25" customHeight="1">
      <c r="B338" s="2"/>
      <c r="C338" s="2"/>
    </row>
    <row r="339" spans="2:3" ht="17.25" customHeight="1">
      <c r="B339" s="2"/>
      <c r="C339" s="2"/>
    </row>
    <row r="340" spans="2:3" ht="17.25" customHeight="1">
      <c r="B340" s="2"/>
      <c r="C340" s="2"/>
    </row>
    <row r="341" spans="2:3" ht="17.25" customHeight="1">
      <c r="B341" s="2"/>
      <c r="C341" s="2"/>
    </row>
    <row r="342" spans="2:3" ht="17.25" customHeight="1">
      <c r="B342" s="2"/>
      <c r="C342" s="2"/>
    </row>
    <row r="343" spans="2:3" ht="17.25" customHeight="1">
      <c r="B343" s="2"/>
      <c r="C343" s="2"/>
    </row>
    <row r="344" spans="2:3" ht="17.25" customHeight="1">
      <c r="B344" s="2"/>
      <c r="C344" s="2"/>
    </row>
    <row r="345" spans="2:3" ht="17.25" customHeight="1">
      <c r="B345" s="2"/>
      <c r="C345" s="2"/>
    </row>
    <row r="346" spans="2:3" ht="17.25" customHeight="1">
      <c r="B346" s="2"/>
      <c r="C346" s="2"/>
    </row>
    <row r="347" spans="2:3" ht="17.25" customHeight="1">
      <c r="B347" s="2"/>
      <c r="C347" s="2"/>
    </row>
    <row r="348" spans="2:3" ht="17.25" customHeight="1">
      <c r="B348" s="2"/>
      <c r="C348" s="2"/>
    </row>
    <row r="349" spans="2:3" ht="17.25" customHeight="1">
      <c r="B349" s="2"/>
      <c r="C349" s="2"/>
    </row>
    <row r="350" spans="2:3" ht="17.25" customHeight="1">
      <c r="B350" s="2"/>
      <c r="C350" s="2"/>
    </row>
    <row r="351" spans="2:3" ht="17.25" customHeight="1">
      <c r="B351" s="2"/>
      <c r="C351" s="2"/>
    </row>
    <row r="352" spans="2:3" ht="17.25" customHeight="1">
      <c r="B352" s="2"/>
      <c r="C352" s="2"/>
    </row>
    <row r="353" spans="2:3" ht="17.25" customHeight="1">
      <c r="B353" s="2"/>
      <c r="C353" s="2"/>
    </row>
    <row r="354" spans="2:3" ht="17.25" customHeight="1">
      <c r="B354" s="2"/>
      <c r="C354" s="2"/>
    </row>
    <row r="355" spans="2:3" ht="17.25" customHeight="1">
      <c r="B355" s="2"/>
      <c r="C355" s="2"/>
    </row>
    <row r="356" spans="2:3" ht="17.25" customHeight="1">
      <c r="B356" s="2"/>
      <c r="C356" s="2"/>
    </row>
    <row r="357" spans="2:3" ht="17.25" customHeight="1">
      <c r="B357" s="2"/>
      <c r="C357" s="2"/>
    </row>
    <row r="358" spans="2:3" ht="17.25" customHeight="1">
      <c r="B358" s="2"/>
      <c r="C358" s="2"/>
    </row>
    <row r="359" spans="2:3" ht="17.25" customHeight="1">
      <c r="B359" s="2"/>
      <c r="C359" s="2"/>
    </row>
    <row r="360" spans="2:3" ht="17.25" customHeight="1">
      <c r="B360" s="2"/>
      <c r="C360" s="2"/>
    </row>
    <row r="361" spans="2:3" ht="17.25" customHeight="1">
      <c r="B361" s="2"/>
      <c r="C361" s="2"/>
    </row>
    <row r="362" spans="2:3" ht="17.25" customHeight="1">
      <c r="B362" s="2"/>
      <c r="C362" s="2"/>
    </row>
    <row r="363" spans="2:3" ht="17.25" customHeight="1">
      <c r="B363" s="2"/>
      <c r="C363" s="2"/>
    </row>
    <row r="364" spans="2:3" ht="17.25" customHeight="1">
      <c r="B364" s="2"/>
      <c r="C364" s="2"/>
    </row>
    <row r="365" spans="2:3" ht="17.25" customHeight="1">
      <c r="B365" s="2"/>
      <c r="C365" s="2"/>
    </row>
    <row r="366" spans="2:3" ht="17.25" customHeight="1">
      <c r="B366" s="2"/>
      <c r="C366" s="2"/>
    </row>
    <row r="367" spans="2:3" ht="17.25" customHeight="1">
      <c r="B367" s="2"/>
      <c r="C367" s="2"/>
    </row>
    <row r="368" spans="2:3" ht="17.25" customHeight="1">
      <c r="B368" s="2"/>
      <c r="C368" s="2"/>
    </row>
    <row r="369" spans="2:3" ht="17.25" customHeight="1">
      <c r="B369" s="2"/>
      <c r="C369" s="2"/>
    </row>
    <row r="370" spans="2:3" ht="17.25" customHeight="1">
      <c r="B370" s="2"/>
      <c r="C370" s="2"/>
    </row>
    <row r="371" spans="2:3" ht="17.25" customHeight="1">
      <c r="B371" s="2"/>
      <c r="C371" s="2"/>
    </row>
    <row r="372" spans="2:3" ht="17.25" customHeight="1">
      <c r="B372" s="2"/>
      <c r="C372" s="2"/>
    </row>
    <row r="373" spans="2:3" ht="17.25" customHeight="1">
      <c r="B373" s="2"/>
      <c r="C373" s="2"/>
    </row>
    <row r="374" spans="2:3" ht="17.25" customHeight="1">
      <c r="B374" s="2"/>
      <c r="C374" s="2"/>
    </row>
    <row r="375" spans="2:3" ht="17.25" customHeight="1">
      <c r="B375" s="2"/>
      <c r="C375" s="2"/>
    </row>
    <row r="376" spans="2:3" ht="17.25" customHeight="1">
      <c r="B376" s="2"/>
      <c r="C376" s="2"/>
    </row>
    <row r="377" spans="2:3" ht="17.25" customHeight="1">
      <c r="B377" s="2"/>
      <c r="C377" s="2"/>
    </row>
    <row r="378" spans="2:3" ht="17.25" customHeight="1">
      <c r="B378" s="2"/>
      <c r="C378" s="2"/>
    </row>
    <row r="379" spans="2:3" ht="17.25" customHeight="1">
      <c r="B379" s="2"/>
      <c r="C379" s="2"/>
    </row>
    <row r="380" spans="2:3" ht="17.25" customHeight="1">
      <c r="B380" s="2"/>
      <c r="C380" s="2"/>
    </row>
    <row r="381" spans="2:3" ht="17.25" customHeight="1">
      <c r="B381" s="2"/>
      <c r="C381" s="2"/>
    </row>
    <row r="382" spans="2:3" ht="17.25" customHeight="1">
      <c r="B382" s="2"/>
      <c r="C382" s="2"/>
    </row>
    <row r="383" spans="2:3" ht="17.25" customHeight="1">
      <c r="B383" s="2"/>
      <c r="C383" s="2"/>
    </row>
    <row r="384" spans="2:3" ht="17.25" customHeight="1">
      <c r="B384" s="2"/>
      <c r="C384" s="2"/>
    </row>
    <row r="385" spans="2:3" ht="17.25" customHeight="1">
      <c r="B385" s="2"/>
      <c r="C385" s="2"/>
    </row>
    <row r="386" spans="2:3" ht="17.25" customHeight="1">
      <c r="B386" s="2"/>
      <c r="C386" s="2"/>
    </row>
    <row r="387" spans="2:3" ht="17.25" customHeight="1">
      <c r="B387" s="2"/>
      <c r="C387" s="2"/>
    </row>
    <row r="388" spans="2:3" ht="17.25" customHeight="1">
      <c r="B388" s="2"/>
      <c r="C388" s="2"/>
    </row>
    <row r="389" spans="2:3" ht="17.25" customHeight="1">
      <c r="B389" s="2"/>
      <c r="C389" s="2"/>
    </row>
    <row r="390" spans="2:3" ht="17.25" customHeight="1">
      <c r="B390" s="2"/>
      <c r="C390" s="2"/>
    </row>
    <row r="391" spans="2:3" ht="17.25" customHeight="1">
      <c r="B391" s="2"/>
      <c r="C391" s="2"/>
    </row>
    <row r="392" spans="2:3" ht="17.25" customHeight="1">
      <c r="B392" s="2"/>
      <c r="C392" s="2"/>
    </row>
    <row r="393" spans="2:3" ht="17.25" customHeight="1">
      <c r="B393" s="2"/>
      <c r="C393" s="2"/>
    </row>
    <row r="394" spans="2:3" ht="17.25" customHeight="1">
      <c r="B394" s="2"/>
      <c r="C394" s="2"/>
    </row>
    <row r="395" spans="2:3" ht="17.25" customHeight="1">
      <c r="B395" s="2"/>
      <c r="C395" s="2"/>
    </row>
    <row r="396" spans="2:3" ht="17.25" customHeight="1">
      <c r="B396" s="2"/>
      <c r="C396" s="2"/>
    </row>
    <row r="397" spans="2:3" ht="17.25" customHeight="1">
      <c r="B397" s="2"/>
      <c r="C397" s="2"/>
    </row>
    <row r="398" spans="2:3" ht="17.25" customHeight="1">
      <c r="B398" s="2"/>
      <c r="C398" s="2"/>
    </row>
    <row r="399" spans="2:3" ht="17.25" customHeight="1">
      <c r="B399" s="2"/>
      <c r="C399" s="2"/>
    </row>
    <row r="400" spans="2:3" ht="17.25" customHeight="1">
      <c r="B400" s="2"/>
      <c r="C400" s="2"/>
    </row>
    <row r="401" spans="2:3" ht="17.25" customHeight="1">
      <c r="B401" s="2"/>
      <c r="C401" s="2"/>
    </row>
    <row r="402" spans="2:3" ht="17.25" customHeight="1">
      <c r="B402" s="2"/>
      <c r="C402" s="2"/>
    </row>
    <row r="403" spans="2:3" ht="17.25" customHeight="1">
      <c r="B403" s="2"/>
      <c r="C403" s="2"/>
    </row>
    <row r="404" spans="2:3" ht="17.25" customHeight="1">
      <c r="B404" s="2"/>
      <c r="C404" s="2"/>
    </row>
    <row r="405" spans="2:3" ht="17.25" customHeight="1">
      <c r="B405" s="2"/>
      <c r="C405" s="2"/>
    </row>
    <row r="406" spans="2:3" ht="17.25" customHeight="1">
      <c r="B406" s="2"/>
      <c r="C406" s="2"/>
    </row>
    <row r="407" spans="2:3" ht="17.25" customHeight="1">
      <c r="B407" s="2"/>
      <c r="C407" s="2"/>
    </row>
    <row r="408" spans="2:3" ht="17.25" customHeight="1">
      <c r="B408" s="2"/>
      <c r="C408" s="2"/>
    </row>
    <row r="409" spans="2:3" ht="17.25" customHeight="1">
      <c r="B409" s="2"/>
      <c r="C409" s="2"/>
    </row>
    <row r="410" spans="2:3" ht="17.25" customHeight="1">
      <c r="B410" s="2"/>
      <c r="C410" s="2"/>
    </row>
    <row r="411" spans="2:3" ht="17.25" customHeight="1">
      <c r="B411" s="2"/>
      <c r="C411" s="2"/>
    </row>
    <row r="412" spans="2:3" ht="17.25" customHeight="1">
      <c r="B412" s="2"/>
      <c r="C412" s="2"/>
    </row>
    <row r="413" spans="2:3" ht="17.25" customHeight="1">
      <c r="B413" s="2"/>
      <c r="C413" s="2"/>
    </row>
    <row r="414" spans="2:3" ht="17.25" customHeight="1">
      <c r="B414" s="2"/>
      <c r="C414" s="2"/>
    </row>
    <row r="415" spans="2:3" ht="17.25" customHeight="1">
      <c r="B415" s="2"/>
      <c r="C415" s="2"/>
    </row>
    <row r="416" spans="2:3" ht="17.25" customHeight="1">
      <c r="B416" s="2"/>
      <c r="C416" s="2"/>
    </row>
    <row r="417" spans="2:3" ht="17.25" customHeight="1">
      <c r="B417" s="2"/>
      <c r="C417" s="2"/>
    </row>
    <row r="418" spans="2:3" ht="17.25" customHeight="1">
      <c r="B418" s="2"/>
      <c r="C418" s="2"/>
    </row>
    <row r="419" spans="2:3" ht="17.25" customHeight="1">
      <c r="B419" s="2"/>
      <c r="C419" s="2"/>
    </row>
    <row r="420" spans="2:3" ht="17.25" customHeight="1">
      <c r="B420" s="2"/>
      <c r="C420" s="2"/>
    </row>
    <row r="421" spans="2:3" ht="17.25" customHeight="1">
      <c r="B421" s="2"/>
      <c r="C421" s="2"/>
    </row>
    <row r="422" spans="2:3" ht="17.25" customHeight="1">
      <c r="B422" s="2"/>
      <c r="C422" s="2"/>
    </row>
    <row r="423" spans="2:3" ht="17.25" customHeight="1">
      <c r="B423" s="2"/>
      <c r="C423" s="2"/>
    </row>
    <row r="424" spans="2:3" ht="17.25" customHeight="1">
      <c r="B424" s="2"/>
      <c r="C424" s="2"/>
    </row>
    <row r="425" spans="2:3" ht="17.25" customHeight="1">
      <c r="B425" s="2"/>
      <c r="C425" s="2"/>
    </row>
    <row r="426" spans="2:3" ht="17.25" customHeight="1">
      <c r="B426" s="2"/>
      <c r="C426" s="2"/>
    </row>
    <row r="427" spans="2:3" ht="17.25" customHeight="1">
      <c r="B427" s="2"/>
      <c r="C427" s="2"/>
    </row>
    <row r="428" spans="2:3" ht="17.25" customHeight="1">
      <c r="B428" s="2"/>
      <c r="C428" s="2"/>
    </row>
    <row r="429" spans="2:3" ht="17.25" customHeight="1">
      <c r="B429" s="2"/>
      <c r="C429" s="2"/>
    </row>
    <row r="430" spans="2:3" ht="17.25" customHeight="1">
      <c r="B430" s="2"/>
      <c r="C430" s="2"/>
    </row>
    <row r="431" spans="2:3" ht="17.25" customHeight="1">
      <c r="B431" s="2"/>
      <c r="C431" s="2"/>
    </row>
    <row r="432" spans="2:3" ht="17.25" customHeight="1">
      <c r="B432" s="2"/>
      <c r="C432" s="2"/>
    </row>
    <row r="433" spans="2:3" ht="17.25" customHeight="1">
      <c r="B433" s="2"/>
      <c r="C433" s="2"/>
    </row>
    <row r="434" spans="2:3" ht="17.25" customHeight="1">
      <c r="B434" s="2"/>
      <c r="C434" s="2"/>
    </row>
    <row r="435" spans="2:3" ht="17.25" customHeight="1">
      <c r="B435" s="2"/>
      <c r="C435" s="2"/>
    </row>
    <row r="436" spans="2:3" ht="17.25" customHeight="1">
      <c r="B436" s="2"/>
      <c r="C436" s="2"/>
    </row>
    <row r="437" spans="2:3" ht="17.25" customHeight="1">
      <c r="B437" s="2"/>
      <c r="C437" s="2"/>
    </row>
    <row r="438" spans="2:3" ht="17.25" customHeight="1">
      <c r="B438" s="2"/>
      <c r="C438" s="2"/>
    </row>
    <row r="439" spans="2:3" ht="17.25" customHeight="1">
      <c r="B439" s="2"/>
      <c r="C439" s="2"/>
    </row>
    <row r="440" spans="2:3" ht="17.25" customHeight="1">
      <c r="B440" s="2"/>
      <c r="C440" s="2"/>
    </row>
    <row r="441" spans="2:3" ht="17.25" customHeight="1">
      <c r="B441" s="2"/>
      <c r="C441" s="2"/>
    </row>
    <row r="442" spans="2:3" ht="17.25" customHeight="1">
      <c r="B442" s="2"/>
      <c r="C442" s="2"/>
    </row>
    <row r="443" spans="2:3" ht="17.25" customHeight="1">
      <c r="B443" s="2"/>
      <c r="C443" s="2"/>
    </row>
    <row r="444" spans="2:3" ht="17.25" customHeight="1">
      <c r="B444" s="2"/>
      <c r="C444" s="2"/>
    </row>
    <row r="445" spans="2:3" ht="17.25" customHeight="1">
      <c r="B445" s="2"/>
      <c r="C445" s="2"/>
    </row>
    <row r="446" spans="2:3" ht="17.25" customHeight="1">
      <c r="B446" s="2"/>
      <c r="C446" s="2"/>
    </row>
    <row r="447" spans="2:3" ht="17.25" customHeight="1">
      <c r="B447" s="2"/>
      <c r="C447" s="2"/>
    </row>
    <row r="448" spans="2:3" ht="17.25" customHeight="1">
      <c r="B448" s="2"/>
      <c r="C448" s="2"/>
    </row>
    <row r="449" spans="2:3" ht="17.25" customHeight="1">
      <c r="B449" s="2"/>
      <c r="C449" s="2"/>
    </row>
    <row r="450" spans="2:3" ht="17.25" customHeight="1">
      <c r="B450" s="2"/>
      <c r="C450" s="2"/>
    </row>
    <row r="451" spans="2:3" ht="17.25" customHeight="1">
      <c r="B451" s="2"/>
      <c r="C451" s="2"/>
    </row>
    <row r="452" spans="2:3" ht="17.25" customHeight="1">
      <c r="B452" s="2"/>
      <c r="C452" s="2"/>
    </row>
    <row r="453" spans="2:3" ht="17.25" customHeight="1">
      <c r="B453" s="2"/>
      <c r="C453" s="2"/>
    </row>
    <row r="454" spans="2:3" ht="17.25" customHeight="1">
      <c r="B454" s="2"/>
      <c r="C454" s="2"/>
    </row>
    <row r="455" spans="2:3" ht="17.25" customHeight="1">
      <c r="B455" s="2"/>
      <c r="C455" s="2"/>
    </row>
    <row r="456" spans="2:3" ht="17.25" customHeight="1">
      <c r="B456" s="2"/>
      <c r="C456" s="2"/>
    </row>
    <row r="457" spans="2:3" ht="17.25" customHeight="1">
      <c r="B457" s="2"/>
      <c r="C457" s="2"/>
    </row>
    <row r="458" spans="2:3" ht="17.25" customHeight="1">
      <c r="B458" s="2"/>
      <c r="C458" s="2"/>
    </row>
    <row r="459" spans="2:3" ht="17.25" customHeight="1">
      <c r="B459" s="2"/>
      <c r="C459" s="2"/>
    </row>
    <row r="460" spans="2:3" ht="17.25" customHeight="1">
      <c r="B460" s="2"/>
      <c r="C460" s="2"/>
    </row>
    <row r="461" spans="2:3" ht="17.25" customHeight="1">
      <c r="B461" s="2"/>
      <c r="C461" s="2"/>
    </row>
    <row r="462" spans="2:3" ht="17.25" customHeight="1">
      <c r="B462" s="2"/>
      <c r="C462" s="2"/>
    </row>
    <row r="463" spans="2:3" ht="17.25" customHeight="1">
      <c r="B463" s="2"/>
      <c r="C463" s="2"/>
    </row>
    <row r="464" spans="2:3" ht="17.25" customHeight="1">
      <c r="B464" s="2"/>
      <c r="C464" s="2"/>
    </row>
    <row r="465" spans="2:3" ht="17.25" customHeight="1">
      <c r="B465" s="2"/>
      <c r="C465" s="2"/>
    </row>
    <row r="466" spans="2:3" ht="17.25" customHeight="1">
      <c r="B466" s="2"/>
      <c r="C466" s="2"/>
    </row>
    <row r="467" spans="2:3" ht="17.25" customHeight="1">
      <c r="B467" s="2"/>
      <c r="C467" s="2"/>
    </row>
    <row r="468" spans="2:3" ht="17.25" customHeight="1">
      <c r="B468" s="2"/>
      <c r="C468" s="2"/>
    </row>
    <row r="469" spans="2:3" ht="17.25" customHeight="1">
      <c r="B469" s="2"/>
      <c r="C469" s="2"/>
    </row>
    <row r="470" spans="2:3" ht="17.25" customHeight="1">
      <c r="B470" s="2"/>
      <c r="C470" s="2"/>
    </row>
    <row r="471" spans="2:3" ht="17.25" customHeight="1">
      <c r="B471" s="2"/>
      <c r="C471" s="2"/>
    </row>
    <row r="472" spans="2:3" ht="17.25" customHeight="1">
      <c r="B472" s="2"/>
      <c r="C472" s="2"/>
    </row>
    <row r="473" spans="2:3" ht="17.25" customHeight="1">
      <c r="B473" s="2"/>
      <c r="C473" s="2"/>
    </row>
    <row r="474" spans="2:3" ht="17.25" customHeight="1">
      <c r="B474" s="2"/>
      <c r="C474" s="2"/>
    </row>
    <row r="475" spans="2:3" ht="17.25" customHeight="1">
      <c r="B475" s="2"/>
      <c r="C475" s="2"/>
    </row>
    <row r="476" spans="2:3" ht="17.25" customHeight="1">
      <c r="B476" s="2"/>
      <c r="C476" s="2"/>
    </row>
    <row r="477" spans="2:3" ht="17.25" customHeight="1">
      <c r="B477" s="2"/>
      <c r="C477" s="2"/>
    </row>
    <row r="478" spans="2:3" ht="17.25" customHeight="1">
      <c r="B478" s="2"/>
      <c r="C478" s="2"/>
    </row>
    <row r="479" spans="2:3" ht="17.25" customHeight="1">
      <c r="B479" s="2"/>
      <c r="C479" s="2"/>
    </row>
    <row r="480" spans="2:3" ht="17.25" customHeight="1">
      <c r="B480" s="2"/>
      <c r="C480" s="2"/>
    </row>
    <row r="481" spans="2:3" ht="17.25" customHeight="1">
      <c r="B481" s="2"/>
      <c r="C481" s="2"/>
    </row>
    <row r="482" spans="2:3" ht="17.25" customHeight="1">
      <c r="B482" s="2"/>
      <c r="C482" s="2"/>
    </row>
    <row r="483" spans="2:3" ht="17.25" customHeight="1">
      <c r="B483" s="2"/>
      <c r="C483" s="2"/>
    </row>
    <row r="484" spans="2:3" ht="17.25" customHeight="1">
      <c r="B484" s="2"/>
      <c r="C484" s="2"/>
    </row>
    <row r="485" spans="2:3" ht="17.25" customHeight="1">
      <c r="B485" s="2"/>
      <c r="C485" s="2"/>
    </row>
    <row r="486" spans="2:3" ht="17.25" customHeight="1">
      <c r="B486" s="2"/>
      <c r="C486" s="2"/>
    </row>
    <row r="487" spans="2:3" ht="17.25" customHeight="1">
      <c r="B487" s="2"/>
      <c r="C487" s="2"/>
    </row>
    <row r="488" spans="2:3" ht="17.25" customHeight="1">
      <c r="B488" s="2"/>
      <c r="C488" s="2"/>
    </row>
    <row r="489" spans="2:3" ht="17.25" customHeight="1">
      <c r="B489" s="2"/>
      <c r="C489" s="2"/>
    </row>
    <row r="490" spans="2:3" ht="17.25" customHeight="1">
      <c r="B490" s="2"/>
      <c r="C490" s="2"/>
    </row>
    <row r="491" spans="2:3" ht="17.25" customHeight="1">
      <c r="B491" s="2"/>
      <c r="C491" s="2"/>
    </row>
    <row r="492" spans="2:3" ht="17.25" customHeight="1">
      <c r="B492" s="2"/>
      <c r="C492" s="2"/>
    </row>
    <row r="493" spans="2:3" ht="17.25" customHeight="1">
      <c r="B493" s="2"/>
      <c r="C493" s="2"/>
    </row>
    <row r="494" spans="2:3" ht="17.25" customHeight="1">
      <c r="B494" s="2"/>
      <c r="C494" s="2"/>
    </row>
    <row r="495" spans="2:3" ht="17.25" customHeight="1">
      <c r="B495" s="2"/>
      <c r="C495" s="2"/>
    </row>
    <row r="496" spans="2:3" ht="17.25" customHeight="1">
      <c r="B496" s="2"/>
      <c r="C496" s="2"/>
    </row>
    <row r="497" spans="2:3" ht="17.25" customHeight="1">
      <c r="B497" s="2"/>
      <c r="C497" s="2"/>
    </row>
    <row r="498" spans="2:3" ht="17.25" customHeight="1">
      <c r="B498" s="2"/>
      <c r="C498" s="2"/>
    </row>
    <row r="499" spans="2:3" ht="17.25" customHeight="1">
      <c r="B499" s="2"/>
      <c r="C499" s="2"/>
    </row>
    <row r="500" spans="2:3" ht="17.25" customHeight="1">
      <c r="B500" s="2"/>
      <c r="C500" s="2"/>
    </row>
    <row r="501" spans="2:3" ht="17.25" customHeight="1">
      <c r="B501" s="2"/>
      <c r="C501" s="2"/>
    </row>
    <row r="502" spans="2:3" ht="17.25" customHeight="1">
      <c r="B502" s="2"/>
      <c r="C502" s="2"/>
    </row>
    <row r="503" spans="2:3" ht="17.25" customHeight="1">
      <c r="B503" s="2"/>
      <c r="C503" s="2"/>
    </row>
    <row r="504" spans="2:3" ht="17.25" customHeight="1">
      <c r="B504" s="2"/>
      <c r="C504" s="2"/>
    </row>
    <row r="505" spans="2:3" ht="17.25" customHeight="1">
      <c r="B505" s="2"/>
      <c r="C505" s="2"/>
    </row>
    <row r="506" spans="2:3" ht="17.25" customHeight="1">
      <c r="B506" s="2"/>
      <c r="C506" s="2"/>
    </row>
    <row r="507" spans="2:3" ht="17.25" customHeight="1">
      <c r="B507" s="2"/>
      <c r="C507" s="2"/>
    </row>
    <row r="508" spans="2:3" ht="17.25" customHeight="1">
      <c r="B508" s="2"/>
      <c r="C508" s="2"/>
    </row>
    <row r="509" spans="2:3" ht="17.25" customHeight="1">
      <c r="B509" s="2"/>
      <c r="C509" s="2"/>
    </row>
    <row r="510" spans="2:3" ht="17.25" customHeight="1">
      <c r="B510" s="2"/>
      <c r="C510" s="2"/>
    </row>
    <row r="511" spans="2:3" ht="17.25" customHeight="1">
      <c r="B511" s="2"/>
      <c r="C511" s="2"/>
    </row>
    <row r="512" spans="2:3" ht="17.25" customHeight="1">
      <c r="B512" s="2"/>
      <c r="C512" s="2"/>
    </row>
    <row r="513" spans="2:3" ht="17.25" customHeight="1">
      <c r="B513" s="2"/>
      <c r="C513" s="2"/>
    </row>
    <row r="514" spans="2:3" ht="17.25" customHeight="1">
      <c r="B514" s="2"/>
      <c r="C514" s="2"/>
    </row>
    <row r="515" spans="2:3" ht="17.25" customHeight="1">
      <c r="B515" s="2"/>
      <c r="C515" s="2"/>
    </row>
    <row r="516" spans="2:3" ht="17.25" customHeight="1">
      <c r="B516" s="2"/>
      <c r="C516" s="2"/>
    </row>
    <row r="517" spans="2:3" ht="17.25" customHeight="1">
      <c r="B517" s="2"/>
      <c r="C517" s="2"/>
    </row>
    <row r="518" spans="2:3" ht="17.25" customHeight="1">
      <c r="B518" s="2"/>
      <c r="C518" s="2"/>
    </row>
    <row r="519" spans="2:3" ht="17.25" customHeight="1">
      <c r="B519" s="2"/>
      <c r="C519" s="2"/>
    </row>
    <row r="520" spans="2:3" ht="17.25" customHeight="1">
      <c r="B520" s="2"/>
      <c r="C520" s="2"/>
    </row>
    <row r="521" spans="2:3" ht="17.25" customHeight="1">
      <c r="B521" s="2"/>
      <c r="C521" s="2"/>
    </row>
    <row r="522" spans="2:3" ht="17.25" customHeight="1">
      <c r="B522" s="2"/>
      <c r="C522" s="2"/>
    </row>
    <row r="523" spans="2:3" ht="17.25" customHeight="1">
      <c r="B523" s="2"/>
      <c r="C523" s="2"/>
    </row>
    <row r="524" spans="2:3" ht="17.25" customHeight="1">
      <c r="B524" s="2"/>
      <c r="C524" s="2"/>
    </row>
    <row r="525" spans="2:3" ht="17.25" customHeight="1">
      <c r="B525" s="2"/>
      <c r="C525" s="2"/>
    </row>
    <row r="526" spans="2:3" ht="17.25" customHeight="1">
      <c r="B526" s="2"/>
      <c r="C526" s="2"/>
    </row>
    <row r="527" spans="2:3" ht="17.25" customHeight="1">
      <c r="B527" s="2"/>
      <c r="C527" s="2"/>
    </row>
    <row r="528" spans="2:3" ht="17.25" customHeight="1">
      <c r="B528" s="2"/>
      <c r="C528" s="2"/>
    </row>
    <row r="529" spans="2:3" ht="17.25" customHeight="1">
      <c r="B529" s="2"/>
      <c r="C529" s="2"/>
    </row>
    <row r="530" spans="2:3" ht="17.25" customHeight="1">
      <c r="B530" s="2"/>
      <c r="C530" s="2"/>
    </row>
    <row r="531" spans="2:3" ht="17.25" customHeight="1">
      <c r="B531" s="2"/>
      <c r="C531" s="2"/>
    </row>
    <row r="532" spans="2:3" ht="17.25" customHeight="1">
      <c r="B532" s="2"/>
      <c r="C532" s="2"/>
    </row>
    <row r="533" spans="2:3" ht="17.25" customHeight="1">
      <c r="B533" s="2"/>
      <c r="C533" s="2"/>
    </row>
    <row r="534" spans="2:3" ht="17.25" customHeight="1">
      <c r="B534" s="2"/>
      <c r="C534" s="2"/>
    </row>
    <row r="535" spans="2:3" ht="17.25" customHeight="1">
      <c r="B535" s="2"/>
      <c r="C535" s="2"/>
    </row>
    <row r="536" spans="2:3" ht="17.25" customHeight="1">
      <c r="B536" s="2"/>
      <c r="C536" s="2"/>
    </row>
    <row r="537" spans="2:3" ht="17.25" customHeight="1">
      <c r="B537" s="2"/>
      <c r="C537" s="2"/>
    </row>
    <row r="538" spans="2:3" ht="17.25" customHeight="1">
      <c r="B538" s="2"/>
      <c r="C538" s="2"/>
    </row>
    <row r="539" spans="2:3" ht="17.25" customHeight="1">
      <c r="B539" s="2"/>
      <c r="C539" s="2"/>
    </row>
    <row r="540" spans="2:3" ht="17.25" customHeight="1">
      <c r="B540" s="2"/>
      <c r="C540" s="2"/>
    </row>
    <row r="541" spans="2:3" ht="17.25" customHeight="1">
      <c r="B541" s="2"/>
      <c r="C541" s="2"/>
    </row>
    <row r="542" spans="2:3" ht="17.25" customHeight="1">
      <c r="B542" s="2"/>
      <c r="C542" s="2"/>
    </row>
    <row r="543" spans="2:3" ht="17.25" customHeight="1">
      <c r="B543" s="2"/>
      <c r="C543" s="2"/>
    </row>
    <row r="544" spans="2:3" ht="17.25" customHeight="1">
      <c r="B544" s="2"/>
      <c r="C544" s="2"/>
    </row>
    <row r="545" spans="2:3" ht="17.25" customHeight="1">
      <c r="B545" s="2"/>
      <c r="C545" s="2"/>
    </row>
    <row r="546" spans="2:3" ht="17.25" customHeight="1">
      <c r="B546" s="2"/>
      <c r="C546" s="2"/>
    </row>
    <row r="547" spans="2:3" ht="17.25" customHeight="1">
      <c r="B547" s="2"/>
      <c r="C547" s="2"/>
    </row>
    <row r="548" spans="2:3" ht="17.25" customHeight="1">
      <c r="B548" s="2"/>
      <c r="C548" s="2"/>
    </row>
    <row r="549" spans="2:3" ht="17.25" customHeight="1">
      <c r="B549" s="2"/>
      <c r="C549" s="2"/>
    </row>
    <row r="550" spans="2:3" ht="17.25" customHeight="1">
      <c r="B550" s="2"/>
      <c r="C550" s="2"/>
    </row>
    <row r="551" spans="2:3" ht="17.25" customHeight="1">
      <c r="B551" s="2"/>
      <c r="C551" s="2"/>
    </row>
    <row r="552" spans="2:3" ht="17.25" customHeight="1">
      <c r="B552" s="2"/>
      <c r="C552" s="2"/>
    </row>
    <row r="553" spans="2:3" ht="17.25" customHeight="1">
      <c r="B553" s="2"/>
      <c r="C553" s="2"/>
    </row>
    <row r="554" spans="2:3" ht="17.25" customHeight="1">
      <c r="B554" s="2"/>
      <c r="C554" s="2"/>
    </row>
    <row r="555" spans="2:3" ht="17.25" customHeight="1">
      <c r="B555" s="2"/>
      <c r="C555" s="2"/>
    </row>
    <row r="556" spans="2:3" ht="17.25" customHeight="1">
      <c r="B556" s="2"/>
      <c r="C556" s="2"/>
    </row>
    <row r="557" spans="2:3" ht="17.25" customHeight="1">
      <c r="B557" s="2"/>
      <c r="C557" s="2"/>
    </row>
    <row r="558" spans="2:3" ht="17.25" customHeight="1">
      <c r="B558" s="2"/>
      <c r="C558" s="2"/>
    </row>
    <row r="559" spans="2:3" ht="17.25" customHeight="1">
      <c r="B559" s="2"/>
      <c r="C559" s="2"/>
    </row>
    <row r="560" spans="2:3" ht="17.25" customHeight="1">
      <c r="B560" s="2"/>
      <c r="C560" s="2"/>
    </row>
    <row r="561" spans="2:3" ht="17.25" customHeight="1">
      <c r="B561" s="2"/>
      <c r="C561" s="2"/>
    </row>
    <row r="562" spans="2:3" ht="17.25" customHeight="1">
      <c r="B562" s="2"/>
      <c r="C562" s="2"/>
    </row>
    <row r="563" spans="2:3" ht="17.25" customHeight="1">
      <c r="B563" s="2"/>
      <c r="C563" s="2"/>
    </row>
    <row r="564" spans="2:3" ht="17.25" customHeight="1">
      <c r="B564" s="2"/>
      <c r="C564" s="2"/>
    </row>
    <row r="565" spans="2:3" ht="17.25" customHeight="1">
      <c r="B565" s="2"/>
      <c r="C565" s="2"/>
    </row>
    <row r="566" spans="2:3" ht="17.25" customHeight="1">
      <c r="B566" s="2"/>
      <c r="C566" s="2"/>
    </row>
    <row r="567" spans="2:3" ht="17.25" customHeight="1">
      <c r="B567" s="2"/>
      <c r="C567" s="2"/>
    </row>
    <row r="568" spans="2:3" ht="17.25" customHeight="1">
      <c r="B568" s="2"/>
      <c r="C568" s="2"/>
    </row>
    <row r="569" spans="2:3" ht="17.25" customHeight="1">
      <c r="B569" s="2"/>
      <c r="C569" s="2"/>
    </row>
    <row r="570" spans="2:3" ht="17.25" customHeight="1">
      <c r="B570" s="2"/>
      <c r="C570" s="2"/>
    </row>
    <row r="571" spans="2:3" ht="17.25" customHeight="1">
      <c r="B571" s="2"/>
      <c r="C571" s="2"/>
    </row>
    <row r="572" spans="2:3" ht="17.25" customHeight="1">
      <c r="B572" s="2"/>
      <c r="C572" s="2"/>
    </row>
    <row r="573" spans="2:3" ht="17.25" customHeight="1">
      <c r="B573" s="2"/>
      <c r="C573" s="2"/>
    </row>
    <row r="574" spans="2:3" ht="17.25" customHeight="1">
      <c r="B574" s="2"/>
      <c r="C574" s="2"/>
    </row>
    <row r="575" spans="2:3" ht="17.25" customHeight="1">
      <c r="B575" s="2"/>
      <c r="C575" s="2"/>
    </row>
    <row r="576" spans="2:3" ht="17.25" customHeight="1">
      <c r="B576" s="2"/>
      <c r="C576" s="2"/>
    </row>
    <row r="577" spans="2:3" ht="17.25" customHeight="1">
      <c r="B577" s="2"/>
      <c r="C577" s="2"/>
    </row>
    <row r="578" spans="2:3" ht="17.25" customHeight="1">
      <c r="B578" s="2"/>
      <c r="C578" s="2"/>
    </row>
    <row r="579" spans="2:3" ht="17.25" customHeight="1">
      <c r="B579" s="2"/>
      <c r="C579" s="2"/>
    </row>
    <row r="580" spans="2:3" ht="17.25" customHeight="1">
      <c r="B580" s="2"/>
      <c r="C580" s="2"/>
    </row>
    <row r="581" spans="2:3" ht="17.25" customHeight="1">
      <c r="B581" s="2"/>
      <c r="C581" s="2"/>
    </row>
    <row r="582" spans="2:3" ht="17.25" customHeight="1">
      <c r="B582" s="2"/>
      <c r="C582" s="2"/>
    </row>
    <row r="583" spans="2:3" ht="17.25" customHeight="1">
      <c r="B583" s="2"/>
      <c r="C583" s="2"/>
    </row>
    <row r="584" spans="2:3" ht="17.25" customHeight="1">
      <c r="B584" s="2"/>
      <c r="C584" s="2"/>
    </row>
    <row r="585" spans="2:3" ht="17.25" customHeight="1">
      <c r="B585" s="2"/>
      <c r="C585" s="2"/>
    </row>
    <row r="586" spans="2:3" ht="17.25" customHeight="1">
      <c r="B586" s="2"/>
      <c r="C586" s="2"/>
    </row>
    <row r="587" spans="2:3" ht="17.25" customHeight="1">
      <c r="B587" s="2"/>
      <c r="C587" s="2"/>
    </row>
    <row r="588" spans="2:3" ht="17.25" customHeight="1">
      <c r="B588" s="2"/>
      <c r="C588" s="2"/>
    </row>
    <row r="589" spans="2:3" ht="17.25" customHeight="1">
      <c r="B589" s="2"/>
      <c r="C589" s="2"/>
    </row>
    <row r="590" spans="2:3" ht="17.25" customHeight="1">
      <c r="B590" s="2"/>
      <c r="C590" s="2"/>
    </row>
    <row r="591" spans="2:3" ht="17.25" customHeight="1">
      <c r="B591" s="2"/>
      <c r="C591" s="2"/>
    </row>
    <row r="592" spans="2:3" ht="17.25" customHeight="1">
      <c r="B592" s="2"/>
      <c r="C592" s="2"/>
    </row>
    <row r="593" spans="2:3" ht="17.25" customHeight="1">
      <c r="B593" s="2"/>
      <c r="C593" s="2"/>
    </row>
    <row r="594" spans="2:3" ht="17.25" customHeight="1">
      <c r="B594" s="2"/>
      <c r="C594" s="2"/>
    </row>
    <row r="595" spans="2:3" ht="17.25" customHeight="1">
      <c r="B595" s="2"/>
      <c r="C595" s="2"/>
    </row>
    <row r="596" spans="2:3" ht="17.25" customHeight="1">
      <c r="B596" s="2"/>
      <c r="C596" s="2"/>
    </row>
    <row r="597" spans="2:3" ht="17.25" customHeight="1">
      <c r="B597" s="2"/>
      <c r="C597" s="2"/>
    </row>
    <row r="598" spans="2:3" ht="17.25" customHeight="1">
      <c r="B598" s="2"/>
      <c r="C598" s="2"/>
    </row>
    <row r="599" spans="2:3" ht="17.25" customHeight="1">
      <c r="B599" s="2"/>
      <c r="C599" s="2"/>
    </row>
    <row r="600" spans="2:3" ht="17.25" customHeight="1">
      <c r="B600" s="2"/>
      <c r="C600" s="2"/>
    </row>
    <row r="601" spans="2:3" ht="17.25" customHeight="1">
      <c r="B601" s="2"/>
      <c r="C601" s="2"/>
    </row>
    <row r="602" spans="2:3" ht="17.25" customHeight="1">
      <c r="B602" s="2"/>
      <c r="C602" s="2"/>
    </row>
    <row r="603" spans="2:3" ht="17.25" customHeight="1">
      <c r="B603" s="2"/>
      <c r="C603" s="2"/>
    </row>
    <row r="604" spans="2:3" ht="17.25" customHeight="1">
      <c r="B604" s="2"/>
      <c r="C604" s="2"/>
    </row>
    <row r="605" spans="2:3" ht="17.25" customHeight="1">
      <c r="B605" s="2"/>
      <c r="C605" s="2"/>
    </row>
    <row r="606" spans="2:3" ht="17.25" customHeight="1">
      <c r="B606" s="2"/>
      <c r="C606" s="2"/>
    </row>
    <row r="607" spans="2:3" ht="17.25" customHeight="1">
      <c r="B607" s="2"/>
      <c r="C607" s="2"/>
    </row>
    <row r="608" spans="2:3" ht="17.25" customHeight="1">
      <c r="B608" s="2"/>
      <c r="C608" s="2"/>
    </row>
    <row r="609" spans="2:3" ht="17.25" customHeight="1">
      <c r="B609" s="2"/>
      <c r="C609" s="2"/>
    </row>
    <row r="610" spans="2:3" ht="17.25" customHeight="1">
      <c r="B610" s="2"/>
      <c r="C610" s="2"/>
    </row>
    <row r="611" spans="2:3" ht="17.25" customHeight="1">
      <c r="B611" s="2"/>
      <c r="C611" s="2"/>
    </row>
    <row r="612" spans="2:3" ht="17.25" customHeight="1">
      <c r="B612" s="2"/>
      <c r="C612" s="2"/>
    </row>
    <row r="613" spans="2:3" ht="17.25" customHeight="1">
      <c r="B613" s="2"/>
      <c r="C613" s="2"/>
    </row>
    <row r="614" spans="2:3" ht="17.25" customHeight="1">
      <c r="B614" s="2"/>
      <c r="C614" s="2"/>
    </row>
    <row r="615" spans="2:3" ht="17.25" customHeight="1">
      <c r="B615" s="2"/>
      <c r="C615" s="2"/>
    </row>
    <row r="616" spans="2:3" ht="17.25" customHeight="1">
      <c r="B616" s="2"/>
      <c r="C616" s="2"/>
    </row>
    <row r="617" spans="2:3" ht="17.25" customHeight="1">
      <c r="B617" s="2"/>
      <c r="C617" s="2"/>
    </row>
    <row r="618" spans="2:3" ht="17.25" customHeight="1">
      <c r="B618" s="2"/>
      <c r="C618" s="2"/>
    </row>
    <row r="619" spans="2:3" ht="17.25" customHeight="1">
      <c r="B619" s="2"/>
      <c r="C619" s="2"/>
    </row>
    <row r="620" spans="2:3" ht="17.25" customHeight="1">
      <c r="B620" s="2"/>
      <c r="C620" s="2"/>
    </row>
    <row r="621" spans="2:3" ht="17.25" customHeight="1">
      <c r="B621" s="2"/>
      <c r="C621" s="2"/>
    </row>
    <row r="622" spans="2:3" ht="17.25" customHeight="1">
      <c r="B622" s="2"/>
      <c r="C622" s="2"/>
    </row>
    <row r="623" spans="2:3" ht="17.25" customHeight="1">
      <c r="B623" s="2"/>
      <c r="C623" s="2"/>
    </row>
    <row r="624" spans="2:3" ht="17.25" customHeight="1">
      <c r="B624" s="2"/>
      <c r="C624" s="2"/>
    </row>
    <row r="625" spans="2:3" ht="17.25" customHeight="1">
      <c r="B625" s="2"/>
      <c r="C625" s="2"/>
    </row>
    <row r="626" spans="2:3" ht="17.25" customHeight="1">
      <c r="B626" s="2"/>
      <c r="C626" s="2"/>
    </row>
    <row r="627" spans="2:3" ht="17.25" customHeight="1">
      <c r="B627" s="2"/>
      <c r="C627" s="2"/>
    </row>
    <row r="628" spans="2:3" ht="17.25" customHeight="1">
      <c r="B628" s="2"/>
      <c r="C628" s="2"/>
    </row>
    <row r="629" spans="2:3" ht="17.25" customHeight="1">
      <c r="B629" s="2"/>
      <c r="C629" s="2"/>
    </row>
    <row r="630" spans="2:3" ht="17.25" customHeight="1">
      <c r="B630" s="2"/>
      <c r="C630" s="2"/>
    </row>
    <row r="631" spans="2:3" ht="17.25" customHeight="1">
      <c r="B631" s="2"/>
      <c r="C631" s="2"/>
    </row>
    <row r="632" spans="2:3" ht="17.25" customHeight="1">
      <c r="B632" s="2"/>
      <c r="C632" s="2"/>
    </row>
    <row r="633" spans="2:3" ht="17.25" customHeight="1">
      <c r="B633" s="2"/>
      <c r="C633" s="2"/>
    </row>
    <row r="634" spans="2:3" ht="17.25" customHeight="1">
      <c r="B634" s="2"/>
      <c r="C634" s="2"/>
    </row>
    <row r="635" spans="2:3" ht="17.25" customHeight="1">
      <c r="B635" s="2"/>
      <c r="C635" s="2"/>
    </row>
    <row r="636" spans="2:3" ht="17.25" customHeight="1">
      <c r="B636" s="2"/>
      <c r="C636" s="2"/>
    </row>
    <row r="637" spans="2:3" ht="17.25" customHeight="1">
      <c r="B637" s="2"/>
      <c r="C637" s="2"/>
    </row>
    <row r="638" spans="2:3" ht="17.25" customHeight="1">
      <c r="B638" s="2"/>
      <c r="C638" s="2"/>
    </row>
    <row r="639" spans="2:3" ht="17.25" customHeight="1">
      <c r="B639" s="2"/>
      <c r="C639" s="2"/>
    </row>
    <row r="640" spans="2:3" ht="17.25" customHeight="1">
      <c r="B640" s="2"/>
      <c r="C640" s="2"/>
    </row>
    <row r="641" spans="2:3" ht="17.25" customHeight="1">
      <c r="B641" s="2"/>
      <c r="C641" s="2"/>
    </row>
    <row r="642" spans="2:3" ht="17.25" customHeight="1">
      <c r="B642" s="2"/>
      <c r="C642" s="2"/>
    </row>
    <row r="643" spans="2:3" ht="17.25" customHeight="1">
      <c r="B643" s="2"/>
      <c r="C643" s="2"/>
    </row>
    <row r="644" spans="2:3" ht="17.25" customHeight="1">
      <c r="B644" s="2"/>
      <c r="C644" s="2"/>
    </row>
    <row r="645" spans="2:3" ht="17.25" customHeight="1">
      <c r="B645" s="2"/>
      <c r="C645" s="2"/>
    </row>
    <row r="646" spans="2:3" ht="17.25" customHeight="1">
      <c r="B646" s="2"/>
      <c r="C646" s="2"/>
    </row>
    <row r="647" spans="2:3" ht="17.25" customHeight="1">
      <c r="B647" s="2"/>
      <c r="C647" s="2"/>
    </row>
    <row r="648" spans="2:3" ht="17.25" customHeight="1">
      <c r="B648" s="2"/>
      <c r="C648" s="2"/>
    </row>
    <row r="649" spans="2:3" ht="17.25" customHeight="1">
      <c r="B649" s="2"/>
      <c r="C649" s="2"/>
    </row>
    <row r="650" spans="2:3" ht="17.25" customHeight="1">
      <c r="B650" s="2"/>
      <c r="C650" s="2"/>
    </row>
    <row r="651" spans="2:3" ht="17.25" customHeight="1">
      <c r="B651" s="2"/>
      <c r="C651" s="2"/>
    </row>
    <row r="652" spans="2:3" ht="17.25" customHeight="1">
      <c r="B652" s="2"/>
      <c r="C652" s="2"/>
    </row>
    <row r="653" spans="2:3" ht="17.25" customHeight="1">
      <c r="B653" s="2"/>
      <c r="C653" s="2"/>
    </row>
    <row r="654" spans="2:3" ht="17.25" customHeight="1">
      <c r="B654" s="2"/>
      <c r="C654" s="2"/>
    </row>
    <row r="655" spans="2:3" ht="17.25" customHeight="1">
      <c r="B655" s="2"/>
      <c r="C655" s="2"/>
    </row>
    <row r="656" spans="2:3" ht="17.25" customHeight="1">
      <c r="B656" s="2"/>
      <c r="C656" s="2"/>
    </row>
    <row r="657" spans="2:3" ht="17.25" customHeight="1">
      <c r="B657" s="2"/>
      <c r="C657" s="2"/>
    </row>
    <row r="658" spans="2:3" ht="17.25" customHeight="1">
      <c r="B658" s="2"/>
      <c r="C658" s="2"/>
    </row>
    <row r="659" spans="2:3" ht="17.25" customHeight="1">
      <c r="B659" s="2"/>
      <c r="C659" s="2"/>
    </row>
    <row r="660" spans="2:3" ht="17.25" customHeight="1">
      <c r="B660" s="2"/>
      <c r="C660" s="2"/>
    </row>
    <row r="661" spans="2:3" ht="17.25" customHeight="1">
      <c r="B661" s="2"/>
      <c r="C661" s="2"/>
    </row>
    <row r="662" spans="2:3" ht="17.25" customHeight="1">
      <c r="B662" s="2"/>
      <c r="C662" s="2"/>
    </row>
    <row r="663" spans="2:3" ht="17.25" customHeight="1">
      <c r="B663" s="2"/>
      <c r="C663" s="2"/>
    </row>
    <row r="664" spans="2:3" ht="17.25" customHeight="1">
      <c r="B664" s="2"/>
      <c r="C664" s="2"/>
    </row>
    <row r="665" spans="2:3" ht="17.25" customHeight="1">
      <c r="B665" s="2"/>
      <c r="C665" s="2"/>
    </row>
    <row r="666" spans="2:3" ht="17.25" customHeight="1">
      <c r="B666" s="2"/>
      <c r="C666" s="2"/>
    </row>
    <row r="667" spans="2:3" ht="17.25" customHeight="1">
      <c r="B667" s="2"/>
      <c r="C667" s="2"/>
    </row>
    <row r="668" spans="2:3" ht="17.25" customHeight="1">
      <c r="B668" s="2"/>
      <c r="C668" s="2"/>
    </row>
    <row r="669" spans="2:3" ht="17.25" customHeight="1">
      <c r="B669" s="2"/>
      <c r="C669" s="2"/>
    </row>
    <row r="670" spans="2:3" ht="17.25" customHeight="1">
      <c r="B670" s="2"/>
      <c r="C670" s="2"/>
    </row>
    <row r="671" spans="2:3" ht="17.25" customHeight="1">
      <c r="B671" s="2"/>
      <c r="C671" s="2"/>
    </row>
    <row r="672" spans="2:3" ht="17.25" customHeight="1">
      <c r="B672" s="2"/>
      <c r="C672" s="2"/>
    </row>
    <row r="673" spans="2:3" ht="17.25" customHeight="1">
      <c r="B673" s="2"/>
      <c r="C673" s="2"/>
    </row>
    <row r="674" spans="2:3" ht="17.25" customHeight="1">
      <c r="B674" s="2"/>
      <c r="C674" s="2"/>
    </row>
    <row r="675" spans="2:3" ht="17.25" customHeight="1">
      <c r="B675" s="2"/>
      <c r="C675" s="2"/>
    </row>
    <row r="676" spans="2:3" ht="17.25" customHeight="1">
      <c r="B676" s="2"/>
      <c r="C676" s="2"/>
    </row>
    <row r="677" spans="2:3" ht="17.25" customHeight="1">
      <c r="B677" s="2"/>
      <c r="C677" s="2"/>
    </row>
    <row r="678" spans="2:3" ht="17.25" customHeight="1">
      <c r="B678" s="2"/>
      <c r="C678" s="2"/>
    </row>
    <row r="679" spans="2:3" ht="17.25" customHeight="1">
      <c r="B679" s="2"/>
      <c r="C679" s="2"/>
    </row>
    <row r="680" spans="2:3" ht="17.25" customHeight="1">
      <c r="B680" s="2"/>
      <c r="C680" s="2"/>
    </row>
    <row r="681" spans="2:3" ht="17.25" customHeight="1">
      <c r="B681" s="2"/>
      <c r="C681" s="2"/>
    </row>
    <row r="682" spans="2:3" ht="17.25" customHeight="1">
      <c r="B682" s="2"/>
      <c r="C682" s="2"/>
    </row>
    <row r="683" spans="2:3" ht="17.25" customHeight="1">
      <c r="B683" s="2"/>
      <c r="C683" s="2"/>
    </row>
    <row r="684" spans="2:3" ht="17.25" customHeight="1">
      <c r="B684" s="2"/>
      <c r="C684" s="2"/>
    </row>
    <row r="685" spans="2:3" ht="17.25" customHeight="1">
      <c r="B685" s="2"/>
      <c r="C685" s="2"/>
    </row>
    <row r="686" spans="2:3" ht="17.25" customHeight="1">
      <c r="B686" s="2"/>
      <c r="C686" s="2"/>
    </row>
    <row r="687" spans="2:3" ht="17.25" customHeight="1">
      <c r="B687" s="2"/>
      <c r="C687" s="2"/>
    </row>
    <row r="688" spans="2:3" ht="17.25" customHeight="1">
      <c r="B688" s="2"/>
      <c r="C688" s="2"/>
    </row>
    <row r="689" spans="2:3" ht="17.25" customHeight="1">
      <c r="B689" s="2"/>
      <c r="C689" s="2"/>
    </row>
    <row r="690" spans="2:3" ht="17.25" customHeight="1">
      <c r="B690" s="2"/>
      <c r="C690" s="2"/>
    </row>
    <row r="691" spans="2:3" ht="17.25" customHeight="1">
      <c r="B691" s="2"/>
      <c r="C691" s="2"/>
    </row>
    <row r="692" spans="2:3" ht="17.25" customHeight="1">
      <c r="B692" s="2"/>
      <c r="C692" s="2"/>
    </row>
    <row r="693" spans="2:3" ht="17.25" customHeight="1">
      <c r="B693" s="2"/>
      <c r="C693" s="2"/>
    </row>
    <row r="694" spans="2:3" ht="17.25" customHeight="1">
      <c r="B694" s="2"/>
      <c r="C694" s="2"/>
    </row>
    <row r="695" spans="2:3" ht="17.25" customHeight="1">
      <c r="B695" s="2"/>
      <c r="C695" s="2"/>
    </row>
    <row r="696" spans="2:3" ht="17.25" customHeight="1">
      <c r="B696" s="2"/>
      <c r="C696" s="2"/>
    </row>
    <row r="697" spans="2:3" ht="17.25" customHeight="1">
      <c r="B697" s="2"/>
      <c r="C697" s="2"/>
    </row>
    <row r="698" spans="2:3" ht="17.25" customHeight="1">
      <c r="B698" s="2"/>
      <c r="C698" s="2"/>
    </row>
    <row r="699" spans="2:3" ht="17.25" customHeight="1">
      <c r="B699" s="2"/>
      <c r="C699" s="2"/>
    </row>
    <row r="700" spans="2:3" ht="17.25" customHeight="1">
      <c r="B700" s="2"/>
      <c r="C700" s="2"/>
    </row>
    <row r="701" spans="2:3" ht="17.25" customHeight="1">
      <c r="B701" s="2"/>
      <c r="C701" s="2"/>
    </row>
    <row r="702" spans="2:3" ht="17.25" customHeight="1">
      <c r="B702" s="2"/>
      <c r="C702" s="2"/>
    </row>
    <row r="703" spans="2:3" ht="17.25" customHeight="1">
      <c r="B703" s="2"/>
      <c r="C703" s="2"/>
    </row>
    <row r="704" spans="2:3" ht="17.25" customHeight="1">
      <c r="B704" s="2"/>
      <c r="C704" s="2"/>
    </row>
    <row r="705" spans="2:3" ht="17.25" customHeight="1">
      <c r="B705" s="2"/>
      <c r="C705" s="2"/>
    </row>
    <row r="706" spans="2:3" ht="17.25" customHeight="1">
      <c r="B706" s="2"/>
      <c r="C706" s="2"/>
    </row>
    <row r="707" spans="2:3" ht="17.25" customHeight="1">
      <c r="B707" s="2"/>
      <c r="C707" s="2"/>
    </row>
    <row r="708" spans="2:3" ht="17.25" customHeight="1">
      <c r="B708" s="2"/>
      <c r="C708" s="2"/>
    </row>
    <row r="709" spans="2:3" ht="17.25" customHeight="1">
      <c r="B709" s="2"/>
      <c r="C709" s="2"/>
    </row>
    <row r="710" spans="2:3" ht="17.25" customHeight="1">
      <c r="B710" s="2"/>
      <c r="C710" s="2"/>
    </row>
    <row r="711" spans="2:3" ht="17.25" customHeight="1">
      <c r="B711" s="2"/>
      <c r="C711" s="2"/>
    </row>
    <row r="712" spans="2:3" ht="17.25" customHeight="1">
      <c r="B712" s="2"/>
      <c r="C712" s="2"/>
    </row>
    <row r="713" spans="2:3" ht="17.25" customHeight="1">
      <c r="B713" s="2"/>
      <c r="C713" s="2"/>
    </row>
    <row r="714" spans="2:3" ht="17.25" customHeight="1">
      <c r="B714" s="2"/>
      <c r="C714" s="2"/>
    </row>
    <row r="715" spans="2:3" ht="17.25" customHeight="1">
      <c r="B715" s="2"/>
      <c r="C715" s="2"/>
    </row>
    <row r="716" spans="2:3" ht="17.25" customHeight="1">
      <c r="B716" s="2"/>
      <c r="C716" s="2"/>
    </row>
    <row r="717" spans="2:3" ht="17.25" customHeight="1">
      <c r="B717" s="2"/>
      <c r="C717" s="2"/>
    </row>
    <row r="718" spans="2:3" ht="17.25" customHeight="1">
      <c r="B718" s="2"/>
      <c r="C718" s="2"/>
    </row>
    <row r="719" spans="2:3" ht="17.25" customHeight="1">
      <c r="B719" s="2"/>
      <c r="C719" s="2"/>
    </row>
    <row r="720" spans="2:3" ht="17.25" customHeight="1">
      <c r="B720" s="2"/>
      <c r="C720" s="2"/>
    </row>
    <row r="721" spans="2:3" ht="17.25" customHeight="1">
      <c r="B721" s="2"/>
      <c r="C721" s="2"/>
    </row>
    <row r="722" spans="2:3" ht="17.25" customHeight="1">
      <c r="B722" s="2"/>
      <c r="C722" s="2"/>
    </row>
    <row r="723" spans="2:3" ht="17.25" customHeight="1">
      <c r="B723" s="2"/>
      <c r="C723" s="2"/>
    </row>
    <row r="724" spans="2:3" ht="17.25" customHeight="1">
      <c r="B724" s="2"/>
      <c r="C724" s="2"/>
    </row>
    <row r="725" spans="2:3" ht="17.25" customHeight="1">
      <c r="B725" s="2"/>
      <c r="C725" s="2"/>
    </row>
    <row r="726" spans="2:3" ht="17.25" customHeight="1">
      <c r="B726" s="2"/>
      <c r="C726" s="2"/>
    </row>
    <row r="727" spans="2:3" ht="17.25" customHeight="1">
      <c r="B727" s="2"/>
      <c r="C727" s="2"/>
    </row>
    <row r="728" spans="2:3" ht="17.25" customHeight="1">
      <c r="B728" s="2"/>
      <c r="C728" s="2"/>
    </row>
    <row r="729" spans="2:3" ht="17.25" customHeight="1">
      <c r="B729" s="2"/>
      <c r="C729" s="2"/>
    </row>
    <row r="730" spans="2:3" ht="17.25" customHeight="1">
      <c r="B730" s="2"/>
      <c r="C730" s="2"/>
    </row>
    <row r="731" spans="2:3" ht="17.25" customHeight="1">
      <c r="B731" s="2"/>
      <c r="C731" s="2"/>
    </row>
    <row r="732" spans="2:3" ht="17.25" customHeight="1">
      <c r="B732" s="2"/>
      <c r="C732" s="2"/>
    </row>
    <row r="733" spans="2:3" ht="17.25" customHeight="1">
      <c r="B733" s="2"/>
      <c r="C733" s="2"/>
    </row>
    <row r="734" spans="2:3" ht="17.25" customHeight="1">
      <c r="B734" s="2"/>
      <c r="C734" s="2"/>
    </row>
    <row r="735" spans="2:3" ht="17.25" customHeight="1">
      <c r="B735" s="2"/>
      <c r="C735" s="2"/>
    </row>
    <row r="736" spans="2:3" ht="17.25" customHeight="1">
      <c r="B736" s="2"/>
      <c r="C736" s="2"/>
    </row>
    <row r="737" spans="2:3" ht="17.25" customHeight="1">
      <c r="B737" s="2"/>
      <c r="C737" s="2"/>
    </row>
    <row r="738" spans="2:3" ht="17.25" customHeight="1">
      <c r="B738" s="2"/>
      <c r="C738" s="2"/>
    </row>
    <row r="739" spans="2:3" ht="17.25" customHeight="1">
      <c r="B739" s="2"/>
      <c r="C739" s="2"/>
    </row>
    <row r="740" spans="2:3" ht="17.25" customHeight="1">
      <c r="B740" s="2"/>
      <c r="C740" s="2"/>
    </row>
    <row r="741" spans="2:3" ht="17.25" customHeight="1">
      <c r="B741" s="2"/>
      <c r="C741" s="2"/>
    </row>
    <row r="742" spans="2:3" ht="17.25" customHeight="1">
      <c r="B742" s="2"/>
      <c r="C742" s="2"/>
    </row>
    <row r="743" spans="2:3" ht="17.25" customHeight="1">
      <c r="B743" s="2"/>
      <c r="C743" s="2"/>
    </row>
    <row r="744" spans="2:3" ht="17.25" customHeight="1">
      <c r="B744" s="2"/>
      <c r="C744" s="2"/>
    </row>
    <row r="745" spans="2:3" ht="17.25" customHeight="1">
      <c r="B745" s="2"/>
      <c r="C745" s="2"/>
    </row>
    <row r="746" spans="2:3" ht="17.25" customHeight="1">
      <c r="B746" s="2"/>
      <c r="C746" s="2"/>
    </row>
    <row r="747" spans="2:3" ht="17.25" customHeight="1">
      <c r="B747" s="2"/>
      <c r="C747" s="2"/>
    </row>
    <row r="748" spans="2:3" ht="17.25" customHeight="1">
      <c r="B748" s="2"/>
      <c r="C748" s="2"/>
    </row>
    <row r="749" spans="2:3" ht="17.25" customHeight="1">
      <c r="B749" s="2"/>
      <c r="C749" s="2"/>
    </row>
    <row r="750" spans="2:3" ht="17.25" customHeight="1">
      <c r="B750" s="2"/>
      <c r="C750" s="2"/>
    </row>
    <row r="751" spans="2:3" ht="17.25" customHeight="1">
      <c r="B751" s="2"/>
      <c r="C751" s="2"/>
    </row>
    <row r="752" spans="2:3" ht="17.25" customHeight="1">
      <c r="B752" s="2"/>
      <c r="C752" s="2"/>
    </row>
    <row r="753" spans="2:3" ht="17.25" customHeight="1">
      <c r="B753" s="2"/>
      <c r="C753" s="2"/>
    </row>
    <row r="754" spans="2:3" ht="17.25" customHeight="1">
      <c r="B754" s="2"/>
      <c r="C754" s="2"/>
    </row>
    <row r="755" spans="2:3" ht="17.25" customHeight="1">
      <c r="B755" s="2"/>
      <c r="C755" s="2"/>
    </row>
    <row r="756" spans="2:3" ht="17.25" customHeight="1">
      <c r="B756" s="2"/>
      <c r="C756" s="2"/>
    </row>
    <row r="757" spans="2:3" ht="17.25" customHeight="1">
      <c r="B757" s="2"/>
      <c r="C757" s="2"/>
    </row>
    <row r="758" spans="2:3" ht="17.25" customHeight="1">
      <c r="B758" s="2"/>
      <c r="C758" s="2"/>
    </row>
    <row r="759" spans="2:3" ht="17.25" customHeight="1">
      <c r="B759" s="2"/>
      <c r="C759" s="2"/>
    </row>
    <row r="760" spans="2:3" ht="17.25" customHeight="1">
      <c r="B760" s="2"/>
      <c r="C760" s="2"/>
    </row>
    <row r="761" spans="2:3" ht="17.25" customHeight="1">
      <c r="B761" s="2"/>
      <c r="C761" s="2"/>
    </row>
    <row r="762" spans="2:3" ht="17.25" customHeight="1">
      <c r="B762" s="2"/>
      <c r="C762" s="2"/>
    </row>
    <row r="763" spans="2:3" ht="17.25" customHeight="1">
      <c r="B763" s="2"/>
      <c r="C763" s="2"/>
    </row>
    <row r="764" spans="2:3" ht="17.25" customHeight="1">
      <c r="B764" s="2"/>
      <c r="C764" s="2"/>
    </row>
    <row r="765" spans="2:3" ht="17.25" customHeight="1">
      <c r="B765" s="2"/>
      <c r="C765" s="2"/>
    </row>
    <row r="766" spans="2:3" ht="17.25" customHeight="1">
      <c r="B766" s="2"/>
      <c r="C766" s="2"/>
    </row>
    <row r="767" spans="2:3" ht="17.25" customHeight="1">
      <c r="B767" s="2"/>
      <c r="C767" s="2"/>
    </row>
    <row r="768" spans="2:3" ht="17.25" customHeight="1">
      <c r="B768" s="2"/>
      <c r="C768" s="2"/>
    </row>
    <row r="769" spans="2:3" ht="17.25" customHeight="1">
      <c r="B769" s="2"/>
      <c r="C769" s="2"/>
    </row>
    <row r="770" spans="2:3" ht="17.25" customHeight="1">
      <c r="B770" s="2"/>
      <c r="C770" s="2"/>
    </row>
    <row r="771" spans="2:3" ht="17.25" customHeight="1">
      <c r="B771" s="2"/>
      <c r="C771" s="2"/>
    </row>
    <row r="772" spans="2:3" ht="17.25" customHeight="1">
      <c r="B772" s="2"/>
      <c r="C772" s="2"/>
    </row>
    <row r="773" spans="2:3" ht="17.25" customHeight="1">
      <c r="B773" s="2"/>
      <c r="C773" s="2"/>
    </row>
    <row r="774" spans="2:3" ht="17.25" customHeight="1">
      <c r="B774" s="2"/>
      <c r="C774" s="2"/>
    </row>
    <row r="775" spans="2:3" ht="17.25" customHeight="1">
      <c r="B775" s="2"/>
      <c r="C775" s="2"/>
    </row>
    <row r="776" spans="2:3" ht="17.25" customHeight="1">
      <c r="B776" s="2"/>
      <c r="C776" s="2"/>
    </row>
    <row r="777" spans="2:3" ht="17.25" customHeight="1">
      <c r="B777" s="2"/>
      <c r="C777" s="2"/>
    </row>
    <row r="778" spans="2:3" ht="17.25" customHeight="1">
      <c r="B778" s="2"/>
      <c r="C778" s="2"/>
    </row>
    <row r="779" spans="2:3" ht="17.25" customHeight="1">
      <c r="B779" s="2"/>
      <c r="C779" s="2"/>
    </row>
    <row r="780" spans="2:3" ht="17.25" customHeight="1">
      <c r="B780" s="2"/>
      <c r="C780" s="2"/>
    </row>
    <row r="781" spans="2:3" ht="17.25" customHeight="1">
      <c r="B781" s="2"/>
      <c r="C781" s="2"/>
    </row>
    <row r="782" spans="2:3" ht="17.25" customHeight="1">
      <c r="B782" s="2"/>
      <c r="C782" s="2"/>
    </row>
    <row r="783" spans="2:3" ht="17.25" customHeight="1">
      <c r="B783" s="2"/>
      <c r="C783" s="2"/>
    </row>
    <row r="784" spans="2:3" ht="17.25" customHeight="1">
      <c r="B784" s="2"/>
      <c r="C784" s="2"/>
    </row>
    <row r="785" spans="2:3" ht="17.25" customHeight="1">
      <c r="B785" s="2"/>
      <c r="C785" s="2"/>
    </row>
    <row r="786" spans="2:3" ht="17.25" customHeight="1">
      <c r="B786" s="2"/>
      <c r="C786" s="2"/>
    </row>
    <row r="787" spans="2:3" ht="17.25" customHeight="1">
      <c r="B787" s="2"/>
      <c r="C787" s="2"/>
    </row>
    <row r="788" spans="2:3" ht="17.25" customHeight="1">
      <c r="B788" s="2"/>
      <c r="C788" s="2"/>
    </row>
    <row r="789" spans="2:3" ht="17.25" customHeight="1">
      <c r="B789" s="2"/>
      <c r="C789" s="2"/>
    </row>
    <row r="790" spans="2:3" ht="17.25" customHeight="1">
      <c r="B790" s="2"/>
      <c r="C790" s="2"/>
    </row>
    <row r="791" spans="2:3" ht="17.25" customHeight="1">
      <c r="B791" s="2"/>
      <c r="C791" s="2"/>
    </row>
    <row r="792" spans="2:3" ht="17.25" customHeight="1">
      <c r="B792" s="2"/>
      <c r="C792" s="2"/>
    </row>
    <row r="793" spans="2:3" ht="17.25" customHeight="1">
      <c r="B793" s="2"/>
      <c r="C793" s="2"/>
    </row>
    <row r="794" spans="2:3" ht="17.25" customHeight="1">
      <c r="B794" s="2"/>
      <c r="C794" s="2"/>
    </row>
    <row r="795" spans="2:3" ht="17.25" customHeight="1">
      <c r="B795" s="2"/>
      <c r="C795" s="2"/>
    </row>
    <row r="796" spans="2:3" ht="17.25" customHeight="1">
      <c r="B796" s="2"/>
      <c r="C796" s="2"/>
    </row>
    <row r="797" spans="2:3" ht="17.25" customHeight="1">
      <c r="B797" s="2"/>
      <c r="C797" s="2"/>
    </row>
    <row r="798" spans="2:3" ht="17.25" customHeight="1">
      <c r="B798" s="2"/>
      <c r="C798" s="2"/>
    </row>
    <row r="799" spans="2:3" ht="17.25" customHeight="1">
      <c r="B799" s="2"/>
      <c r="C799" s="2"/>
    </row>
    <row r="800" spans="2:3" ht="17.25" customHeight="1">
      <c r="B800" s="2"/>
      <c r="C800" s="2"/>
    </row>
    <row r="801" spans="2:3" ht="17.25" customHeight="1">
      <c r="B801" s="2"/>
      <c r="C801" s="2"/>
    </row>
    <row r="802" spans="2:3" ht="17.25" customHeight="1">
      <c r="B802" s="2"/>
      <c r="C802" s="2"/>
    </row>
    <row r="803" spans="2:3" ht="17.25" customHeight="1">
      <c r="B803" s="2"/>
      <c r="C803" s="2"/>
    </row>
    <row r="804" spans="2:3" ht="17.25" customHeight="1">
      <c r="B804" s="2"/>
      <c r="C804" s="2"/>
    </row>
    <row r="805" spans="2:3" ht="17.25" customHeight="1">
      <c r="B805" s="2"/>
      <c r="C805" s="2"/>
    </row>
    <row r="806" spans="2:3" ht="17.25" customHeight="1">
      <c r="B806" s="2"/>
      <c r="C806" s="2"/>
    </row>
    <row r="807" spans="2:3" ht="17.25" customHeight="1">
      <c r="B807" s="2"/>
      <c r="C807" s="2"/>
    </row>
    <row r="808" spans="2:3" ht="17.25" customHeight="1">
      <c r="B808" s="2"/>
      <c r="C808" s="2"/>
    </row>
    <row r="809" spans="2:3" ht="17.25" customHeight="1">
      <c r="B809" s="2"/>
      <c r="C809" s="2"/>
    </row>
    <row r="810" spans="2:3" ht="17.25" customHeight="1">
      <c r="B810" s="2"/>
      <c r="C810" s="2"/>
    </row>
    <row r="811" spans="2:3" ht="17.25" customHeight="1">
      <c r="B811" s="2"/>
      <c r="C811" s="2"/>
    </row>
    <row r="812" spans="2:3" ht="17.25" customHeight="1">
      <c r="B812" s="2"/>
      <c r="C812" s="2"/>
    </row>
    <row r="813" spans="2:3" ht="17.25" customHeight="1">
      <c r="B813" s="2"/>
      <c r="C813" s="2"/>
    </row>
    <row r="814" spans="2:3" ht="17.25" customHeight="1">
      <c r="B814" s="2"/>
      <c r="C814" s="2"/>
    </row>
    <row r="815" spans="2:3" ht="17.25" customHeight="1">
      <c r="B815" s="2"/>
      <c r="C815" s="2"/>
    </row>
    <row r="816" spans="2:3" ht="17.25" customHeight="1">
      <c r="B816" s="2"/>
      <c r="C816" s="2"/>
    </row>
    <row r="817" spans="2:3" ht="17.25" customHeight="1">
      <c r="B817" s="2"/>
      <c r="C817" s="2"/>
    </row>
    <row r="818" spans="2:3" ht="17.25" customHeight="1">
      <c r="B818" s="2"/>
      <c r="C818" s="2"/>
    </row>
    <row r="819" spans="2:3" ht="17.25" customHeight="1">
      <c r="B819" s="2"/>
      <c r="C819" s="2"/>
    </row>
    <row r="820" spans="2:3" ht="17.25" customHeight="1">
      <c r="B820" s="2"/>
      <c r="C820" s="2"/>
    </row>
    <row r="821" spans="2:3" ht="17.25" customHeight="1">
      <c r="B821" s="2"/>
      <c r="C821" s="2"/>
    </row>
    <row r="822" spans="2:3" ht="17.25" customHeight="1">
      <c r="B822" s="2"/>
      <c r="C822" s="2"/>
    </row>
    <row r="823" spans="2:3" ht="17.25" customHeight="1">
      <c r="B823" s="2"/>
      <c r="C823" s="2"/>
    </row>
    <row r="824" spans="2:3" ht="17.25" customHeight="1">
      <c r="B824" s="2"/>
      <c r="C824" s="2"/>
    </row>
    <row r="825" spans="2:3" ht="17.25" customHeight="1">
      <c r="B825" s="2"/>
      <c r="C825" s="2"/>
    </row>
    <row r="826" spans="2:3" ht="17.25" customHeight="1">
      <c r="B826" s="2"/>
      <c r="C826" s="2"/>
    </row>
    <row r="827" spans="2:3" ht="17.25" customHeight="1">
      <c r="B827" s="2"/>
      <c r="C827" s="2"/>
    </row>
    <row r="828" spans="2:3" ht="17.25" customHeight="1">
      <c r="B828" s="2"/>
      <c r="C828" s="2"/>
    </row>
    <row r="829" spans="2:3" ht="17.25" customHeight="1">
      <c r="B829" s="2"/>
      <c r="C829" s="2"/>
    </row>
    <row r="830" spans="2:3" ht="17.25" customHeight="1">
      <c r="B830" s="2"/>
      <c r="C830" s="2"/>
    </row>
    <row r="831" spans="2:3" ht="17.25" customHeight="1">
      <c r="B831" s="2"/>
      <c r="C831" s="2"/>
    </row>
    <row r="832" spans="2:3" ht="17.25" customHeight="1">
      <c r="B832" s="2"/>
      <c r="C832" s="2"/>
    </row>
    <row r="833" spans="2:3" ht="17.25" customHeight="1">
      <c r="B833" s="2"/>
      <c r="C833" s="2"/>
    </row>
    <row r="834" spans="2:3" ht="17.25" customHeight="1">
      <c r="B834" s="2"/>
      <c r="C834" s="2"/>
    </row>
    <row r="835" spans="2:3" ht="17.25" customHeight="1">
      <c r="B835" s="2"/>
      <c r="C835" s="2"/>
    </row>
    <row r="836" spans="2:3" ht="17.25" customHeight="1">
      <c r="B836" s="2"/>
      <c r="C836" s="2"/>
    </row>
    <row r="837" spans="2:3" ht="17.25" customHeight="1">
      <c r="B837" s="2"/>
      <c r="C837" s="2"/>
    </row>
    <row r="838" spans="2:3" ht="17.25" customHeight="1">
      <c r="B838" s="2"/>
      <c r="C838" s="2"/>
    </row>
    <row r="839" spans="2:3" ht="17.25" customHeight="1">
      <c r="B839" s="2"/>
      <c r="C839" s="2"/>
    </row>
    <row r="840" spans="2:3" ht="17.25" customHeight="1">
      <c r="B840" s="2"/>
      <c r="C840" s="2"/>
    </row>
    <row r="841" spans="2:3" ht="17.25" customHeight="1">
      <c r="B841" s="2"/>
      <c r="C841" s="2"/>
    </row>
    <row r="842" spans="2:3" ht="17.25" customHeight="1">
      <c r="B842" s="2"/>
      <c r="C842" s="2"/>
    </row>
    <row r="843" spans="2:3" ht="17.25" customHeight="1">
      <c r="B843" s="2"/>
      <c r="C843" s="2"/>
    </row>
    <row r="844" spans="2:3" ht="17.25" customHeight="1">
      <c r="B844" s="2"/>
      <c r="C844" s="2"/>
    </row>
    <row r="845" spans="2:3" ht="17.25" customHeight="1">
      <c r="B845" s="2"/>
      <c r="C845" s="2"/>
    </row>
    <row r="846" spans="2:3" ht="17.25" customHeight="1">
      <c r="B846" s="2"/>
      <c r="C846" s="2"/>
    </row>
    <row r="847" spans="2:3" ht="17.25" customHeight="1">
      <c r="B847" s="2"/>
      <c r="C847" s="2"/>
    </row>
    <row r="848" spans="2:3" ht="17.25" customHeight="1">
      <c r="B848" s="2"/>
      <c r="C848" s="2"/>
    </row>
    <row r="849" spans="2:3" ht="17.25" customHeight="1">
      <c r="B849" s="2"/>
      <c r="C849" s="2"/>
    </row>
    <row r="850" spans="2:3" ht="17.25" customHeight="1">
      <c r="B850" s="2"/>
      <c r="C850" s="2"/>
    </row>
    <row r="851" spans="2:3" ht="17.25" customHeight="1">
      <c r="B851" s="2"/>
      <c r="C851" s="2"/>
    </row>
    <row r="852" spans="2:3" ht="17.25" customHeight="1">
      <c r="B852" s="2"/>
      <c r="C852" s="2"/>
    </row>
    <row r="853" spans="2:3" ht="17.25" customHeight="1">
      <c r="B853" s="2"/>
      <c r="C853" s="2"/>
    </row>
    <row r="854" spans="2:3" ht="17.25" customHeight="1">
      <c r="B854" s="2"/>
      <c r="C854" s="2"/>
    </row>
    <row r="855" spans="2:3" ht="17.25" customHeight="1">
      <c r="B855" s="2"/>
      <c r="C855" s="2"/>
    </row>
    <row r="856" spans="2:3" ht="17.25" customHeight="1">
      <c r="B856" s="2"/>
      <c r="C856" s="2"/>
    </row>
    <row r="857" spans="2:3" ht="17.25" customHeight="1">
      <c r="B857" s="2"/>
      <c r="C857" s="2"/>
    </row>
    <row r="858" spans="2:3" ht="17.25" customHeight="1">
      <c r="B858" s="2"/>
      <c r="C858" s="2"/>
    </row>
    <row r="859" spans="2:3" ht="17.25" customHeight="1">
      <c r="B859" s="2"/>
      <c r="C859" s="2"/>
    </row>
    <row r="860" spans="2:3" ht="17.25" customHeight="1">
      <c r="B860" s="2"/>
      <c r="C860" s="2"/>
    </row>
    <row r="861" spans="2:3" ht="17.25" customHeight="1">
      <c r="B861" s="2"/>
      <c r="C861" s="2"/>
    </row>
    <row r="862" spans="2:3" ht="17.25" customHeight="1">
      <c r="B862" s="2"/>
      <c r="C862" s="2"/>
    </row>
    <row r="863" spans="2:3" ht="17.25" customHeight="1">
      <c r="B863" s="2"/>
      <c r="C863" s="2"/>
    </row>
    <row r="864" spans="2:3" ht="17.25" customHeight="1">
      <c r="B864" s="2"/>
      <c r="C864" s="2"/>
    </row>
    <row r="865" spans="2:3" ht="17.25" customHeight="1">
      <c r="B865" s="2"/>
      <c r="C865" s="2"/>
    </row>
    <row r="866" spans="2:3" ht="17.25" customHeight="1">
      <c r="B866" s="2"/>
      <c r="C866" s="2"/>
    </row>
    <row r="867" spans="2:3" ht="17.25" customHeight="1">
      <c r="B867" s="2"/>
      <c r="C867" s="2"/>
    </row>
    <row r="868" spans="2:3" ht="17.25" customHeight="1">
      <c r="B868" s="2"/>
      <c r="C868" s="2"/>
    </row>
    <row r="869" spans="2:3" ht="17.25" customHeight="1">
      <c r="B869" s="2"/>
      <c r="C869" s="2"/>
    </row>
    <row r="870" spans="2:3" ht="17.25" customHeight="1">
      <c r="B870" s="2"/>
      <c r="C870" s="2"/>
    </row>
    <row r="871" spans="2:3" ht="17.25" customHeight="1">
      <c r="B871" s="2"/>
      <c r="C871" s="2"/>
    </row>
    <row r="872" spans="2:3" ht="17.25" customHeight="1">
      <c r="B872" s="2"/>
      <c r="C872" s="2"/>
    </row>
    <row r="873" spans="2:3" ht="17.25" customHeight="1">
      <c r="B873" s="2"/>
      <c r="C873" s="2"/>
    </row>
    <row r="874" spans="2:3" ht="17.25" customHeight="1">
      <c r="B874" s="2"/>
      <c r="C874" s="2"/>
    </row>
    <row r="875" spans="2:3" ht="17.25" customHeight="1">
      <c r="B875" s="2"/>
      <c r="C875" s="2"/>
    </row>
    <row r="876" spans="2:3" ht="17.25" customHeight="1">
      <c r="B876" s="2"/>
      <c r="C876" s="2"/>
    </row>
    <row r="877" spans="2:3" ht="17.25" customHeight="1">
      <c r="B877" s="2"/>
      <c r="C877" s="2"/>
    </row>
    <row r="878" spans="2:3" ht="17.25" customHeight="1">
      <c r="B878" s="2"/>
      <c r="C878" s="2"/>
    </row>
    <row r="879" spans="2:3" ht="17.25" customHeight="1">
      <c r="B879" s="2"/>
      <c r="C879" s="2"/>
    </row>
    <row r="880" spans="2:3" ht="17.25" customHeight="1">
      <c r="B880" s="2"/>
      <c r="C880" s="2"/>
    </row>
    <row r="881" spans="2:3" ht="17.25" customHeight="1">
      <c r="B881" s="2"/>
      <c r="C881" s="2"/>
    </row>
    <row r="882" spans="2:3" ht="17.25" customHeight="1">
      <c r="B882" s="2"/>
      <c r="C882" s="2"/>
    </row>
    <row r="883" spans="2:3" ht="17.25" customHeight="1">
      <c r="B883" s="2"/>
      <c r="C883" s="2"/>
    </row>
    <row r="884" spans="2:3" ht="17.25" customHeight="1">
      <c r="B884" s="2"/>
      <c r="C884" s="2"/>
    </row>
    <row r="885" spans="2:3" ht="17.25" customHeight="1">
      <c r="B885" s="2"/>
      <c r="C885" s="2"/>
    </row>
    <row r="886" spans="2:3" ht="17.25" customHeight="1">
      <c r="B886" s="2"/>
      <c r="C886" s="2"/>
    </row>
    <row r="887" spans="2:3" ht="17.25" customHeight="1">
      <c r="B887" s="2"/>
      <c r="C887" s="2"/>
    </row>
    <row r="888" spans="2:3" ht="17.25" customHeight="1">
      <c r="B888" s="2"/>
      <c r="C888" s="2"/>
    </row>
    <row r="889" spans="2:3" ht="17.25" customHeight="1">
      <c r="B889" s="2"/>
      <c r="C889" s="2"/>
    </row>
    <row r="890" spans="2:3" ht="17.25" customHeight="1">
      <c r="B890" s="2"/>
      <c r="C890" s="2"/>
    </row>
    <row r="891" spans="2:3" ht="17.25" customHeight="1">
      <c r="B891" s="2"/>
      <c r="C891" s="2"/>
    </row>
    <row r="892" spans="2:3" ht="17.25" customHeight="1">
      <c r="B892" s="2"/>
      <c r="C892" s="2"/>
    </row>
    <row r="893" spans="2:3" ht="17.25" customHeight="1">
      <c r="B893" s="2"/>
      <c r="C893" s="2"/>
    </row>
    <row r="894" spans="2:3" ht="17.25" customHeight="1">
      <c r="B894" s="2"/>
      <c r="C894" s="2"/>
    </row>
    <row r="895" spans="2:3" ht="17.25" customHeight="1">
      <c r="B895" s="2"/>
      <c r="C895" s="2"/>
    </row>
    <row r="896" spans="2:3" ht="17.25" customHeight="1">
      <c r="B896" s="2"/>
      <c r="C896" s="2"/>
    </row>
    <row r="897" spans="2:3" ht="17.25" customHeight="1">
      <c r="B897" s="2"/>
      <c r="C897" s="2"/>
    </row>
    <row r="898" spans="2:3" ht="17.25" customHeight="1">
      <c r="B898" s="2"/>
      <c r="C898" s="2"/>
    </row>
    <row r="899" spans="2:3" ht="17.25" customHeight="1">
      <c r="B899" s="2"/>
      <c r="C899" s="2"/>
    </row>
    <row r="900" spans="2:3" ht="17.25" customHeight="1">
      <c r="B900" s="2"/>
      <c r="C900" s="2"/>
    </row>
    <row r="901" spans="2:3" ht="17.25" customHeight="1">
      <c r="B901" s="2"/>
      <c r="C901" s="2"/>
    </row>
    <row r="902" spans="2:3" ht="17.25" customHeight="1">
      <c r="B902" s="2"/>
      <c r="C902" s="2"/>
    </row>
    <row r="903" spans="2:3" ht="17.25" customHeight="1">
      <c r="B903" s="2"/>
      <c r="C903" s="2"/>
    </row>
    <row r="904" spans="2:3" ht="17.25" customHeight="1">
      <c r="B904" s="2"/>
      <c r="C904" s="2"/>
    </row>
    <row r="905" spans="2:3" ht="17.25" customHeight="1">
      <c r="B905" s="2"/>
      <c r="C905" s="2"/>
    </row>
    <row r="906" spans="2:3" ht="17.25" customHeight="1">
      <c r="B906" s="2"/>
      <c r="C906" s="2"/>
    </row>
    <row r="907" spans="2:3" ht="17.25" customHeight="1">
      <c r="B907" s="2"/>
      <c r="C907" s="2"/>
    </row>
    <row r="908" spans="2:3" ht="17.25" customHeight="1">
      <c r="B908" s="2"/>
      <c r="C908" s="2"/>
    </row>
    <row r="909" spans="2:3" ht="17.25" customHeight="1">
      <c r="B909" s="2"/>
      <c r="C909" s="2"/>
    </row>
    <row r="910" spans="2:3" ht="17.25" customHeight="1">
      <c r="B910" s="2"/>
      <c r="C910" s="2"/>
    </row>
    <row r="911" spans="2:3" ht="17.25" customHeight="1">
      <c r="B911" s="2"/>
      <c r="C911" s="2"/>
    </row>
    <row r="912" spans="2:3" ht="17.25" customHeight="1">
      <c r="B912" s="2"/>
      <c r="C912" s="2"/>
    </row>
    <row r="913" spans="2:3" ht="17.25" customHeight="1">
      <c r="B913" s="2"/>
      <c r="C913" s="2"/>
    </row>
    <row r="914" spans="2:3" ht="17.25" customHeight="1">
      <c r="B914" s="2"/>
      <c r="C914" s="2"/>
    </row>
    <row r="915" spans="2:3" ht="17.25" customHeight="1">
      <c r="B915" s="2"/>
      <c r="C915" s="2"/>
    </row>
    <row r="916" spans="2:3" ht="17.25" customHeight="1">
      <c r="B916" s="2"/>
      <c r="C916" s="2"/>
    </row>
    <row r="917" spans="2:3" ht="17.25" customHeight="1">
      <c r="B917" s="2"/>
      <c r="C917" s="2"/>
    </row>
    <row r="918" spans="2:3" ht="17.25" customHeight="1">
      <c r="B918" s="2"/>
      <c r="C918" s="2"/>
    </row>
    <row r="919" spans="2:3" ht="17.25" customHeight="1">
      <c r="B919" s="2"/>
      <c r="C919" s="2"/>
    </row>
    <row r="920" spans="2:3" ht="17.25" customHeight="1">
      <c r="B920" s="2"/>
      <c r="C920" s="2"/>
    </row>
    <row r="921" spans="2:3" ht="17.25" customHeight="1">
      <c r="B921" s="2"/>
      <c r="C921" s="2"/>
    </row>
    <row r="922" spans="2:3" ht="17.25" customHeight="1">
      <c r="B922" s="2"/>
      <c r="C922" s="2"/>
    </row>
    <row r="923" spans="2:3" ht="17.25" customHeight="1">
      <c r="B923" s="2"/>
      <c r="C923" s="2"/>
    </row>
    <row r="924" spans="2:3" ht="17.25" customHeight="1">
      <c r="B924" s="2"/>
      <c r="C924" s="2"/>
    </row>
    <row r="925" spans="2:3" ht="17.25" customHeight="1">
      <c r="B925" s="2"/>
      <c r="C925" s="2"/>
    </row>
    <row r="926" spans="2:3" ht="17.25" customHeight="1">
      <c r="B926" s="2"/>
      <c r="C926" s="2"/>
    </row>
    <row r="927" spans="2:3" ht="17.25" customHeight="1">
      <c r="B927" s="2"/>
      <c r="C927" s="2"/>
    </row>
    <row r="928" spans="2:3" ht="17.25" customHeight="1">
      <c r="B928" s="2"/>
      <c r="C928" s="2"/>
    </row>
    <row r="929" spans="2:3" ht="17.25" customHeight="1">
      <c r="B929" s="2"/>
      <c r="C929" s="2"/>
    </row>
    <row r="930" spans="2:3" ht="17.25" customHeight="1">
      <c r="B930" s="2"/>
      <c r="C930" s="2"/>
    </row>
    <row r="931" spans="2:3" ht="17.25" customHeight="1">
      <c r="B931" s="2"/>
      <c r="C931" s="2"/>
    </row>
    <row r="932" spans="2:3" ht="17.25" customHeight="1">
      <c r="B932" s="2"/>
      <c r="C932" s="2"/>
    </row>
    <row r="933" spans="2:3" ht="17.25" customHeight="1">
      <c r="B933" s="2"/>
      <c r="C933" s="2"/>
    </row>
    <row r="934" spans="2:3" ht="17.25" customHeight="1">
      <c r="B934" s="2"/>
      <c r="C934" s="2"/>
    </row>
    <row r="935" spans="2:3" ht="17.25" customHeight="1">
      <c r="B935" s="2"/>
      <c r="C935" s="2"/>
    </row>
    <row r="936" spans="2:3" ht="17.25" customHeight="1">
      <c r="B936" s="2"/>
      <c r="C936" s="2"/>
    </row>
    <row r="937" spans="2:3" ht="17.25" customHeight="1">
      <c r="B937" s="2"/>
      <c r="C937" s="2"/>
    </row>
    <row r="938" spans="2:3" ht="17.25" customHeight="1">
      <c r="B938" s="2"/>
      <c r="C938" s="2"/>
    </row>
    <row r="939" spans="2:3" ht="17.25" customHeight="1">
      <c r="B939" s="2"/>
      <c r="C939" s="2"/>
    </row>
    <row r="940" spans="2:3" ht="17.25" customHeight="1">
      <c r="B940" s="2"/>
      <c r="C940" s="2"/>
    </row>
    <row r="941" spans="2:3" ht="17.25" customHeight="1">
      <c r="B941" s="2"/>
      <c r="C941" s="2"/>
    </row>
    <row r="942" spans="2:3" ht="17.25" customHeight="1">
      <c r="B942" s="2"/>
      <c r="C942" s="2"/>
    </row>
    <row r="943" spans="2:3" ht="17.25" customHeight="1">
      <c r="B943" s="2"/>
      <c r="C943" s="2"/>
    </row>
    <row r="944" spans="2:3" ht="17.25" customHeight="1">
      <c r="B944" s="2"/>
      <c r="C944" s="2"/>
    </row>
    <row r="945" spans="2:3" ht="17.25" customHeight="1">
      <c r="B945" s="2"/>
      <c r="C945" s="2"/>
    </row>
    <row r="946" spans="2:3" ht="17.25" customHeight="1">
      <c r="B946" s="2"/>
      <c r="C946" s="2"/>
    </row>
    <row r="947" spans="2:3" ht="17.25" customHeight="1">
      <c r="B947" s="2"/>
      <c r="C947" s="2"/>
    </row>
    <row r="948" spans="2:3" ht="17.25" customHeight="1">
      <c r="B948" s="2"/>
      <c r="C948" s="2"/>
    </row>
    <row r="949" spans="2:3" ht="17.25" customHeight="1">
      <c r="B949" s="2"/>
      <c r="C949" s="2"/>
    </row>
    <row r="950" spans="2:3" ht="17.25" customHeight="1">
      <c r="B950" s="2"/>
      <c r="C950" s="2"/>
    </row>
    <row r="951" spans="2:3" ht="17.25" customHeight="1">
      <c r="B951" s="2"/>
      <c r="C951" s="2"/>
    </row>
    <row r="952" spans="2:3" ht="17.25" customHeight="1">
      <c r="B952" s="2"/>
      <c r="C952" s="2"/>
    </row>
    <row r="953" spans="2:3" ht="17.25" customHeight="1">
      <c r="B953" s="2"/>
      <c r="C953" s="2"/>
    </row>
    <row r="954" spans="2:3" ht="17.25" customHeight="1">
      <c r="B954" s="2"/>
      <c r="C954" s="2"/>
    </row>
    <row r="955" spans="2:3" ht="17.25" customHeight="1">
      <c r="B955" s="2"/>
      <c r="C955" s="2"/>
    </row>
    <row r="956" spans="2:3" ht="17.25" customHeight="1">
      <c r="B956" s="2"/>
      <c r="C956" s="2"/>
    </row>
    <row r="957" spans="2:3" ht="17.25" customHeight="1">
      <c r="B957" s="2"/>
      <c r="C957" s="2"/>
    </row>
    <row r="958" spans="2:3" ht="17.25" customHeight="1">
      <c r="B958" s="2"/>
      <c r="C958" s="2"/>
    </row>
    <row r="959" spans="2:3" ht="17.25" customHeight="1">
      <c r="B959" s="2"/>
      <c r="C959" s="2"/>
    </row>
    <row r="960" spans="2:3" ht="17.25" customHeight="1">
      <c r="B960" s="2"/>
      <c r="C960" s="2"/>
    </row>
    <row r="961" spans="2:3" ht="17.25" customHeight="1">
      <c r="B961" s="2"/>
      <c r="C961" s="2"/>
    </row>
    <row r="962" spans="2:3" ht="17.25" customHeight="1">
      <c r="B962" s="2"/>
      <c r="C962" s="2"/>
    </row>
    <row r="963" spans="2:3" ht="17.25" customHeight="1">
      <c r="B963" s="2"/>
      <c r="C963" s="2"/>
    </row>
    <row r="964" spans="2:3" ht="17.25" customHeight="1">
      <c r="B964" s="2"/>
      <c r="C964" s="2"/>
    </row>
    <row r="965" spans="2:3" ht="17.25" customHeight="1">
      <c r="B965" s="2"/>
      <c r="C965" s="2"/>
    </row>
    <row r="966" spans="2:3" ht="17.25" customHeight="1">
      <c r="B966" s="2"/>
      <c r="C966" s="2"/>
    </row>
    <row r="967" spans="2:3" ht="17.25" customHeight="1">
      <c r="B967" s="2"/>
      <c r="C967" s="2"/>
    </row>
    <row r="968" spans="2:3" ht="17.25" customHeight="1">
      <c r="B968" s="2"/>
      <c r="C968" s="2"/>
    </row>
    <row r="969" spans="2:3" ht="17.25" customHeight="1">
      <c r="B969" s="2"/>
      <c r="C969" s="2"/>
    </row>
    <row r="970" spans="2:3" ht="17.25" customHeight="1">
      <c r="B970" s="2"/>
      <c r="C970" s="2"/>
    </row>
    <row r="971" spans="2:3" ht="17.25" customHeight="1">
      <c r="B971" s="2"/>
      <c r="C971" s="2"/>
    </row>
    <row r="972" spans="2:3" ht="17.25" customHeight="1">
      <c r="B972" s="2"/>
      <c r="C972" s="2"/>
    </row>
    <row r="973" spans="2:3" ht="17.25" customHeight="1">
      <c r="B973" s="2"/>
      <c r="C973" s="2"/>
    </row>
    <row r="974" spans="2:3" ht="17.25" customHeight="1">
      <c r="B974" s="2"/>
      <c r="C974" s="2"/>
    </row>
    <row r="975" spans="2:3" ht="17.25" customHeight="1">
      <c r="B975" s="2"/>
      <c r="C975" s="2"/>
    </row>
    <row r="976" spans="2:3" ht="17.25" customHeight="1">
      <c r="B976" s="2"/>
      <c r="C976" s="2"/>
    </row>
    <row r="977" spans="2:3" ht="17.25" customHeight="1">
      <c r="B977" s="2"/>
      <c r="C977" s="2"/>
    </row>
    <row r="978" spans="2:3" ht="17.25" customHeight="1">
      <c r="B978" s="2"/>
      <c r="C978" s="2"/>
    </row>
    <row r="979" spans="2:3" ht="17.25" customHeight="1">
      <c r="B979" s="2"/>
      <c r="C979" s="2"/>
    </row>
    <row r="980" spans="2:3" ht="17.25" customHeight="1">
      <c r="B980" s="2"/>
      <c r="C980" s="2"/>
    </row>
    <row r="981" spans="2:3" ht="17.25" customHeight="1">
      <c r="B981" s="2"/>
      <c r="C981" s="2"/>
    </row>
    <row r="982" spans="2:3" ht="17.25" customHeight="1">
      <c r="B982" s="2"/>
      <c r="C982" s="2"/>
    </row>
    <row r="983" spans="2:3" ht="17.25" customHeight="1">
      <c r="B983" s="2"/>
      <c r="C983" s="2"/>
    </row>
    <row r="984" spans="2:3" ht="17.25" customHeight="1">
      <c r="B984" s="2"/>
      <c r="C984" s="2"/>
    </row>
    <row r="985" spans="2:3" ht="17.25" customHeight="1">
      <c r="B985" s="2"/>
      <c r="C985" s="2"/>
    </row>
    <row r="986" spans="2:3" ht="17.25" customHeight="1">
      <c r="B986" s="2"/>
      <c r="C986" s="2"/>
    </row>
    <row r="987" spans="2:3" ht="17.25" customHeight="1">
      <c r="B987" s="2"/>
      <c r="C987" s="2"/>
    </row>
    <row r="988" spans="2:3" ht="17.25" customHeight="1">
      <c r="B988" s="2"/>
      <c r="C988" s="2"/>
    </row>
    <row r="989" spans="2:3" ht="17.25" customHeight="1">
      <c r="B989" s="2"/>
      <c r="C989" s="2"/>
    </row>
    <row r="990" spans="2:3" ht="17.25" customHeight="1">
      <c r="B990" s="2"/>
      <c r="C990" s="2"/>
    </row>
    <row r="991" spans="2:3" ht="17.25" customHeight="1">
      <c r="B991" s="2"/>
      <c r="C991" s="2"/>
    </row>
    <row r="992" spans="2:3" ht="17.25" customHeight="1">
      <c r="B992" s="2"/>
      <c r="C992" s="2"/>
    </row>
    <row r="993" spans="2:3" ht="17.25" customHeight="1">
      <c r="B993" s="2"/>
      <c r="C993" s="2"/>
    </row>
    <row r="994" spans="2:3" ht="17.25" customHeight="1">
      <c r="B994" s="2"/>
      <c r="C994" s="2"/>
    </row>
    <row r="995" spans="2:3" ht="17.25" customHeight="1">
      <c r="B995" s="2"/>
      <c r="C995" s="2"/>
    </row>
    <row r="996" spans="2:3" ht="17.25" customHeight="1">
      <c r="B996" s="2"/>
      <c r="C996" s="2"/>
    </row>
    <row r="997" spans="2:3" ht="17.25" customHeight="1">
      <c r="B997" s="2"/>
      <c r="C997" s="2"/>
    </row>
    <row r="998" spans="2:3" ht="17.25" customHeight="1">
      <c r="B998" s="2"/>
      <c r="C998" s="2"/>
    </row>
    <row r="999" spans="2:3" ht="17.25" customHeight="1">
      <c r="B999" s="2"/>
      <c r="C999" s="2"/>
    </row>
  </sheetData>
  <phoneticPr fontId="10" type="noConversion"/>
  <printOptions horizontalCentered="1"/>
  <pageMargins left="0.14884596053971161" right="0.16237741149786722" top="4.7360078353544603E-2" bottom="0.12178305862340041" header="0" footer="0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E1000"/>
  <sheetViews>
    <sheetView workbookViewId="0">
      <pane xSplit="4" ySplit="3" topLeftCell="E4" activePane="bottomRight" state="frozen"/>
      <selection pane="topRight" activeCell="G1" sqref="G1"/>
      <selection pane="bottomLeft" activeCell="A4" sqref="A4"/>
      <selection pane="bottomRight" activeCell="F12" sqref="F12"/>
    </sheetView>
  </sheetViews>
  <sheetFormatPr defaultColWidth="14.3984375" defaultRowHeight="15" customHeight="1"/>
  <cols>
    <col min="1" max="1" width="8.3984375" customWidth="1"/>
    <col min="2" max="2" width="16" customWidth="1"/>
    <col min="3" max="3" width="11" customWidth="1"/>
    <col min="4" max="4" width="8.86328125" customWidth="1"/>
    <col min="5" max="6" width="20.1328125" customWidth="1"/>
    <col min="7" max="15" width="15.3984375" customWidth="1"/>
    <col min="16" max="16" width="5.3984375" customWidth="1"/>
    <col min="17" max="24" width="15.3984375" customWidth="1"/>
    <col min="25" max="25" width="20.59765625" customWidth="1"/>
    <col min="26" max="28" width="10.59765625" customWidth="1"/>
    <col min="29" max="29" width="20.59765625" customWidth="1"/>
    <col min="30" max="30" width="8.73046875" customWidth="1"/>
    <col min="31" max="31" width="10.59765625" customWidth="1"/>
  </cols>
  <sheetData>
    <row r="1" spans="1:31" ht="51" customHeight="1">
      <c r="A1" s="140"/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"/>
      <c r="X1" s="1"/>
      <c r="Y1" s="1"/>
      <c r="Z1" s="1"/>
      <c r="AA1" s="1"/>
      <c r="AB1" s="1"/>
      <c r="AC1" s="1"/>
      <c r="AD1" s="1"/>
      <c r="AE1" s="1"/>
    </row>
    <row r="2" spans="1:31" ht="26.25" customHeight="1" thickBot="1">
      <c r="A2" s="2"/>
      <c r="B2" s="2"/>
      <c r="C2" s="2"/>
      <c r="D2" s="2"/>
    </row>
    <row r="3" spans="1:31" ht="23.25" customHeight="1" thickBot="1">
      <c r="A3" s="3" t="s">
        <v>0</v>
      </c>
      <c r="B3" s="4" t="s">
        <v>1</v>
      </c>
      <c r="C3" s="4" t="s">
        <v>3</v>
      </c>
      <c r="D3" s="4" t="s">
        <v>4</v>
      </c>
      <c r="E3" s="5" t="s">
        <v>6</v>
      </c>
      <c r="F3" s="6" t="s">
        <v>7</v>
      </c>
      <c r="G3" s="5" t="s">
        <v>8</v>
      </c>
      <c r="H3" s="7" t="s">
        <v>9</v>
      </c>
      <c r="I3" s="8" t="s">
        <v>10</v>
      </c>
      <c r="J3" s="9" t="s">
        <v>11</v>
      </c>
      <c r="K3" s="10" t="s">
        <v>12</v>
      </c>
      <c r="L3" s="11" t="s">
        <v>13</v>
      </c>
      <c r="M3" s="12" t="s">
        <v>14</v>
      </c>
      <c r="N3" s="12" t="s">
        <v>15</v>
      </c>
      <c r="O3" s="13" t="s">
        <v>16</v>
      </c>
      <c r="P3" s="13" t="s">
        <v>17</v>
      </c>
      <c r="Q3" s="14" t="s">
        <v>18</v>
      </c>
      <c r="R3" s="15" t="s">
        <v>19</v>
      </c>
      <c r="S3" s="16" t="s">
        <v>20</v>
      </c>
      <c r="T3" s="16" t="s">
        <v>21</v>
      </c>
      <c r="U3" s="17" t="s">
        <v>22</v>
      </c>
      <c r="V3" s="18" t="s">
        <v>23</v>
      </c>
      <c r="W3" s="19" t="s">
        <v>24</v>
      </c>
      <c r="X3" s="18" t="s">
        <v>25</v>
      </c>
    </row>
    <row r="4" spans="1:31" ht="18" customHeight="1">
      <c r="A4" s="20">
        <v>1</v>
      </c>
      <c r="B4" s="97" t="s">
        <v>26</v>
      </c>
      <c r="C4" s="23" t="s">
        <v>159</v>
      </c>
      <c r="D4" s="22" t="s">
        <v>27</v>
      </c>
      <c r="E4" s="24">
        <v>209</v>
      </c>
      <c r="F4" s="25">
        <v>202</v>
      </c>
      <c r="G4" s="26">
        <f t="shared" ref="G4:G92" si="0">MAX(E4:F4)</f>
        <v>209</v>
      </c>
      <c r="H4" s="27">
        <f>IF(D4="남", COUNTIFS(D:D, "남", G:G, "&gt;"&amp;G4)+1, "")</f>
        <v>56</v>
      </c>
      <c r="I4" s="28">
        <v>43</v>
      </c>
      <c r="J4" s="29">
        <f>IF(D4="남", COUNTIFS(D:D, "남", I:I, "&gt;"&amp;I4)+1, "")</f>
        <v>55</v>
      </c>
      <c r="K4" s="30">
        <v>133</v>
      </c>
      <c r="L4" s="31">
        <v>136.5</v>
      </c>
      <c r="M4" s="27">
        <f t="shared" ref="M4:M126" si="1">MAX(K4:L4)</f>
        <v>136.5</v>
      </c>
      <c r="N4" s="27">
        <f>IF(D4="남", COUNTIFS(D:D, "남", M:M, "&gt;"&amp;M4)+1, "")</f>
        <v>37</v>
      </c>
      <c r="O4" s="32">
        <v>17.899999999999999</v>
      </c>
      <c r="P4" s="33">
        <f>IF(D4="남", COUNTIFS(D:D, "남", O:O, "&gt;"&amp;O4)+1, "")</f>
        <v>15</v>
      </c>
      <c r="Q4" s="34">
        <v>5.6</v>
      </c>
      <c r="R4" s="35">
        <v>9.6999999999999993</v>
      </c>
      <c r="S4" s="36">
        <f t="shared" ref="S4:S126" si="2">MAX(Q4:R4)</f>
        <v>9.6999999999999993</v>
      </c>
      <c r="T4" s="36">
        <f>IF(D4="남", COUNTIFS(D:D, "남", S:S, "&gt;"&amp;S4)+1, "")</f>
        <v>55</v>
      </c>
      <c r="U4" s="37">
        <v>7</v>
      </c>
      <c r="V4" s="38">
        <v>7.4</v>
      </c>
      <c r="W4" s="26">
        <f t="shared" ref="W4:W126" si="3">MAX(U4:V4)</f>
        <v>7.4</v>
      </c>
      <c r="X4" s="39">
        <f>IF(D4="남", COUNTIFS(D:D, "남", W:W, "&gt;"&amp;W4)+1, "")</f>
        <v>29</v>
      </c>
    </row>
    <row r="5" spans="1:31" ht="18" customHeight="1">
      <c r="A5" s="40">
        <v>2</v>
      </c>
      <c r="B5" s="21" t="s">
        <v>28</v>
      </c>
      <c r="C5" s="23" t="s">
        <v>159</v>
      </c>
      <c r="D5" s="22" t="s">
        <v>29</v>
      </c>
      <c r="E5" s="42">
        <v>146</v>
      </c>
      <c r="F5" s="43">
        <v>144</v>
      </c>
      <c r="G5" s="26">
        <f t="shared" si="0"/>
        <v>146</v>
      </c>
      <c r="H5" s="27">
        <f t="shared" ref="H5:H13" si="4">IF(D5="여", COUNTIFS(D:D, "여", G:G, "&gt;"&amp;G5)+1, "")</f>
        <v>17</v>
      </c>
      <c r="I5" s="44">
        <v>29</v>
      </c>
      <c r="J5" s="45">
        <f t="shared" ref="J5:J13" si="5">IF(D5="여", COUNTIFS(D:D, "여", I:I, "&gt;"&amp;I5)+1, "")</f>
        <v>15</v>
      </c>
      <c r="K5" s="46">
        <v>71</v>
      </c>
      <c r="L5" s="47">
        <v>79.5</v>
      </c>
      <c r="M5" s="27">
        <f t="shared" si="1"/>
        <v>79.5</v>
      </c>
      <c r="N5" s="27">
        <f t="shared" ref="N5:N13" si="6">IF(D5="여", COUNTIFS(D:D, "여", M:M, "&gt;"&amp;M5)+1, "")</f>
        <v>15</v>
      </c>
      <c r="O5" s="48">
        <v>24.2</v>
      </c>
      <c r="P5" s="49">
        <f t="shared" ref="P5:P13" si="7">IF(D5="여", COUNTIFS(D:D, "여", O:O, "&gt;"&amp;O5)+1, "")</f>
        <v>3</v>
      </c>
      <c r="Q5" s="50">
        <v>23.5</v>
      </c>
      <c r="R5" s="51">
        <v>23.2</v>
      </c>
      <c r="S5" s="36">
        <f t="shared" si="2"/>
        <v>23.5</v>
      </c>
      <c r="T5" s="36">
        <f t="shared" ref="T5:T13" si="8">IF(D5="여", COUNTIFS(D:D, "여", S:S, "&gt;"&amp;S5)+1, "")</f>
        <v>8</v>
      </c>
      <c r="U5" s="52">
        <v>6.4</v>
      </c>
      <c r="V5" s="53">
        <v>6.7</v>
      </c>
      <c r="W5" s="26">
        <f t="shared" si="3"/>
        <v>6.7</v>
      </c>
      <c r="X5" s="54">
        <f t="shared" ref="X5:X13" si="9">IF(D5="여", COUNTIFS(D:D, "여", W:W, "&gt;"&amp;W5)+1, "")</f>
        <v>9</v>
      </c>
    </row>
    <row r="6" spans="1:31" ht="18" customHeight="1">
      <c r="A6" s="40">
        <v>3</v>
      </c>
      <c r="B6" s="97" t="s">
        <v>30</v>
      </c>
      <c r="C6" s="23" t="s">
        <v>159</v>
      </c>
      <c r="D6" s="22" t="s">
        <v>29</v>
      </c>
      <c r="E6" s="42">
        <v>225</v>
      </c>
      <c r="F6" s="43">
        <v>215</v>
      </c>
      <c r="G6" s="26">
        <f t="shared" si="0"/>
        <v>225</v>
      </c>
      <c r="H6" s="27">
        <f t="shared" si="4"/>
        <v>1</v>
      </c>
      <c r="I6" s="44">
        <v>49</v>
      </c>
      <c r="J6" s="45">
        <f t="shared" si="5"/>
        <v>1</v>
      </c>
      <c r="K6" s="46">
        <v>88.5</v>
      </c>
      <c r="L6" s="47">
        <v>89</v>
      </c>
      <c r="M6" s="27">
        <f t="shared" si="1"/>
        <v>89</v>
      </c>
      <c r="N6" s="27">
        <f t="shared" si="6"/>
        <v>10</v>
      </c>
      <c r="O6" s="48">
        <v>16.190000000000001</v>
      </c>
      <c r="P6" s="49">
        <f t="shared" si="7"/>
        <v>18</v>
      </c>
      <c r="Q6" s="50">
        <v>11.2</v>
      </c>
      <c r="R6" s="51">
        <v>13.8</v>
      </c>
      <c r="S6" s="36">
        <f t="shared" si="2"/>
        <v>13.8</v>
      </c>
      <c r="T6" s="36">
        <f t="shared" si="8"/>
        <v>16</v>
      </c>
      <c r="U6" s="52">
        <v>8.3000000000000007</v>
      </c>
      <c r="V6" s="53">
        <v>8</v>
      </c>
      <c r="W6" s="26">
        <f t="shared" si="3"/>
        <v>8.3000000000000007</v>
      </c>
      <c r="X6" s="54">
        <f t="shared" si="9"/>
        <v>2</v>
      </c>
    </row>
    <row r="7" spans="1:31" ht="18" customHeight="1">
      <c r="A7" s="40">
        <v>4</v>
      </c>
      <c r="B7" s="21" t="s">
        <v>31</v>
      </c>
      <c r="C7" s="23" t="s">
        <v>159</v>
      </c>
      <c r="D7" s="22" t="s">
        <v>29</v>
      </c>
      <c r="E7" s="42">
        <v>218</v>
      </c>
      <c r="F7" s="43">
        <v>220</v>
      </c>
      <c r="G7" s="26">
        <f t="shared" si="0"/>
        <v>220</v>
      </c>
      <c r="H7" s="27">
        <f t="shared" si="4"/>
        <v>2</v>
      </c>
      <c r="I7" s="44">
        <v>36</v>
      </c>
      <c r="J7" s="45">
        <f t="shared" si="5"/>
        <v>9</v>
      </c>
      <c r="K7" s="46">
        <v>74</v>
      </c>
      <c r="L7" s="47">
        <v>79</v>
      </c>
      <c r="M7" s="27">
        <f t="shared" si="1"/>
        <v>79</v>
      </c>
      <c r="N7" s="27">
        <f t="shared" si="6"/>
        <v>16</v>
      </c>
      <c r="O7" s="48">
        <v>17.329999999999998</v>
      </c>
      <c r="P7" s="49">
        <f t="shared" si="7"/>
        <v>15</v>
      </c>
      <c r="Q7" s="50">
        <v>25.5</v>
      </c>
      <c r="R7" s="51">
        <v>26.3</v>
      </c>
      <c r="S7" s="36">
        <f t="shared" si="2"/>
        <v>26.3</v>
      </c>
      <c r="T7" s="36">
        <f t="shared" si="8"/>
        <v>5</v>
      </c>
      <c r="U7" s="52">
        <v>8.4</v>
      </c>
      <c r="V7" s="53">
        <v>8.4</v>
      </c>
      <c r="W7" s="26">
        <f t="shared" si="3"/>
        <v>8.4</v>
      </c>
      <c r="X7" s="54">
        <f t="shared" si="9"/>
        <v>1</v>
      </c>
    </row>
    <row r="8" spans="1:31" ht="18" customHeight="1">
      <c r="A8" s="40">
        <v>5</v>
      </c>
      <c r="B8" s="97" t="s">
        <v>32</v>
      </c>
      <c r="C8" s="23" t="s">
        <v>159</v>
      </c>
      <c r="D8" s="22" t="s">
        <v>29</v>
      </c>
      <c r="E8" s="42">
        <v>145</v>
      </c>
      <c r="F8" s="43">
        <v>140</v>
      </c>
      <c r="G8" s="26">
        <f t="shared" si="0"/>
        <v>145</v>
      </c>
      <c r="H8" s="27">
        <f t="shared" si="4"/>
        <v>18</v>
      </c>
      <c r="I8" s="44">
        <v>29</v>
      </c>
      <c r="J8" s="45">
        <f t="shared" si="5"/>
        <v>15</v>
      </c>
      <c r="K8" s="46">
        <v>77</v>
      </c>
      <c r="L8" s="47">
        <v>75</v>
      </c>
      <c r="M8" s="27">
        <f t="shared" si="1"/>
        <v>77</v>
      </c>
      <c r="N8" s="27">
        <f t="shared" si="6"/>
        <v>17</v>
      </c>
      <c r="O8" s="48">
        <v>21.08</v>
      </c>
      <c r="P8" s="49">
        <f t="shared" si="7"/>
        <v>5</v>
      </c>
      <c r="Q8" s="50">
        <v>19.899999999999999</v>
      </c>
      <c r="R8" s="51">
        <v>21.6</v>
      </c>
      <c r="S8" s="36">
        <f t="shared" si="2"/>
        <v>21.6</v>
      </c>
      <c r="T8" s="36">
        <f t="shared" si="8"/>
        <v>10</v>
      </c>
      <c r="U8" s="52">
        <v>5.4</v>
      </c>
      <c r="V8" s="53">
        <v>5.5</v>
      </c>
      <c r="W8" s="26">
        <f t="shared" si="3"/>
        <v>5.5</v>
      </c>
      <c r="X8" s="54">
        <f t="shared" si="9"/>
        <v>14</v>
      </c>
    </row>
    <row r="9" spans="1:31" ht="18" customHeight="1">
      <c r="A9" s="40">
        <v>6</v>
      </c>
      <c r="B9" s="21" t="s">
        <v>34</v>
      </c>
      <c r="C9" s="23" t="s">
        <v>159</v>
      </c>
      <c r="D9" s="22" t="s">
        <v>29</v>
      </c>
      <c r="E9" s="42">
        <v>153</v>
      </c>
      <c r="F9" s="43" t="s">
        <v>33</v>
      </c>
      <c r="G9" s="26">
        <f t="shared" si="0"/>
        <v>153</v>
      </c>
      <c r="H9" s="27">
        <f t="shared" si="4"/>
        <v>16</v>
      </c>
      <c r="I9" s="44">
        <v>25</v>
      </c>
      <c r="J9" s="45">
        <f t="shared" si="5"/>
        <v>18</v>
      </c>
      <c r="K9" s="46">
        <v>58</v>
      </c>
      <c r="L9" s="47">
        <v>67.5</v>
      </c>
      <c r="M9" s="27">
        <f t="shared" si="1"/>
        <v>67.5</v>
      </c>
      <c r="N9" s="27">
        <f t="shared" si="6"/>
        <v>18</v>
      </c>
      <c r="O9" s="48">
        <v>18.54</v>
      </c>
      <c r="P9" s="49">
        <f t="shared" si="7"/>
        <v>12</v>
      </c>
      <c r="Q9" s="50">
        <v>18.7</v>
      </c>
      <c r="R9" s="51">
        <v>12.5</v>
      </c>
      <c r="S9" s="36">
        <f t="shared" si="2"/>
        <v>18.7</v>
      </c>
      <c r="T9" s="36">
        <f t="shared" si="8"/>
        <v>12</v>
      </c>
      <c r="U9" s="52">
        <v>3</v>
      </c>
      <c r="V9" s="53">
        <v>4</v>
      </c>
      <c r="W9" s="26">
        <f t="shared" si="3"/>
        <v>4</v>
      </c>
      <c r="X9" s="54">
        <f t="shared" si="9"/>
        <v>20</v>
      </c>
    </row>
    <row r="10" spans="1:31" ht="18" customHeight="1">
      <c r="A10" s="40">
        <v>7</v>
      </c>
      <c r="B10" s="97" t="s">
        <v>35</v>
      </c>
      <c r="C10" s="23" t="s">
        <v>159</v>
      </c>
      <c r="D10" s="22" t="s">
        <v>29</v>
      </c>
      <c r="E10" s="42">
        <v>174</v>
      </c>
      <c r="F10" s="43">
        <v>179</v>
      </c>
      <c r="G10" s="26">
        <f t="shared" si="0"/>
        <v>179</v>
      </c>
      <c r="H10" s="27">
        <f t="shared" si="4"/>
        <v>10</v>
      </c>
      <c r="I10" s="44">
        <v>36</v>
      </c>
      <c r="J10" s="45">
        <f t="shared" si="5"/>
        <v>9</v>
      </c>
      <c r="K10" s="46">
        <v>85.8</v>
      </c>
      <c r="L10" s="47">
        <v>76</v>
      </c>
      <c r="M10" s="27">
        <f t="shared" si="1"/>
        <v>85.8</v>
      </c>
      <c r="N10" s="27">
        <f t="shared" si="6"/>
        <v>12</v>
      </c>
      <c r="O10" s="48">
        <v>18.920000000000002</v>
      </c>
      <c r="P10" s="49">
        <f t="shared" si="7"/>
        <v>9</v>
      </c>
      <c r="Q10" s="50">
        <v>22.5</v>
      </c>
      <c r="R10" s="51">
        <v>23.7</v>
      </c>
      <c r="S10" s="36">
        <f t="shared" si="2"/>
        <v>23.7</v>
      </c>
      <c r="T10" s="36">
        <f t="shared" si="8"/>
        <v>7</v>
      </c>
      <c r="U10" s="52">
        <v>5.7</v>
      </c>
      <c r="V10" s="53">
        <v>6.4</v>
      </c>
      <c r="W10" s="26">
        <f t="shared" si="3"/>
        <v>6.4</v>
      </c>
      <c r="X10" s="54">
        <f t="shared" si="9"/>
        <v>11</v>
      </c>
    </row>
    <row r="11" spans="1:31" ht="18" customHeight="1">
      <c r="A11" s="40">
        <v>8</v>
      </c>
      <c r="B11" s="21" t="s">
        <v>37</v>
      </c>
      <c r="C11" s="23" t="s">
        <v>159</v>
      </c>
      <c r="D11" s="22" t="s">
        <v>29</v>
      </c>
      <c r="E11" s="42">
        <v>200</v>
      </c>
      <c r="F11" s="43">
        <v>203</v>
      </c>
      <c r="G11" s="26">
        <f t="shared" si="0"/>
        <v>203</v>
      </c>
      <c r="H11" s="27">
        <f t="shared" si="4"/>
        <v>3</v>
      </c>
      <c r="I11" s="44">
        <v>43</v>
      </c>
      <c r="J11" s="45">
        <f t="shared" si="5"/>
        <v>3</v>
      </c>
      <c r="K11" s="46">
        <v>86</v>
      </c>
      <c r="L11" s="47">
        <v>76.5</v>
      </c>
      <c r="M11" s="27">
        <f t="shared" si="1"/>
        <v>86</v>
      </c>
      <c r="N11" s="27">
        <f t="shared" si="6"/>
        <v>11</v>
      </c>
      <c r="O11" s="48">
        <v>18.75</v>
      </c>
      <c r="P11" s="49">
        <f t="shared" si="7"/>
        <v>10</v>
      </c>
      <c r="Q11" s="50">
        <v>27.1</v>
      </c>
      <c r="R11" s="51">
        <v>25.2</v>
      </c>
      <c r="S11" s="36">
        <f t="shared" si="2"/>
        <v>27.1</v>
      </c>
      <c r="T11" s="36">
        <f t="shared" si="8"/>
        <v>2</v>
      </c>
      <c r="U11" s="52">
        <v>6.2</v>
      </c>
      <c r="V11" s="53">
        <v>6.8</v>
      </c>
      <c r="W11" s="26">
        <f t="shared" si="3"/>
        <v>6.8</v>
      </c>
      <c r="X11" s="54">
        <f t="shared" si="9"/>
        <v>7</v>
      </c>
    </row>
    <row r="12" spans="1:31" ht="18" customHeight="1">
      <c r="A12" s="40">
        <v>9</v>
      </c>
      <c r="B12" s="97" t="s">
        <v>38</v>
      </c>
      <c r="C12" s="23" t="s">
        <v>159</v>
      </c>
      <c r="D12" s="22" t="s">
        <v>29</v>
      </c>
      <c r="E12" s="42">
        <v>162</v>
      </c>
      <c r="F12" s="43">
        <v>158</v>
      </c>
      <c r="G12" s="26">
        <f t="shared" si="0"/>
        <v>162</v>
      </c>
      <c r="H12" s="27">
        <f t="shared" si="4"/>
        <v>14</v>
      </c>
      <c r="I12" s="44">
        <v>39</v>
      </c>
      <c r="J12" s="45">
        <f t="shared" si="5"/>
        <v>5</v>
      </c>
      <c r="K12" s="46">
        <v>46</v>
      </c>
      <c r="L12" s="47">
        <v>47.5</v>
      </c>
      <c r="M12" s="27">
        <f t="shared" si="1"/>
        <v>47.5</v>
      </c>
      <c r="N12" s="27">
        <f t="shared" si="6"/>
        <v>20</v>
      </c>
      <c r="O12" s="48">
        <v>25.56</v>
      </c>
      <c r="P12" s="49">
        <f t="shared" si="7"/>
        <v>2</v>
      </c>
      <c r="Q12" s="50">
        <v>-1.5</v>
      </c>
      <c r="R12" s="51">
        <v>-5.0999999999999996</v>
      </c>
      <c r="S12" s="36">
        <f t="shared" si="2"/>
        <v>-1.5</v>
      </c>
      <c r="T12" s="36">
        <f t="shared" si="8"/>
        <v>25</v>
      </c>
      <c r="U12" s="52">
        <v>5.4</v>
      </c>
      <c r="V12" s="53">
        <v>5.2</v>
      </c>
      <c r="W12" s="26">
        <f t="shared" si="3"/>
        <v>5.4</v>
      </c>
      <c r="X12" s="54">
        <f t="shared" si="9"/>
        <v>18</v>
      </c>
    </row>
    <row r="13" spans="1:31" ht="18" customHeight="1">
      <c r="A13" s="40">
        <v>10</v>
      </c>
      <c r="B13" s="21" t="s">
        <v>39</v>
      </c>
      <c r="C13" s="23" t="s">
        <v>159</v>
      </c>
      <c r="D13" s="22" t="s">
        <v>29</v>
      </c>
      <c r="E13" s="42">
        <v>186</v>
      </c>
      <c r="F13" s="43">
        <v>191</v>
      </c>
      <c r="G13" s="26">
        <f t="shared" si="0"/>
        <v>191</v>
      </c>
      <c r="H13" s="27">
        <f t="shared" si="4"/>
        <v>7</v>
      </c>
      <c r="I13" s="44">
        <v>36</v>
      </c>
      <c r="J13" s="45">
        <f t="shared" si="5"/>
        <v>9</v>
      </c>
      <c r="K13" s="46">
        <v>58</v>
      </c>
      <c r="L13" s="47">
        <v>81</v>
      </c>
      <c r="M13" s="27">
        <f t="shared" si="1"/>
        <v>81</v>
      </c>
      <c r="N13" s="27">
        <f t="shared" si="6"/>
        <v>14</v>
      </c>
      <c r="O13" s="48">
        <v>23.35</v>
      </c>
      <c r="P13" s="49">
        <f t="shared" si="7"/>
        <v>4</v>
      </c>
      <c r="Q13" s="50">
        <v>19</v>
      </c>
      <c r="R13" s="51">
        <v>19.3</v>
      </c>
      <c r="S13" s="36">
        <f t="shared" si="2"/>
        <v>19.3</v>
      </c>
      <c r="T13" s="36">
        <f t="shared" si="8"/>
        <v>11</v>
      </c>
      <c r="U13" s="52">
        <v>7.2</v>
      </c>
      <c r="V13" s="53">
        <v>6.9</v>
      </c>
      <c r="W13" s="26">
        <f t="shared" si="3"/>
        <v>7.2</v>
      </c>
      <c r="X13" s="54">
        <f t="shared" si="9"/>
        <v>5</v>
      </c>
    </row>
    <row r="14" spans="1:31" ht="18" customHeight="1">
      <c r="A14" s="40">
        <v>11</v>
      </c>
      <c r="B14" s="97" t="s">
        <v>40</v>
      </c>
      <c r="C14" s="23" t="s">
        <v>159</v>
      </c>
      <c r="D14" s="22" t="s">
        <v>27</v>
      </c>
      <c r="E14" s="42">
        <v>234</v>
      </c>
      <c r="F14" s="43">
        <v>230</v>
      </c>
      <c r="G14" s="26">
        <f t="shared" si="0"/>
        <v>234</v>
      </c>
      <c r="H14" s="27">
        <f>IF(D14="남", COUNTIFS(D:D, "남", G:G, "&gt;"&amp;G14)+1, "")</f>
        <v>16</v>
      </c>
      <c r="I14" s="44">
        <v>43</v>
      </c>
      <c r="J14" s="29">
        <f>IF(D14="남", COUNTIFS(D:D, "남", I:I, "&gt;"&amp;I14)+1, "")</f>
        <v>55</v>
      </c>
      <c r="K14" s="46">
        <v>135.30000000000001</v>
      </c>
      <c r="L14" s="47">
        <v>135</v>
      </c>
      <c r="M14" s="27">
        <f t="shared" si="1"/>
        <v>135.30000000000001</v>
      </c>
      <c r="N14" s="27">
        <f>IF(D14="남", COUNTIFS(D:D, "남", M:M, "&gt;"&amp;M14)+1, "")</f>
        <v>41</v>
      </c>
      <c r="O14" s="48">
        <v>16.12</v>
      </c>
      <c r="P14" s="33">
        <f>IF(D14="남", COUNTIFS(D:D, "남", O:O, "&gt;"&amp;O14)+1, "")</f>
        <v>45</v>
      </c>
      <c r="Q14" s="50">
        <v>13.2</v>
      </c>
      <c r="R14" s="51">
        <v>14.5</v>
      </c>
      <c r="S14" s="36">
        <f t="shared" si="2"/>
        <v>14.5</v>
      </c>
      <c r="T14" s="36">
        <f>IF(D14="남", COUNTIFS(D:D, "남", S:S, "&gt;"&amp;S14)+1, "")</f>
        <v>40</v>
      </c>
      <c r="U14" s="52">
        <v>7.3</v>
      </c>
      <c r="V14" s="53">
        <v>7.4</v>
      </c>
      <c r="W14" s="26">
        <f t="shared" si="3"/>
        <v>7.4</v>
      </c>
      <c r="X14" s="39">
        <f>IF(D14="남", COUNTIFS(D:D, "남", W:W, "&gt;"&amp;W14)+1, "")</f>
        <v>29</v>
      </c>
    </row>
    <row r="15" spans="1:31" ht="18" customHeight="1">
      <c r="A15" s="40">
        <v>12</v>
      </c>
      <c r="B15" s="21" t="s">
        <v>41</v>
      </c>
      <c r="C15" s="23" t="s">
        <v>159</v>
      </c>
      <c r="D15" s="22" t="s">
        <v>27</v>
      </c>
      <c r="E15" s="42">
        <v>201</v>
      </c>
      <c r="F15" s="43">
        <v>199</v>
      </c>
      <c r="G15" s="26">
        <f t="shared" si="0"/>
        <v>201</v>
      </c>
      <c r="H15" s="27">
        <f>IF(D15="남", COUNTIFS(D:D, "남", G:G, "&gt;"&amp;G15)+1, "")</f>
        <v>61</v>
      </c>
      <c r="I15" s="44">
        <v>39</v>
      </c>
      <c r="J15" s="29">
        <f>IF(D15="남", COUNTIFS(D:D, "남", I:I, "&gt;"&amp;I15)+1, "")</f>
        <v>66</v>
      </c>
      <c r="K15" s="46">
        <v>113</v>
      </c>
      <c r="L15" s="47">
        <v>113.5</v>
      </c>
      <c r="M15" s="27">
        <f t="shared" si="1"/>
        <v>113.5</v>
      </c>
      <c r="N15" s="27">
        <f>IF(D15="남", COUNTIFS(D:D, "남", M:M, "&gt;"&amp;M15)+1, "")</f>
        <v>66</v>
      </c>
      <c r="O15" s="48">
        <v>18.36</v>
      </c>
      <c r="P15" s="33">
        <f>IF(D15="남", COUNTIFS(D:D, "남", O:O, "&gt;"&amp;O15)+1, "")</f>
        <v>12</v>
      </c>
      <c r="Q15" s="50">
        <v>16.5</v>
      </c>
      <c r="R15" s="51">
        <v>17.8</v>
      </c>
      <c r="S15" s="36">
        <f t="shared" si="2"/>
        <v>17.8</v>
      </c>
      <c r="T15" s="36">
        <f>IF(D15="남", COUNTIFS(D:D, "남", S:S, "&gt;"&amp;S15)+1, "")</f>
        <v>26</v>
      </c>
      <c r="U15" s="52">
        <v>5.8</v>
      </c>
      <c r="V15" s="53">
        <v>6.1</v>
      </c>
      <c r="W15" s="26">
        <f t="shared" si="3"/>
        <v>6.1</v>
      </c>
      <c r="X15" s="39">
        <f>IF(D15="남", COUNTIFS(D:D, "남", W:W, "&gt;"&amp;W15)+1, "")</f>
        <v>62</v>
      </c>
    </row>
    <row r="16" spans="1:31" ht="18" customHeight="1">
      <c r="A16" s="40">
        <v>13</v>
      </c>
      <c r="B16" s="97" t="s">
        <v>42</v>
      </c>
      <c r="C16" s="23" t="s">
        <v>159</v>
      </c>
      <c r="D16" s="22" t="s">
        <v>27</v>
      </c>
      <c r="E16" s="42">
        <v>193</v>
      </c>
      <c r="F16" s="43">
        <v>188</v>
      </c>
      <c r="G16" s="26">
        <f t="shared" si="0"/>
        <v>193</v>
      </c>
      <c r="H16" s="27">
        <f>IF(D16="남", COUNTIFS(D:D, "남", G:G, "&gt;"&amp;G16)+1, "")</f>
        <v>64</v>
      </c>
      <c r="I16" s="44">
        <v>43</v>
      </c>
      <c r="J16" s="29">
        <f>IF(D16="남", COUNTIFS(D:D, "남", I:I, "&gt;"&amp;I16)+1, "")</f>
        <v>55</v>
      </c>
      <c r="K16" s="46">
        <v>72</v>
      </c>
      <c r="L16" s="47">
        <v>91</v>
      </c>
      <c r="M16" s="27">
        <f t="shared" si="1"/>
        <v>91</v>
      </c>
      <c r="N16" s="27">
        <f>IF(D16="남", COUNTIFS(D:D, "남", M:M, "&gt;"&amp;M16)+1, "")</f>
        <v>79</v>
      </c>
      <c r="O16" s="48">
        <v>17.059999999999999</v>
      </c>
      <c r="P16" s="33">
        <f>IF(D16="남", COUNTIFS(D:D, "남", O:O, "&gt;"&amp;O16)+1, "")</f>
        <v>28</v>
      </c>
      <c r="Q16" s="50">
        <v>9.9</v>
      </c>
      <c r="R16" s="51">
        <v>10.9</v>
      </c>
      <c r="S16" s="36">
        <f t="shared" si="2"/>
        <v>10.9</v>
      </c>
      <c r="T16" s="36">
        <f>IF(D16="남", COUNTIFS(D:D, "남", S:S, "&gt;"&amp;S16)+1, "")</f>
        <v>53</v>
      </c>
      <c r="U16" s="52">
        <v>4.8</v>
      </c>
      <c r="V16" s="53">
        <v>4</v>
      </c>
      <c r="W16" s="26">
        <f t="shared" si="3"/>
        <v>4.8</v>
      </c>
      <c r="X16" s="39">
        <f>IF(D16="남", COUNTIFS(D:D, "남", W:W, "&gt;"&amp;W16)+1, "")</f>
        <v>79</v>
      </c>
    </row>
    <row r="17" spans="1:24" ht="18" customHeight="1">
      <c r="A17" s="40">
        <v>14</v>
      </c>
      <c r="B17" s="21" t="s">
        <v>43</v>
      </c>
      <c r="C17" s="23" t="s">
        <v>159</v>
      </c>
      <c r="D17" s="22" t="s">
        <v>29</v>
      </c>
      <c r="E17" s="42">
        <v>142</v>
      </c>
      <c r="F17" s="43">
        <v>154</v>
      </c>
      <c r="G17" s="26">
        <f t="shared" si="0"/>
        <v>154</v>
      </c>
      <c r="H17" s="27">
        <f>IF(D17="여", COUNTIFS(D:D, "여", G:G, "&gt;"&amp;G17)+1, "")</f>
        <v>15</v>
      </c>
      <c r="I17" s="44">
        <v>29</v>
      </c>
      <c r="J17" s="45">
        <f>IF(D17="여", COUNTIFS(D:D, "여", I:I, "&gt;"&amp;I17)+1, "")</f>
        <v>15</v>
      </c>
      <c r="K17" s="46">
        <v>57</v>
      </c>
      <c r="L17" s="47">
        <v>62.5</v>
      </c>
      <c r="M17" s="27">
        <f t="shared" si="1"/>
        <v>62.5</v>
      </c>
      <c r="N17" s="27">
        <f>IF(D17="여", COUNTIFS(D:D, "여", M:M, "&gt;"&amp;M17)+1, "")</f>
        <v>19</v>
      </c>
      <c r="O17" s="48"/>
      <c r="P17" s="49">
        <f>IF(D17="여", COUNTIFS(D:D, "여", O:O, "&gt;"&amp;O17)+1, "")</f>
        <v>1</v>
      </c>
      <c r="Q17" s="50">
        <v>10.8</v>
      </c>
      <c r="R17" s="51">
        <v>13</v>
      </c>
      <c r="S17" s="36">
        <f t="shared" si="2"/>
        <v>13</v>
      </c>
      <c r="T17" s="36">
        <f>IF(D17="여", COUNTIFS(D:D, "여", S:S, "&gt;"&amp;S17)+1, "")</f>
        <v>17</v>
      </c>
      <c r="U17" s="52">
        <v>4.7</v>
      </c>
      <c r="V17" s="53">
        <v>4.7</v>
      </c>
      <c r="W17" s="26">
        <f t="shared" si="3"/>
        <v>4.7</v>
      </c>
      <c r="X17" s="54">
        <f>IF(D17="여", COUNTIFS(D:D, "여", W:W, "&gt;"&amp;W17)+1, "")</f>
        <v>19</v>
      </c>
    </row>
    <row r="18" spans="1:24" ht="18" customHeight="1">
      <c r="A18" s="40">
        <v>15</v>
      </c>
      <c r="B18" s="97" t="s">
        <v>44</v>
      </c>
      <c r="C18" s="23" t="s">
        <v>159</v>
      </c>
      <c r="D18" s="22" t="s">
        <v>27</v>
      </c>
      <c r="E18" s="42" t="s">
        <v>161</v>
      </c>
      <c r="F18" s="43">
        <v>240</v>
      </c>
      <c r="G18" s="26">
        <f t="shared" si="0"/>
        <v>240</v>
      </c>
      <c r="H18" s="27">
        <f t="shared" ref="H18:H29" si="10">IF(D18="남", COUNTIFS(D:D, "남", G:G, "&gt;"&amp;G18)+1, "")</f>
        <v>10</v>
      </c>
      <c r="I18" s="44">
        <v>58</v>
      </c>
      <c r="J18" s="29">
        <f t="shared" ref="J18:J29" si="11">IF(D18="남", COUNTIFS(D:D, "남", I:I, "&gt;"&amp;I18)+1, "")</f>
        <v>7</v>
      </c>
      <c r="K18" s="46">
        <v>133</v>
      </c>
      <c r="L18" s="47">
        <v>139</v>
      </c>
      <c r="M18" s="27">
        <f t="shared" si="1"/>
        <v>139</v>
      </c>
      <c r="N18" s="27">
        <f t="shared" ref="N18:N29" si="12">IF(D18="남", COUNTIFS(D:D, "남", M:M, "&gt;"&amp;M18)+1, "")</f>
        <v>31</v>
      </c>
      <c r="O18" s="48">
        <v>16.329999999999998</v>
      </c>
      <c r="P18" s="33">
        <f t="shared" ref="P18:P29" si="13">IF(D18="남", COUNTIFS(D:D, "남", O:O, "&gt;"&amp;O18)+1, "")</f>
        <v>41</v>
      </c>
      <c r="Q18" s="50">
        <v>-3.1</v>
      </c>
      <c r="R18" s="51">
        <v>-2.8</v>
      </c>
      <c r="S18" s="36">
        <f t="shared" si="2"/>
        <v>-2.8</v>
      </c>
      <c r="T18" s="36">
        <f t="shared" ref="T18:T29" si="14">IF(D18="남", COUNTIFS(D:D, "남", S:S, "&gt;"&amp;S18)+1, "")</f>
        <v>97</v>
      </c>
      <c r="U18" s="52">
        <v>7.9</v>
      </c>
      <c r="V18" s="53" t="s">
        <v>63</v>
      </c>
      <c r="W18" s="26">
        <f t="shared" si="3"/>
        <v>7.9</v>
      </c>
      <c r="X18" s="39">
        <f t="shared" ref="X18:X29" si="15">IF(D18="남", COUNTIFS(D:D, "남", W:W, "&gt;"&amp;W18)+1, "")</f>
        <v>20</v>
      </c>
    </row>
    <row r="19" spans="1:24" ht="18" customHeight="1">
      <c r="A19" s="40">
        <v>16</v>
      </c>
      <c r="B19" s="21" t="s">
        <v>45</v>
      </c>
      <c r="C19" s="23" t="s">
        <v>159</v>
      </c>
      <c r="D19" s="22" t="s">
        <v>27</v>
      </c>
      <c r="E19" s="42">
        <v>214</v>
      </c>
      <c r="F19" s="43" t="s">
        <v>100</v>
      </c>
      <c r="G19" s="26">
        <f t="shared" si="0"/>
        <v>214</v>
      </c>
      <c r="H19" s="27">
        <f t="shared" si="10"/>
        <v>47</v>
      </c>
      <c r="I19" s="44" t="s">
        <v>133</v>
      </c>
      <c r="J19" s="29">
        <f t="shared" si="11"/>
        <v>1</v>
      </c>
      <c r="K19" s="46">
        <v>93</v>
      </c>
      <c r="L19" s="47">
        <v>106</v>
      </c>
      <c r="M19" s="27">
        <f t="shared" si="1"/>
        <v>106</v>
      </c>
      <c r="N19" s="27">
        <f t="shared" si="12"/>
        <v>74</v>
      </c>
      <c r="O19" s="48"/>
      <c r="P19" s="33">
        <f t="shared" si="13"/>
        <v>1</v>
      </c>
      <c r="Q19" s="50">
        <v>22.8</v>
      </c>
      <c r="R19" s="51">
        <v>23.1</v>
      </c>
      <c r="S19" s="36">
        <f t="shared" si="2"/>
        <v>23.1</v>
      </c>
      <c r="T19" s="36">
        <f t="shared" si="14"/>
        <v>11</v>
      </c>
      <c r="U19" s="52">
        <v>7.7</v>
      </c>
      <c r="V19" s="53">
        <v>7.7</v>
      </c>
      <c r="W19" s="26">
        <f t="shared" si="3"/>
        <v>7.7</v>
      </c>
      <c r="X19" s="39">
        <f t="shared" si="15"/>
        <v>22</v>
      </c>
    </row>
    <row r="20" spans="1:24" ht="18" customHeight="1">
      <c r="A20" s="40">
        <v>17</v>
      </c>
      <c r="B20" s="97" t="s">
        <v>47</v>
      </c>
      <c r="C20" s="23" t="s">
        <v>159</v>
      </c>
      <c r="D20" s="22" t="s">
        <v>27</v>
      </c>
      <c r="E20" s="42">
        <v>263</v>
      </c>
      <c r="F20" s="43">
        <v>251</v>
      </c>
      <c r="G20" s="26">
        <f t="shared" si="0"/>
        <v>263</v>
      </c>
      <c r="H20" s="27">
        <f t="shared" si="10"/>
        <v>2</v>
      </c>
      <c r="I20" s="44">
        <v>65</v>
      </c>
      <c r="J20" s="29">
        <f t="shared" si="11"/>
        <v>2</v>
      </c>
      <c r="K20" s="46">
        <v>89</v>
      </c>
      <c r="L20" s="47">
        <v>103.5</v>
      </c>
      <c r="M20" s="27">
        <f t="shared" si="1"/>
        <v>103.5</v>
      </c>
      <c r="N20" s="27">
        <f t="shared" si="12"/>
        <v>75</v>
      </c>
      <c r="O20" s="48">
        <v>16.62</v>
      </c>
      <c r="P20" s="33">
        <f t="shared" si="13"/>
        <v>32</v>
      </c>
      <c r="Q20" s="50">
        <v>18.3</v>
      </c>
      <c r="R20" s="51">
        <v>15.5</v>
      </c>
      <c r="S20" s="36">
        <f t="shared" si="2"/>
        <v>18.3</v>
      </c>
      <c r="T20" s="36">
        <f t="shared" si="14"/>
        <v>23</v>
      </c>
      <c r="U20" s="52">
        <v>6.8</v>
      </c>
      <c r="V20" s="53">
        <v>7.3</v>
      </c>
      <c r="W20" s="26">
        <f t="shared" si="3"/>
        <v>7.3</v>
      </c>
      <c r="X20" s="39">
        <f t="shared" si="15"/>
        <v>31</v>
      </c>
    </row>
    <row r="21" spans="1:24" ht="18" customHeight="1">
      <c r="A21" s="40">
        <v>18</v>
      </c>
      <c r="B21" s="21" t="s">
        <v>49</v>
      </c>
      <c r="C21" s="23" t="s">
        <v>159</v>
      </c>
      <c r="D21" s="22" t="s">
        <v>27</v>
      </c>
      <c r="E21" s="42">
        <v>182</v>
      </c>
      <c r="F21" s="43">
        <v>199</v>
      </c>
      <c r="G21" s="26">
        <f t="shared" si="0"/>
        <v>199</v>
      </c>
      <c r="H21" s="27">
        <f t="shared" si="10"/>
        <v>62</v>
      </c>
      <c r="I21" s="44">
        <v>42</v>
      </c>
      <c r="J21" s="29">
        <f t="shared" si="11"/>
        <v>61</v>
      </c>
      <c r="K21" s="46">
        <v>125.5</v>
      </c>
      <c r="L21" s="47">
        <v>137</v>
      </c>
      <c r="M21" s="27">
        <f t="shared" si="1"/>
        <v>137</v>
      </c>
      <c r="N21" s="27">
        <f t="shared" si="12"/>
        <v>34</v>
      </c>
      <c r="O21" s="48">
        <v>15.94</v>
      </c>
      <c r="P21" s="33">
        <f t="shared" si="13"/>
        <v>48</v>
      </c>
      <c r="Q21" s="50">
        <v>4.0999999999999996</v>
      </c>
      <c r="R21" s="51" t="s">
        <v>92</v>
      </c>
      <c r="S21" s="36">
        <f t="shared" si="2"/>
        <v>4.0999999999999996</v>
      </c>
      <c r="T21" s="36">
        <f t="shared" si="14"/>
        <v>71</v>
      </c>
      <c r="U21" s="52">
        <v>7</v>
      </c>
      <c r="V21" s="53">
        <v>7</v>
      </c>
      <c r="W21" s="26">
        <f t="shared" si="3"/>
        <v>7</v>
      </c>
      <c r="X21" s="39">
        <f t="shared" si="15"/>
        <v>39</v>
      </c>
    </row>
    <row r="22" spans="1:24" ht="18" customHeight="1">
      <c r="A22" s="56">
        <v>19</v>
      </c>
      <c r="B22" s="57" t="s">
        <v>52</v>
      </c>
      <c r="C22" s="66" t="s">
        <v>159</v>
      </c>
      <c r="D22" s="58" t="s">
        <v>27</v>
      </c>
      <c r="E22" s="42">
        <v>212</v>
      </c>
      <c r="F22" s="43">
        <v>220</v>
      </c>
      <c r="G22" s="26">
        <f t="shared" si="0"/>
        <v>220</v>
      </c>
      <c r="H22" s="27">
        <f t="shared" si="10"/>
        <v>38</v>
      </c>
      <c r="I22" s="44">
        <v>49</v>
      </c>
      <c r="J22" s="29">
        <f t="shared" si="11"/>
        <v>25</v>
      </c>
      <c r="K22" s="46">
        <v>145.5</v>
      </c>
      <c r="L22" s="47">
        <v>144.5</v>
      </c>
      <c r="M22" s="27">
        <f t="shared" si="1"/>
        <v>145.5</v>
      </c>
      <c r="N22" s="27">
        <f t="shared" si="12"/>
        <v>27</v>
      </c>
      <c r="O22" s="48">
        <v>15.43</v>
      </c>
      <c r="P22" s="33">
        <f t="shared" si="13"/>
        <v>57</v>
      </c>
      <c r="Q22" s="50">
        <v>13.5</v>
      </c>
      <c r="R22" s="51">
        <v>17.100000000000001</v>
      </c>
      <c r="S22" s="36">
        <f t="shared" si="2"/>
        <v>17.100000000000001</v>
      </c>
      <c r="T22" s="36">
        <f t="shared" si="14"/>
        <v>31</v>
      </c>
      <c r="U22" s="52">
        <v>8</v>
      </c>
      <c r="V22" s="53" t="s">
        <v>163</v>
      </c>
      <c r="W22" s="26">
        <f t="shared" si="3"/>
        <v>8</v>
      </c>
      <c r="X22" s="39">
        <f t="shared" si="15"/>
        <v>17</v>
      </c>
    </row>
    <row r="23" spans="1:24" ht="18" customHeight="1">
      <c r="A23" s="56">
        <v>20</v>
      </c>
      <c r="B23" s="98" t="s">
        <v>53</v>
      </c>
      <c r="C23" s="66" t="s">
        <v>159</v>
      </c>
      <c r="D23" s="58" t="s">
        <v>27</v>
      </c>
      <c r="E23" s="42">
        <v>181</v>
      </c>
      <c r="F23" s="43">
        <v>184</v>
      </c>
      <c r="G23" s="26">
        <f t="shared" si="0"/>
        <v>184</v>
      </c>
      <c r="H23" s="27">
        <f t="shared" si="10"/>
        <v>68</v>
      </c>
      <c r="I23" s="44">
        <v>47</v>
      </c>
      <c r="J23" s="29">
        <f t="shared" si="11"/>
        <v>38</v>
      </c>
      <c r="K23" s="46">
        <v>108</v>
      </c>
      <c r="L23" s="47">
        <v>107</v>
      </c>
      <c r="M23" s="27">
        <f t="shared" si="1"/>
        <v>108</v>
      </c>
      <c r="N23" s="27">
        <f t="shared" si="12"/>
        <v>71</v>
      </c>
      <c r="O23" s="48">
        <v>16.21</v>
      </c>
      <c r="P23" s="33">
        <f t="shared" si="13"/>
        <v>43</v>
      </c>
      <c r="Q23" s="50">
        <v>17.8</v>
      </c>
      <c r="R23" s="51">
        <v>16.899999999999999</v>
      </c>
      <c r="S23" s="36">
        <f t="shared" si="2"/>
        <v>17.8</v>
      </c>
      <c r="T23" s="36">
        <f t="shared" si="14"/>
        <v>26</v>
      </c>
      <c r="U23" s="52">
        <v>5</v>
      </c>
      <c r="V23" s="53">
        <v>5</v>
      </c>
      <c r="W23" s="26">
        <f t="shared" si="3"/>
        <v>5</v>
      </c>
      <c r="X23" s="39">
        <f t="shared" si="15"/>
        <v>77</v>
      </c>
    </row>
    <row r="24" spans="1:24" ht="18" customHeight="1">
      <c r="A24" s="56">
        <v>21</v>
      </c>
      <c r="B24" s="57" t="s">
        <v>54</v>
      </c>
      <c r="C24" s="66" t="s">
        <v>159</v>
      </c>
      <c r="D24" s="58" t="s">
        <v>27</v>
      </c>
      <c r="E24" s="42">
        <v>191</v>
      </c>
      <c r="F24" s="43">
        <v>190</v>
      </c>
      <c r="G24" s="26">
        <f t="shared" si="0"/>
        <v>191</v>
      </c>
      <c r="H24" s="27">
        <f t="shared" si="10"/>
        <v>65</v>
      </c>
      <c r="I24" s="44">
        <v>40</v>
      </c>
      <c r="J24" s="29">
        <f t="shared" si="11"/>
        <v>64</v>
      </c>
      <c r="K24" s="46">
        <v>103</v>
      </c>
      <c r="L24" s="47">
        <v>109.5</v>
      </c>
      <c r="M24" s="27">
        <f t="shared" si="1"/>
        <v>109.5</v>
      </c>
      <c r="N24" s="27">
        <f t="shared" si="12"/>
        <v>70</v>
      </c>
      <c r="O24" s="48">
        <v>16.350000000000001</v>
      </c>
      <c r="P24" s="33">
        <f t="shared" si="13"/>
        <v>40</v>
      </c>
      <c r="Q24" s="50">
        <v>13.1</v>
      </c>
      <c r="R24" s="51">
        <v>13.4</v>
      </c>
      <c r="S24" s="36">
        <f t="shared" si="2"/>
        <v>13.4</v>
      </c>
      <c r="T24" s="36">
        <f t="shared" si="14"/>
        <v>44</v>
      </c>
      <c r="U24" s="52">
        <v>6.1</v>
      </c>
      <c r="V24" s="53">
        <v>6.4</v>
      </c>
      <c r="W24" s="26">
        <f t="shared" si="3"/>
        <v>6.4</v>
      </c>
      <c r="X24" s="39">
        <f t="shared" si="15"/>
        <v>56</v>
      </c>
    </row>
    <row r="25" spans="1:24" ht="18" customHeight="1">
      <c r="A25" s="56">
        <v>22</v>
      </c>
      <c r="B25" s="98" t="s">
        <v>55</v>
      </c>
      <c r="C25" s="66" t="s">
        <v>159</v>
      </c>
      <c r="D25" s="58" t="s">
        <v>27</v>
      </c>
      <c r="E25" s="42">
        <v>237</v>
      </c>
      <c r="F25" s="43">
        <v>246</v>
      </c>
      <c r="G25" s="26">
        <f t="shared" si="0"/>
        <v>246</v>
      </c>
      <c r="H25" s="27">
        <f t="shared" si="10"/>
        <v>5</v>
      </c>
      <c r="I25" s="44">
        <v>46</v>
      </c>
      <c r="J25" s="29">
        <f t="shared" si="11"/>
        <v>44</v>
      </c>
      <c r="K25" s="46">
        <v>110</v>
      </c>
      <c r="L25" s="47">
        <v>118</v>
      </c>
      <c r="M25" s="27">
        <f t="shared" si="1"/>
        <v>118</v>
      </c>
      <c r="N25" s="27">
        <f t="shared" si="12"/>
        <v>61</v>
      </c>
      <c r="O25" s="48">
        <v>15.46</v>
      </c>
      <c r="P25" s="33">
        <f t="shared" si="13"/>
        <v>54</v>
      </c>
      <c r="Q25" s="50">
        <v>17.600000000000001</v>
      </c>
      <c r="R25" s="51">
        <v>18.2</v>
      </c>
      <c r="S25" s="36">
        <f t="shared" si="2"/>
        <v>18.2</v>
      </c>
      <c r="T25" s="36">
        <f t="shared" si="14"/>
        <v>25</v>
      </c>
      <c r="U25" s="52">
        <v>5.3</v>
      </c>
      <c r="V25" s="53">
        <v>5.8</v>
      </c>
      <c r="W25" s="26">
        <f t="shared" si="3"/>
        <v>5.8</v>
      </c>
      <c r="X25" s="39">
        <f t="shared" si="15"/>
        <v>65</v>
      </c>
    </row>
    <row r="26" spans="1:24" ht="18" customHeight="1">
      <c r="A26" s="56">
        <v>23</v>
      </c>
      <c r="B26" s="57" t="s">
        <v>56</v>
      </c>
      <c r="C26" s="66" t="s">
        <v>159</v>
      </c>
      <c r="D26" s="58" t="s">
        <v>27</v>
      </c>
      <c r="E26" s="42"/>
      <c r="F26" s="43"/>
      <c r="G26" s="26">
        <f t="shared" si="0"/>
        <v>0</v>
      </c>
      <c r="H26" s="27">
        <f t="shared" si="10"/>
        <v>74</v>
      </c>
      <c r="I26" s="44"/>
      <c r="J26" s="29">
        <f t="shared" si="11"/>
        <v>1</v>
      </c>
      <c r="K26" s="46"/>
      <c r="L26" s="47"/>
      <c r="M26" s="27">
        <f t="shared" si="1"/>
        <v>0</v>
      </c>
      <c r="N26" s="27">
        <f t="shared" si="12"/>
        <v>81</v>
      </c>
      <c r="O26" s="48"/>
      <c r="P26" s="33">
        <f t="shared" si="13"/>
        <v>1</v>
      </c>
      <c r="Q26" s="50"/>
      <c r="R26" s="51"/>
      <c r="S26" s="36">
        <f t="shared" si="2"/>
        <v>0</v>
      </c>
      <c r="T26" s="36">
        <f t="shared" si="14"/>
        <v>74</v>
      </c>
      <c r="U26" s="52"/>
      <c r="V26" s="53"/>
      <c r="W26" s="26">
        <f t="shared" si="3"/>
        <v>0</v>
      </c>
      <c r="X26" s="39">
        <f t="shared" si="15"/>
        <v>81</v>
      </c>
    </row>
    <row r="27" spans="1:24" ht="18" customHeight="1">
      <c r="A27" s="56">
        <v>24</v>
      </c>
      <c r="B27" s="98" t="s">
        <v>57</v>
      </c>
      <c r="C27" s="66" t="s">
        <v>159</v>
      </c>
      <c r="D27" s="58" t="s">
        <v>27</v>
      </c>
      <c r="E27" s="42">
        <v>214</v>
      </c>
      <c r="F27" s="43">
        <v>211</v>
      </c>
      <c r="G27" s="26">
        <f t="shared" si="0"/>
        <v>214</v>
      </c>
      <c r="H27" s="27">
        <f t="shared" si="10"/>
        <v>47</v>
      </c>
      <c r="I27" s="44">
        <v>46</v>
      </c>
      <c r="J27" s="29">
        <f t="shared" si="11"/>
        <v>44</v>
      </c>
      <c r="K27" s="46">
        <v>130</v>
      </c>
      <c r="L27" s="47">
        <v>133.5</v>
      </c>
      <c r="M27" s="27">
        <f t="shared" si="1"/>
        <v>133.5</v>
      </c>
      <c r="N27" s="27">
        <f t="shared" si="12"/>
        <v>42</v>
      </c>
      <c r="O27" s="48">
        <v>15.4</v>
      </c>
      <c r="P27" s="33">
        <f t="shared" si="13"/>
        <v>59</v>
      </c>
      <c r="Q27" s="50">
        <v>9.1</v>
      </c>
      <c r="R27" s="51">
        <v>8.5</v>
      </c>
      <c r="S27" s="36">
        <f t="shared" si="2"/>
        <v>9.1</v>
      </c>
      <c r="T27" s="36">
        <f t="shared" si="14"/>
        <v>57</v>
      </c>
      <c r="U27" s="52">
        <v>6.6</v>
      </c>
      <c r="V27" s="53">
        <v>6.9</v>
      </c>
      <c r="W27" s="26">
        <f t="shared" si="3"/>
        <v>6.9</v>
      </c>
      <c r="X27" s="39">
        <f t="shared" si="15"/>
        <v>43</v>
      </c>
    </row>
    <row r="28" spans="1:24" ht="18" customHeight="1">
      <c r="A28" s="56">
        <v>25</v>
      </c>
      <c r="B28" s="57" t="s">
        <v>58</v>
      </c>
      <c r="C28" s="66" t="s">
        <v>159</v>
      </c>
      <c r="D28" s="58" t="s">
        <v>27</v>
      </c>
      <c r="E28" s="42">
        <v>226</v>
      </c>
      <c r="F28" s="43">
        <v>222</v>
      </c>
      <c r="G28" s="26">
        <f t="shared" si="0"/>
        <v>226</v>
      </c>
      <c r="H28" s="27">
        <f t="shared" si="10"/>
        <v>30</v>
      </c>
      <c r="I28" s="44">
        <v>49</v>
      </c>
      <c r="J28" s="29">
        <f t="shared" si="11"/>
        <v>25</v>
      </c>
      <c r="K28" s="46">
        <v>113.5</v>
      </c>
      <c r="L28" s="47">
        <v>113</v>
      </c>
      <c r="M28" s="27">
        <f t="shared" si="1"/>
        <v>113.5</v>
      </c>
      <c r="N28" s="27">
        <f t="shared" si="12"/>
        <v>66</v>
      </c>
      <c r="O28" s="48">
        <v>15.12</v>
      </c>
      <c r="P28" s="33">
        <f t="shared" si="13"/>
        <v>63</v>
      </c>
      <c r="Q28" s="50">
        <v>-10.3</v>
      </c>
      <c r="R28" s="51">
        <v>-3.5</v>
      </c>
      <c r="S28" s="36">
        <f t="shared" si="2"/>
        <v>-3.5</v>
      </c>
      <c r="T28" s="36">
        <f t="shared" si="14"/>
        <v>98</v>
      </c>
      <c r="U28" s="52" t="s">
        <v>164</v>
      </c>
      <c r="V28" s="53">
        <v>7.5</v>
      </c>
      <c r="W28" s="26">
        <f t="shared" si="3"/>
        <v>7.5</v>
      </c>
      <c r="X28" s="39">
        <f t="shared" si="15"/>
        <v>25</v>
      </c>
    </row>
    <row r="29" spans="1:24" ht="18" customHeight="1">
      <c r="A29" s="56">
        <v>26</v>
      </c>
      <c r="B29" s="98" t="s">
        <v>59</v>
      </c>
      <c r="C29" s="66" t="s">
        <v>159</v>
      </c>
      <c r="D29" s="58" t="s">
        <v>27</v>
      </c>
      <c r="E29" s="42">
        <v>225</v>
      </c>
      <c r="F29" s="43">
        <v>221</v>
      </c>
      <c r="G29" s="26">
        <f t="shared" si="0"/>
        <v>225</v>
      </c>
      <c r="H29" s="27">
        <f t="shared" si="10"/>
        <v>33</v>
      </c>
      <c r="I29" s="44">
        <v>49</v>
      </c>
      <c r="J29" s="29">
        <f t="shared" si="11"/>
        <v>25</v>
      </c>
      <c r="K29" s="46">
        <v>121.5</v>
      </c>
      <c r="L29" s="47">
        <v>117</v>
      </c>
      <c r="M29" s="27">
        <f t="shared" si="1"/>
        <v>121.5</v>
      </c>
      <c r="N29" s="27">
        <f t="shared" si="12"/>
        <v>58</v>
      </c>
      <c r="O29" s="48">
        <v>15.93</v>
      </c>
      <c r="P29" s="33">
        <f t="shared" si="13"/>
        <v>49</v>
      </c>
      <c r="Q29" s="50">
        <v>14.8</v>
      </c>
      <c r="R29" s="51">
        <v>17.3</v>
      </c>
      <c r="S29" s="36">
        <f t="shared" si="2"/>
        <v>17.3</v>
      </c>
      <c r="T29" s="36">
        <f t="shared" si="14"/>
        <v>30</v>
      </c>
      <c r="U29" s="52" t="s">
        <v>165</v>
      </c>
      <c r="V29" s="53">
        <v>6.6</v>
      </c>
      <c r="W29" s="26">
        <f t="shared" si="3"/>
        <v>6.6</v>
      </c>
      <c r="X29" s="39">
        <f t="shared" si="15"/>
        <v>51</v>
      </c>
    </row>
    <row r="30" spans="1:24" ht="18" customHeight="1">
      <c r="A30" s="56">
        <v>27</v>
      </c>
      <c r="B30" s="57" t="s">
        <v>60</v>
      </c>
      <c r="C30" s="66" t="s">
        <v>159</v>
      </c>
      <c r="D30" s="58" t="s">
        <v>29</v>
      </c>
      <c r="E30" s="42"/>
      <c r="F30" s="43"/>
      <c r="G30" s="26">
        <f t="shared" si="0"/>
        <v>0</v>
      </c>
      <c r="H30" s="27">
        <f>IF(D30="여", COUNTIFS(D:D, "여", G:G, "&gt;"&amp;G30)+1, "")</f>
        <v>19</v>
      </c>
      <c r="I30" s="44"/>
      <c r="J30" s="45">
        <f>IF(D30="여", COUNTIFS(D:D, "여", I:I, "&gt;"&amp;I30)+1, "")</f>
        <v>1</v>
      </c>
      <c r="K30" s="46"/>
      <c r="L30" s="47"/>
      <c r="M30" s="27">
        <f t="shared" si="1"/>
        <v>0</v>
      </c>
      <c r="N30" s="27">
        <f>IF(D30="여", COUNTIFS(D:D, "여", M:M, "&gt;"&amp;M30)+1, "")</f>
        <v>21</v>
      </c>
      <c r="O30" s="48"/>
      <c r="P30" s="49">
        <f>IF(D30="여", COUNTIFS(D:D, "여", O:O, "&gt;"&amp;O30)+1, "")</f>
        <v>1</v>
      </c>
      <c r="Q30" s="50"/>
      <c r="R30" s="51"/>
      <c r="S30" s="36">
        <f t="shared" si="2"/>
        <v>0</v>
      </c>
      <c r="T30" s="36">
        <f>IF(D30="여", COUNTIFS(D:D, "여", S:S, "&gt;"&amp;S30)+1, "")</f>
        <v>21</v>
      </c>
      <c r="U30" s="52"/>
      <c r="V30" s="53"/>
      <c r="W30" s="26">
        <f t="shared" si="3"/>
        <v>0</v>
      </c>
      <c r="X30" s="54">
        <f>IF(D30="여", COUNTIFS(D:D, "여", W:W, "&gt;"&amp;W30)+1, "")</f>
        <v>21</v>
      </c>
    </row>
    <row r="31" spans="1:24" ht="18" customHeight="1">
      <c r="A31" s="56">
        <v>28</v>
      </c>
      <c r="B31" s="98" t="s">
        <v>61</v>
      </c>
      <c r="C31" s="66" t="s">
        <v>159</v>
      </c>
      <c r="D31" s="58" t="s">
        <v>27</v>
      </c>
      <c r="E31" s="42"/>
      <c r="F31" s="43"/>
      <c r="G31" s="26">
        <f t="shared" si="0"/>
        <v>0</v>
      </c>
      <c r="H31" s="27">
        <f>IF(D31="남", COUNTIFS(D:D, "남", G:G, "&gt;"&amp;G31)+1, "")</f>
        <v>74</v>
      </c>
      <c r="I31" s="44"/>
      <c r="J31" s="29">
        <f>IF(D31="남", COUNTIFS(D:D, "남", I:I, "&gt;"&amp;I31)+1, "")</f>
        <v>1</v>
      </c>
      <c r="K31" s="46"/>
      <c r="L31" s="47"/>
      <c r="M31" s="27">
        <f t="shared" si="1"/>
        <v>0</v>
      </c>
      <c r="N31" s="27">
        <f>IF(D31="남", COUNTIFS(D:D, "남", M:M, "&gt;"&amp;M31)+1, "")</f>
        <v>81</v>
      </c>
      <c r="O31" s="48"/>
      <c r="P31" s="33">
        <f>IF(D31="남", COUNTIFS(D:D, "남", O:O, "&gt;"&amp;O31)+1, "")</f>
        <v>1</v>
      </c>
      <c r="Q31" s="50"/>
      <c r="R31" s="51"/>
      <c r="S31" s="36">
        <f t="shared" si="2"/>
        <v>0</v>
      </c>
      <c r="T31" s="36">
        <f>IF(D31="남", COUNTIFS(D:D, "남", S:S, "&gt;"&amp;S31)+1, "")</f>
        <v>74</v>
      </c>
      <c r="U31" s="52"/>
      <c r="V31" s="53"/>
      <c r="W31" s="26">
        <f t="shared" si="3"/>
        <v>0</v>
      </c>
      <c r="X31" s="39">
        <f>IF(D31="남", COUNTIFS(D:D, "남", W:W, "&gt;"&amp;W31)+1, "")</f>
        <v>81</v>
      </c>
    </row>
    <row r="32" spans="1:24" ht="18" customHeight="1">
      <c r="A32" s="56">
        <v>29</v>
      </c>
      <c r="B32" s="57" t="s">
        <v>62</v>
      </c>
      <c r="C32" s="66" t="s">
        <v>159</v>
      </c>
      <c r="D32" s="58" t="s">
        <v>27</v>
      </c>
      <c r="E32" s="42"/>
      <c r="F32" s="43"/>
      <c r="G32" s="26">
        <f t="shared" si="0"/>
        <v>0</v>
      </c>
      <c r="H32" s="27">
        <f>IF(D32="남", COUNTIFS(D:D, "남", G:G, "&gt;"&amp;G32)+1, "")</f>
        <v>74</v>
      </c>
      <c r="I32" s="44"/>
      <c r="J32" s="29">
        <f>IF(D32="남", COUNTIFS(D:D, "남", I:I, "&gt;"&amp;I32)+1, "")</f>
        <v>1</v>
      </c>
      <c r="K32" s="46"/>
      <c r="L32" s="47"/>
      <c r="M32" s="27">
        <f t="shared" si="1"/>
        <v>0</v>
      </c>
      <c r="N32" s="27">
        <f>IF(D32="남", COUNTIFS(D:D, "남", M:M, "&gt;"&amp;M32)+1, "")</f>
        <v>81</v>
      </c>
      <c r="O32" s="48"/>
      <c r="P32" s="33">
        <f>IF(D32="남", COUNTIFS(D:D, "남", O:O, "&gt;"&amp;O32)+1, "")</f>
        <v>1</v>
      </c>
      <c r="Q32" s="50"/>
      <c r="R32" s="51"/>
      <c r="S32" s="36">
        <f t="shared" si="2"/>
        <v>0</v>
      </c>
      <c r="T32" s="36">
        <f>IF(D32="남", COUNTIFS(D:D, "남", S:S, "&gt;"&amp;S32)+1, "")</f>
        <v>74</v>
      </c>
      <c r="U32" s="52"/>
      <c r="V32" s="53"/>
      <c r="W32" s="26">
        <f t="shared" si="3"/>
        <v>0</v>
      </c>
      <c r="X32" s="39">
        <f>IF(D32="남", COUNTIFS(D:D, "남", W:W, "&gt;"&amp;W32)+1, "")</f>
        <v>81</v>
      </c>
    </row>
    <row r="33" spans="1:24" ht="18" customHeight="1">
      <c r="A33" s="56">
        <v>30</v>
      </c>
      <c r="B33" s="98" t="s">
        <v>64</v>
      </c>
      <c r="C33" s="66" t="s">
        <v>159</v>
      </c>
      <c r="D33" s="58" t="s">
        <v>27</v>
      </c>
      <c r="E33" s="42">
        <v>232</v>
      </c>
      <c r="F33" s="43">
        <v>241</v>
      </c>
      <c r="G33" s="26">
        <f t="shared" si="0"/>
        <v>241</v>
      </c>
      <c r="H33" s="27">
        <f>IF(D33="남", COUNTIFS(D:D, "남", G:G, "&gt;"&amp;G33)+1, "")</f>
        <v>9</v>
      </c>
      <c r="I33" s="44">
        <v>47</v>
      </c>
      <c r="J33" s="29">
        <f>IF(D33="남", COUNTIFS(D:D, "남", I:I, "&gt;"&amp;I33)+1, "")</f>
        <v>38</v>
      </c>
      <c r="K33" s="46">
        <v>129.5</v>
      </c>
      <c r="L33" s="47">
        <v>128</v>
      </c>
      <c r="M33" s="27">
        <f t="shared" si="1"/>
        <v>129.5</v>
      </c>
      <c r="N33" s="27">
        <f>IF(D33="남", COUNTIFS(D:D, "남", M:M, "&gt;"&amp;M33)+1, "")</f>
        <v>48</v>
      </c>
      <c r="O33" s="48">
        <v>15.07</v>
      </c>
      <c r="P33" s="33">
        <f>IF(D33="남", COUNTIFS(D:D, "남", O:O, "&gt;"&amp;O33)+1, "")</f>
        <v>65</v>
      </c>
      <c r="Q33" s="50">
        <v>13.7</v>
      </c>
      <c r="R33" s="51">
        <v>17</v>
      </c>
      <c r="S33" s="36">
        <f t="shared" si="2"/>
        <v>17</v>
      </c>
      <c r="T33" s="36">
        <f>IF(D33="남", COUNTIFS(D:D, "남", S:S, "&gt;"&amp;S33)+1, "")</f>
        <v>33</v>
      </c>
      <c r="U33" s="52" t="s">
        <v>166</v>
      </c>
      <c r="V33" s="53">
        <v>8.5</v>
      </c>
      <c r="W33" s="26">
        <f t="shared" si="3"/>
        <v>8.5</v>
      </c>
      <c r="X33" s="39">
        <f>IF(D33="남", COUNTIFS(D:D, "남", W:W, "&gt;"&amp;W33)+1, "")</f>
        <v>13</v>
      </c>
    </row>
    <row r="34" spans="1:24" ht="18" customHeight="1">
      <c r="A34" s="56">
        <v>31</v>
      </c>
      <c r="B34" s="57" t="s">
        <v>65</v>
      </c>
      <c r="C34" s="66" t="s">
        <v>159</v>
      </c>
      <c r="D34" s="58" t="s">
        <v>27</v>
      </c>
      <c r="E34" s="42">
        <v>230</v>
      </c>
      <c r="F34" s="43">
        <v>236</v>
      </c>
      <c r="G34" s="61">
        <f t="shared" si="0"/>
        <v>236</v>
      </c>
      <c r="H34" s="27">
        <f>IF(D34="남", COUNTIFS(D:D, "남", G:G, "&gt;"&amp;G34)+1, "")</f>
        <v>11</v>
      </c>
      <c r="I34" s="44">
        <v>49</v>
      </c>
      <c r="J34" s="29">
        <f>IF(D34="남", COUNTIFS(D:D, "남", I:I, "&gt;"&amp;I34)+1, "")</f>
        <v>25</v>
      </c>
      <c r="K34" s="46">
        <v>118.5</v>
      </c>
      <c r="L34" s="47">
        <v>119.5</v>
      </c>
      <c r="M34" s="62">
        <f t="shared" si="1"/>
        <v>119.5</v>
      </c>
      <c r="N34" s="27">
        <f>IF(D34="남", COUNTIFS(D:D, "남", M:M, "&gt;"&amp;M34)+1, "")</f>
        <v>60</v>
      </c>
      <c r="O34" s="48">
        <v>16.079999999999998</v>
      </c>
      <c r="P34" s="33">
        <f>IF(D34="남", COUNTIFS(D:D, "남", O:O, "&gt;"&amp;O34)+1, "")</f>
        <v>46</v>
      </c>
      <c r="Q34" s="50">
        <v>12.5</v>
      </c>
      <c r="R34" s="51">
        <v>5.3</v>
      </c>
      <c r="S34" s="63">
        <f t="shared" si="2"/>
        <v>12.5</v>
      </c>
      <c r="T34" s="36">
        <f>IF(D34="남", COUNTIFS(D:D, "남", S:S, "&gt;"&amp;S34)+1, "")</f>
        <v>47</v>
      </c>
      <c r="U34" s="52" t="s">
        <v>167</v>
      </c>
      <c r="V34" s="53">
        <v>5.5</v>
      </c>
      <c r="W34" s="26">
        <f t="shared" si="3"/>
        <v>5.5</v>
      </c>
      <c r="X34" s="39">
        <f>IF(D34="남", COUNTIFS(D:D, "남", W:W, "&gt;"&amp;W34)+1, "")</f>
        <v>72</v>
      </c>
    </row>
    <row r="35" spans="1:24" ht="18" customHeight="1">
      <c r="A35" s="64">
        <v>32</v>
      </c>
      <c r="B35" s="98" t="s">
        <v>66</v>
      </c>
      <c r="C35" s="66" t="s">
        <v>159</v>
      </c>
      <c r="D35" s="58" t="s">
        <v>27</v>
      </c>
      <c r="E35" s="24">
        <v>234</v>
      </c>
      <c r="F35" s="25">
        <v>222</v>
      </c>
      <c r="G35" s="26">
        <f t="shared" si="0"/>
        <v>234</v>
      </c>
      <c r="H35" s="27">
        <f>IF(D35="남", COUNTIFS(D:D, "남", G:G, "&gt;"&amp;G35)+1, "")</f>
        <v>16</v>
      </c>
      <c r="I35" s="28">
        <v>52</v>
      </c>
      <c r="J35" s="29">
        <f>IF(D35="남", COUNTIFS(D:D, "남", I:I, "&gt;"&amp;I35)+1, "")</f>
        <v>13</v>
      </c>
      <c r="K35" s="30">
        <v>135.5</v>
      </c>
      <c r="L35" s="31">
        <v>133.5</v>
      </c>
      <c r="M35" s="27">
        <f t="shared" si="1"/>
        <v>135.5</v>
      </c>
      <c r="N35" s="27">
        <f>IF(D35="남", COUNTIFS(D:D, "남", M:M, "&gt;"&amp;M35)+1, "")</f>
        <v>39</v>
      </c>
      <c r="O35" s="32">
        <v>16.46</v>
      </c>
      <c r="P35" s="33">
        <f>IF(D35="남", COUNTIFS(D:D, "남", O:O, "&gt;"&amp;O35)+1, "")</f>
        <v>38</v>
      </c>
      <c r="Q35" s="34">
        <v>27.2</v>
      </c>
      <c r="R35" s="35">
        <v>26.3</v>
      </c>
      <c r="S35" s="36">
        <f t="shared" si="2"/>
        <v>27.2</v>
      </c>
      <c r="T35" s="36">
        <f>IF(D35="남", COUNTIFS(D:D, "남", S:S, "&gt;"&amp;S35)+1, "")</f>
        <v>4</v>
      </c>
      <c r="U35" s="37">
        <v>8.1</v>
      </c>
      <c r="V35" s="38">
        <v>8.1999999999999993</v>
      </c>
      <c r="W35" s="26">
        <f t="shared" si="3"/>
        <v>8.1999999999999993</v>
      </c>
      <c r="X35" s="39">
        <f>IF(D35="남", COUNTIFS(D:D, "남", W:W, "&gt;"&amp;W35)+1, "")</f>
        <v>15</v>
      </c>
    </row>
    <row r="36" spans="1:24" ht="18" customHeight="1">
      <c r="A36" s="56">
        <v>33</v>
      </c>
      <c r="B36" s="57" t="s">
        <v>67</v>
      </c>
      <c r="C36" s="66" t="s">
        <v>159</v>
      </c>
      <c r="D36" s="58" t="s">
        <v>29</v>
      </c>
      <c r="E36" s="42">
        <v>168</v>
      </c>
      <c r="F36" s="43">
        <v>168</v>
      </c>
      <c r="G36" s="26">
        <f t="shared" si="0"/>
        <v>168</v>
      </c>
      <c r="H36" s="27">
        <f>IF(D36="여", COUNTIFS(D:D, "여", G:G, "&gt;"&amp;G36)+1, "")</f>
        <v>13</v>
      </c>
      <c r="I36" s="44">
        <v>38</v>
      </c>
      <c r="J36" s="45">
        <f>IF(D36="여", COUNTIFS(D:D, "여", I:I, "&gt;"&amp;I36)+1, "")</f>
        <v>6</v>
      </c>
      <c r="K36" s="46">
        <v>124</v>
      </c>
      <c r="L36" s="47">
        <v>125.5</v>
      </c>
      <c r="M36" s="27">
        <f t="shared" si="1"/>
        <v>125.5</v>
      </c>
      <c r="N36" s="27">
        <f>IF(D36="여", COUNTIFS(D:D, "여", M:M, "&gt;"&amp;M36)+1, "")</f>
        <v>1</v>
      </c>
      <c r="O36" s="48"/>
      <c r="P36" s="49">
        <f>IF(D36="여", COUNTIFS(D:D, "여", O:O, "&gt;"&amp;O36)+1, "")</f>
        <v>1</v>
      </c>
      <c r="Q36" s="50">
        <v>25.1</v>
      </c>
      <c r="R36" s="51">
        <v>26</v>
      </c>
      <c r="S36" s="36">
        <f t="shared" si="2"/>
        <v>26</v>
      </c>
      <c r="T36" s="36">
        <f>IF(D36="여", COUNTIFS(D:D, "여", S:S, "&gt;"&amp;S36)+1, "")</f>
        <v>6</v>
      </c>
      <c r="U36" s="52">
        <v>5.3</v>
      </c>
      <c r="V36" s="53">
        <v>5.5</v>
      </c>
      <c r="W36" s="26">
        <f t="shared" si="3"/>
        <v>5.5</v>
      </c>
      <c r="X36" s="54">
        <f>IF(D36="여", COUNTIFS(D:D, "여", W:W, "&gt;"&amp;W36)+1, "")</f>
        <v>14</v>
      </c>
    </row>
    <row r="37" spans="1:24" ht="18" customHeight="1">
      <c r="A37" s="56">
        <v>34</v>
      </c>
      <c r="B37" s="98" t="s">
        <v>68</v>
      </c>
      <c r="C37" s="66" t="s">
        <v>159</v>
      </c>
      <c r="D37" s="58" t="s">
        <v>27</v>
      </c>
      <c r="E37" s="42">
        <v>206</v>
      </c>
      <c r="F37" s="43">
        <v>214</v>
      </c>
      <c r="G37" s="26">
        <f t="shared" si="0"/>
        <v>214</v>
      </c>
      <c r="H37" s="27">
        <f t="shared" ref="H37:H47" si="16">IF(D37="남", COUNTIFS(D:D, "남", G:G, "&gt;"&amp;G37)+1, "")</f>
        <v>47</v>
      </c>
      <c r="I37" s="44">
        <v>50</v>
      </c>
      <c r="J37" s="29">
        <f t="shared" ref="J37:J47" si="17">IF(D37="남", COUNTIFS(D:D, "남", I:I, "&gt;"&amp;I37)+1, "")</f>
        <v>20</v>
      </c>
      <c r="K37" s="46">
        <v>125.5</v>
      </c>
      <c r="L37" s="47">
        <v>130</v>
      </c>
      <c r="M37" s="27">
        <f t="shared" si="1"/>
        <v>130</v>
      </c>
      <c r="N37" s="27">
        <f t="shared" ref="N37:N47" si="18">IF(D37="남", COUNTIFS(D:D, "남", M:M, "&gt;"&amp;M37)+1, "")</f>
        <v>47</v>
      </c>
      <c r="O37" s="48">
        <v>16.25</v>
      </c>
      <c r="P37" s="33">
        <f t="shared" ref="P37:P47" si="19">IF(D37="남", COUNTIFS(D:D, "남", O:O, "&gt;"&amp;O37)+1, "")</f>
        <v>42</v>
      </c>
      <c r="Q37" s="50">
        <v>11.6</v>
      </c>
      <c r="R37" s="51">
        <v>10.9</v>
      </c>
      <c r="S37" s="36">
        <f t="shared" si="2"/>
        <v>11.6</v>
      </c>
      <c r="T37" s="36">
        <f t="shared" ref="T37:T47" si="20">IF(D37="남", COUNTIFS(D:D, "남", S:S, "&gt;"&amp;S37)+1, "")</f>
        <v>50</v>
      </c>
      <c r="U37" s="52">
        <v>7.6</v>
      </c>
      <c r="V37" s="53">
        <v>7.5</v>
      </c>
      <c r="W37" s="26">
        <f t="shared" si="3"/>
        <v>7.6</v>
      </c>
      <c r="X37" s="39">
        <f t="shared" ref="X37:X47" si="21">IF(D37="남", COUNTIFS(D:D, "남", W:W, "&gt;"&amp;W37)+1, "")</f>
        <v>24</v>
      </c>
    </row>
    <row r="38" spans="1:24" ht="18" customHeight="1">
      <c r="A38" s="56">
        <v>35</v>
      </c>
      <c r="B38" s="57" t="s">
        <v>69</v>
      </c>
      <c r="C38" s="66" t="s">
        <v>159</v>
      </c>
      <c r="D38" s="58" t="s">
        <v>27</v>
      </c>
      <c r="E38" s="42">
        <v>214</v>
      </c>
      <c r="F38" s="43">
        <v>218</v>
      </c>
      <c r="G38" s="26">
        <f t="shared" si="0"/>
        <v>218</v>
      </c>
      <c r="H38" s="27">
        <f t="shared" si="16"/>
        <v>41</v>
      </c>
      <c r="I38" s="44">
        <v>49</v>
      </c>
      <c r="J38" s="29">
        <f t="shared" si="17"/>
        <v>25</v>
      </c>
      <c r="K38" s="46">
        <v>123.5</v>
      </c>
      <c r="L38" s="47">
        <v>118</v>
      </c>
      <c r="M38" s="27">
        <f t="shared" si="1"/>
        <v>123.5</v>
      </c>
      <c r="N38" s="27">
        <f t="shared" si="18"/>
        <v>56</v>
      </c>
      <c r="O38" s="48">
        <v>16.489999999999998</v>
      </c>
      <c r="P38" s="33">
        <f t="shared" si="19"/>
        <v>37</v>
      </c>
      <c r="Q38" s="50">
        <v>22.6</v>
      </c>
      <c r="R38" s="51">
        <v>22.4</v>
      </c>
      <c r="S38" s="36">
        <f t="shared" si="2"/>
        <v>22.6</v>
      </c>
      <c r="T38" s="36">
        <f t="shared" si="20"/>
        <v>12</v>
      </c>
      <c r="U38" s="52">
        <v>5.4</v>
      </c>
      <c r="V38" s="53" t="s">
        <v>168</v>
      </c>
      <c r="W38" s="26">
        <f t="shared" si="3"/>
        <v>5.4</v>
      </c>
      <c r="X38" s="39">
        <f t="shared" si="21"/>
        <v>74</v>
      </c>
    </row>
    <row r="39" spans="1:24" ht="18" customHeight="1">
      <c r="A39" s="56">
        <v>36</v>
      </c>
      <c r="B39" s="98" t="s">
        <v>70</v>
      </c>
      <c r="C39" s="66" t="s">
        <v>159</v>
      </c>
      <c r="D39" s="58" t="s">
        <v>27</v>
      </c>
      <c r="E39" s="42" t="s">
        <v>33</v>
      </c>
      <c r="F39" s="43">
        <v>219</v>
      </c>
      <c r="G39" s="26">
        <f t="shared" si="0"/>
        <v>219</v>
      </c>
      <c r="H39" s="27">
        <f t="shared" si="16"/>
        <v>40</v>
      </c>
      <c r="I39" s="44"/>
      <c r="J39" s="29">
        <f t="shared" si="17"/>
        <v>1</v>
      </c>
      <c r="K39" s="46">
        <v>122</v>
      </c>
      <c r="L39" s="47">
        <v>115.5</v>
      </c>
      <c r="M39" s="27">
        <f t="shared" si="1"/>
        <v>122</v>
      </c>
      <c r="N39" s="27">
        <f t="shared" si="18"/>
        <v>57</v>
      </c>
      <c r="O39" s="48">
        <v>17.21</v>
      </c>
      <c r="P39" s="33">
        <f t="shared" si="19"/>
        <v>23</v>
      </c>
      <c r="Q39" s="50">
        <v>29.6</v>
      </c>
      <c r="R39" s="51">
        <v>30.1</v>
      </c>
      <c r="S39" s="36">
        <f t="shared" si="2"/>
        <v>30.1</v>
      </c>
      <c r="T39" s="36">
        <f t="shared" si="20"/>
        <v>2</v>
      </c>
      <c r="U39" s="52">
        <v>7.3</v>
      </c>
      <c r="V39" s="53">
        <v>7.2</v>
      </c>
      <c r="W39" s="26">
        <f t="shared" si="3"/>
        <v>7.3</v>
      </c>
      <c r="X39" s="39">
        <f t="shared" si="21"/>
        <v>31</v>
      </c>
    </row>
    <row r="40" spans="1:24" ht="18" customHeight="1">
      <c r="A40" s="56">
        <v>37</v>
      </c>
      <c r="B40" s="57" t="s">
        <v>71</v>
      </c>
      <c r="C40" s="66" t="s">
        <v>159</v>
      </c>
      <c r="D40" s="58" t="s">
        <v>27</v>
      </c>
      <c r="E40" s="42" t="s">
        <v>33</v>
      </c>
      <c r="F40" s="43">
        <v>150</v>
      </c>
      <c r="G40" s="26">
        <f t="shared" si="0"/>
        <v>150</v>
      </c>
      <c r="H40" s="27">
        <f t="shared" si="16"/>
        <v>73</v>
      </c>
      <c r="I40" s="44">
        <v>53</v>
      </c>
      <c r="J40" s="29">
        <f t="shared" si="17"/>
        <v>10</v>
      </c>
      <c r="K40" s="46"/>
      <c r="L40" s="47"/>
      <c r="M40" s="27">
        <f t="shared" si="1"/>
        <v>0</v>
      </c>
      <c r="N40" s="27">
        <f t="shared" si="18"/>
        <v>81</v>
      </c>
      <c r="O40" s="48">
        <v>16.559999999999999</v>
      </c>
      <c r="P40" s="33">
        <f t="shared" si="19"/>
        <v>34</v>
      </c>
      <c r="Q40" s="50">
        <v>5.6</v>
      </c>
      <c r="R40" s="51">
        <v>7.1</v>
      </c>
      <c r="S40" s="36">
        <f t="shared" si="2"/>
        <v>7.1</v>
      </c>
      <c r="T40" s="36">
        <f t="shared" si="20"/>
        <v>65</v>
      </c>
      <c r="U40" s="52" t="s">
        <v>51</v>
      </c>
      <c r="V40" s="53">
        <v>6</v>
      </c>
      <c r="W40" s="26">
        <f t="shared" si="3"/>
        <v>6</v>
      </c>
      <c r="X40" s="39">
        <f t="shared" si="21"/>
        <v>63</v>
      </c>
    </row>
    <row r="41" spans="1:24" ht="18" customHeight="1">
      <c r="A41" s="56">
        <v>38</v>
      </c>
      <c r="B41" s="98" t="s">
        <v>73</v>
      </c>
      <c r="C41" s="66" t="s">
        <v>159</v>
      </c>
      <c r="D41" s="58" t="s">
        <v>27</v>
      </c>
      <c r="E41" s="42">
        <v>164</v>
      </c>
      <c r="F41" s="43">
        <v>163</v>
      </c>
      <c r="G41" s="26">
        <f t="shared" si="0"/>
        <v>164</v>
      </c>
      <c r="H41" s="27">
        <f t="shared" si="16"/>
        <v>71</v>
      </c>
      <c r="I41" s="44">
        <v>33</v>
      </c>
      <c r="J41" s="29">
        <f t="shared" si="17"/>
        <v>72</v>
      </c>
      <c r="K41" s="46">
        <v>163.5</v>
      </c>
      <c r="L41" s="47">
        <v>150</v>
      </c>
      <c r="M41" s="27">
        <f t="shared" si="1"/>
        <v>163.5</v>
      </c>
      <c r="N41" s="27">
        <f t="shared" si="18"/>
        <v>16</v>
      </c>
      <c r="O41" s="48">
        <v>19.64</v>
      </c>
      <c r="P41" s="33">
        <f t="shared" si="19"/>
        <v>8</v>
      </c>
      <c r="Q41" s="50">
        <v>10.4</v>
      </c>
      <c r="R41" s="51">
        <v>10.5</v>
      </c>
      <c r="S41" s="36">
        <f t="shared" si="2"/>
        <v>10.5</v>
      </c>
      <c r="T41" s="36">
        <f t="shared" si="20"/>
        <v>54</v>
      </c>
      <c r="U41" s="52">
        <v>8.5</v>
      </c>
      <c r="V41" s="53">
        <v>8.6</v>
      </c>
      <c r="W41" s="26">
        <f t="shared" si="3"/>
        <v>8.6</v>
      </c>
      <c r="X41" s="39">
        <f t="shared" si="21"/>
        <v>12</v>
      </c>
    </row>
    <row r="42" spans="1:24" ht="18" customHeight="1">
      <c r="A42" s="56">
        <v>39</v>
      </c>
      <c r="B42" s="57" t="s">
        <v>74</v>
      </c>
      <c r="C42" s="66" t="s">
        <v>159</v>
      </c>
      <c r="D42" s="58" t="s">
        <v>27</v>
      </c>
      <c r="E42" s="42" t="s">
        <v>133</v>
      </c>
      <c r="F42" s="43" t="s">
        <v>133</v>
      </c>
      <c r="G42" s="26">
        <f t="shared" si="0"/>
        <v>0</v>
      </c>
      <c r="H42" s="27">
        <f t="shared" si="16"/>
        <v>74</v>
      </c>
      <c r="I42" s="44" t="s">
        <v>133</v>
      </c>
      <c r="J42" s="29">
        <f t="shared" si="17"/>
        <v>1</v>
      </c>
      <c r="K42" s="46">
        <v>172</v>
      </c>
      <c r="L42" s="47">
        <v>167</v>
      </c>
      <c r="M42" s="27">
        <f t="shared" si="1"/>
        <v>172</v>
      </c>
      <c r="N42" s="27">
        <f t="shared" si="18"/>
        <v>11</v>
      </c>
      <c r="O42" s="48"/>
      <c r="P42" s="33">
        <f t="shared" si="19"/>
        <v>1</v>
      </c>
      <c r="Q42" s="50" t="s">
        <v>133</v>
      </c>
      <c r="R42" s="51" t="s">
        <v>133</v>
      </c>
      <c r="S42" s="36">
        <f t="shared" si="2"/>
        <v>0</v>
      </c>
      <c r="T42" s="36">
        <f t="shared" si="20"/>
        <v>74</v>
      </c>
      <c r="U42" s="52">
        <v>7.3</v>
      </c>
      <c r="V42" s="53" t="s">
        <v>169</v>
      </c>
      <c r="W42" s="26">
        <f t="shared" si="3"/>
        <v>7.3</v>
      </c>
      <c r="X42" s="39">
        <f t="shared" si="21"/>
        <v>31</v>
      </c>
    </row>
    <row r="43" spans="1:24" ht="18" customHeight="1" thickBot="1">
      <c r="A43" s="68">
        <v>40</v>
      </c>
      <c r="B43" s="99" t="s">
        <v>75</v>
      </c>
      <c r="C43" s="70" t="s">
        <v>159</v>
      </c>
      <c r="D43" s="71" t="s">
        <v>27</v>
      </c>
      <c r="E43" s="72">
        <v>188</v>
      </c>
      <c r="F43" s="73">
        <v>183</v>
      </c>
      <c r="G43" s="74">
        <f t="shared" si="0"/>
        <v>188</v>
      </c>
      <c r="H43" s="27">
        <f t="shared" si="16"/>
        <v>66</v>
      </c>
      <c r="I43" s="76">
        <v>34</v>
      </c>
      <c r="J43" s="81">
        <f t="shared" si="17"/>
        <v>71</v>
      </c>
      <c r="K43" s="77">
        <v>167.5</v>
      </c>
      <c r="L43" s="78">
        <v>161.5</v>
      </c>
      <c r="M43" s="79">
        <f t="shared" si="1"/>
        <v>167.5</v>
      </c>
      <c r="N43" s="27">
        <f t="shared" si="18"/>
        <v>13</v>
      </c>
      <c r="O43" s="80">
        <v>18.12</v>
      </c>
      <c r="P43" s="81">
        <f t="shared" si="19"/>
        <v>13</v>
      </c>
      <c r="Q43" s="82">
        <v>28.3</v>
      </c>
      <c r="R43" s="83">
        <v>26.1</v>
      </c>
      <c r="S43" s="75">
        <f t="shared" si="2"/>
        <v>28.3</v>
      </c>
      <c r="T43" s="36">
        <f t="shared" si="20"/>
        <v>3</v>
      </c>
      <c r="U43" s="84" t="s">
        <v>170</v>
      </c>
      <c r="V43" s="85">
        <v>7</v>
      </c>
      <c r="W43" s="74">
        <f t="shared" si="3"/>
        <v>7</v>
      </c>
      <c r="X43" s="39">
        <f t="shared" si="21"/>
        <v>39</v>
      </c>
    </row>
    <row r="44" spans="1:24" ht="18" customHeight="1">
      <c r="A44" s="20">
        <v>41</v>
      </c>
      <c r="B44" s="100" t="s">
        <v>171</v>
      </c>
      <c r="C44" s="23" t="s">
        <v>159</v>
      </c>
      <c r="D44" s="87" t="s">
        <v>27</v>
      </c>
      <c r="E44" s="24">
        <v>216</v>
      </c>
      <c r="F44" s="25">
        <v>211</v>
      </c>
      <c r="G44" s="26">
        <f t="shared" si="0"/>
        <v>216</v>
      </c>
      <c r="H44" s="27">
        <f t="shared" si="16"/>
        <v>43</v>
      </c>
      <c r="I44" s="28">
        <v>49</v>
      </c>
      <c r="J44" s="29">
        <f t="shared" si="17"/>
        <v>25</v>
      </c>
      <c r="K44" s="30">
        <v>150</v>
      </c>
      <c r="L44" s="31">
        <v>149</v>
      </c>
      <c r="M44" s="27">
        <f t="shared" si="1"/>
        <v>150</v>
      </c>
      <c r="N44" s="27">
        <f t="shared" si="18"/>
        <v>24</v>
      </c>
      <c r="O44" s="32">
        <v>16.7</v>
      </c>
      <c r="P44" s="33">
        <f t="shared" si="19"/>
        <v>31</v>
      </c>
      <c r="Q44" s="34">
        <v>5.8</v>
      </c>
      <c r="R44" s="35">
        <v>4.7</v>
      </c>
      <c r="S44" s="36">
        <f t="shared" si="2"/>
        <v>5.8</v>
      </c>
      <c r="T44" s="36">
        <f t="shared" si="20"/>
        <v>67</v>
      </c>
      <c r="U44" s="37">
        <v>7.4</v>
      </c>
      <c r="V44" s="38">
        <v>7.5</v>
      </c>
      <c r="W44" s="26">
        <f t="shared" si="3"/>
        <v>7.5</v>
      </c>
      <c r="X44" s="39">
        <f t="shared" si="21"/>
        <v>25</v>
      </c>
    </row>
    <row r="45" spans="1:24" ht="18" customHeight="1">
      <c r="A45" s="40">
        <v>42</v>
      </c>
      <c r="B45" s="21" t="s">
        <v>171</v>
      </c>
      <c r="C45" s="23" t="s">
        <v>159</v>
      </c>
      <c r="D45" s="22" t="s">
        <v>27</v>
      </c>
      <c r="E45" s="42">
        <v>197</v>
      </c>
      <c r="F45" s="43"/>
      <c r="G45" s="26">
        <f t="shared" si="0"/>
        <v>197</v>
      </c>
      <c r="H45" s="27">
        <f t="shared" si="16"/>
        <v>63</v>
      </c>
      <c r="I45" s="44">
        <v>31</v>
      </c>
      <c r="J45" s="29">
        <f t="shared" si="17"/>
        <v>73</v>
      </c>
      <c r="K45" s="46">
        <v>166.5</v>
      </c>
      <c r="L45" s="47">
        <v>166.5</v>
      </c>
      <c r="M45" s="27">
        <f t="shared" si="1"/>
        <v>166.5</v>
      </c>
      <c r="N45" s="27">
        <f t="shared" si="18"/>
        <v>14</v>
      </c>
      <c r="O45" s="48">
        <v>18.95</v>
      </c>
      <c r="P45" s="33">
        <f t="shared" si="19"/>
        <v>10</v>
      </c>
      <c r="Q45" s="50">
        <v>23.3</v>
      </c>
      <c r="R45" s="51">
        <v>26</v>
      </c>
      <c r="S45" s="36">
        <f t="shared" si="2"/>
        <v>26</v>
      </c>
      <c r="T45" s="36">
        <f t="shared" si="20"/>
        <v>5</v>
      </c>
      <c r="U45" s="52">
        <v>8.4</v>
      </c>
      <c r="V45" s="53">
        <v>9.3000000000000007</v>
      </c>
      <c r="W45" s="26">
        <f t="shared" si="3"/>
        <v>9.3000000000000007</v>
      </c>
      <c r="X45" s="39">
        <f t="shared" si="21"/>
        <v>1</v>
      </c>
    </row>
    <row r="46" spans="1:24" ht="18" customHeight="1">
      <c r="A46" s="40">
        <v>43</v>
      </c>
      <c r="B46" s="97" t="s">
        <v>171</v>
      </c>
      <c r="C46" s="23" t="s">
        <v>159</v>
      </c>
      <c r="D46" s="22" t="s">
        <v>27</v>
      </c>
      <c r="E46" s="42"/>
      <c r="F46" s="43"/>
      <c r="G46" s="26">
        <f t="shared" si="0"/>
        <v>0</v>
      </c>
      <c r="H46" s="27">
        <f t="shared" si="16"/>
        <v>74</v>
      </c>
      <c r="I46" s="44">
        <v>43</v>
      </c>
      <c r="J46" s="29">
        <f t="shared" si="17"/>
        <v>55</v>
      </c>
      <c r="K46" s="46">
        <v>135</v>
      </c>
      <c r="L46" s="47">
        <v>145</v>
      </c>
      <c r="M46" s="27">
        <f t="shared" si="1"/>
        <v>145</v>
      </c>
      <c r="N46" s="27">
        <f t="shared" si="18"/>
        <v>28</v>
      </c>
      <c r="O46" s="48">
        <v>17.14</v>
      </c>
      <c r="P46" s="33">
        <f t="shared" si="19"/>
        <v>25</v>
      </c>
      <c r="Q46" s="50">
        <v>10.3</v>
      </c>
      <c r="R46" s="51">
        <v>14.2</v>
      </c>
      <c r="S46" s="36">
        <f t="shared" si="2"/>
        <v>14.2</v>
      </c>
      <c r="T46" s="36">
        <f t="shared" si="20"/>
        <v>42</v>
      </c>
      <c r="U46" s="52" t="s">
        <v>72</v>
      </c>
      <c r="V46" s="53">
        <v>8.6999999999999993</v>
      </c>
      <c r="W46" s="26">
        <f t="shared" si="3"/>
        <v>8.6999999999999993</v>
      </c>
      <c r="X46" s="39">
        <f t="shared" si="21"/>
        <v>11</v>
      </c>
    </row>
    <row r="47" spans="1:24" ht="18" customHeight="1">
      <c r="A47" s="40">
        <v>44</v>
      </c>
      <c r="B47" s="21" t="s">
        <v>171</v>
      </c>
      <c r="C47" s="23" t="s">
        <v>159</v>
      </c>
      <c r="D47" s="22" t="s">
        <v>27</v>
      </c>
      <c r="E47" s="42">
        <v>217</v>
      </c>
      <c r="F47" s="43">
        <v>234</v>
      </c>
      <c r="G47" s="26">
        <f t="shared" si="0"/>
        <v>234</v>
      </c>
      <c r="H47" s="27">
        <f t="shared" si="16"/>
        <v>16</v>
      </c>
      <c r="I47" s="44">
        <v>49</v>
      </c>
      <c r="J47" s="29">
        <f t="shared" si="17"/>
        <v>25</v>
      </c>
      <c r="K47" s="46">
        <v>144.5</v>
      </c>
      <c r="L47" s="47">
        <v>144</v>
      </c>
      <c r="M47" s="27">
        <f t="shared" si="1"/>
        <v>144.5</v>
      </c>
      <c r="N47" s="27">
        <f t="shared" si="18"/>
        <v>29</v>
      </c>
      <c r="O47" s="48">
        <v>16.559999999999999</v>
      </c>
      <c r="P47" s="33">
        <f t="shared" si="19"/>
        <v>34</v>
      </c>
      <c r="Q47" s="50">
        <v>1.5</v>
      </c>
      <c r="R47" s="51">
        <v>-1.4</v>
      </c>
      <c r="S47" s="36">
        <f t="shared" si="2"/>
        <v>1.5</v>
      </c>
      <c r="T47" s="36">
        <f t="shared" si="20"/>
        <v>72</v>
      </c>
      <c r="U47" s="52"/>
      <c r="V47" s="53"/>
      <c r="W47" s="26">
        <f t="shared" si="3"/>
        <v>0</v>
      </c>
      <c r="X47" s="39">
        <f t="shared" si="21"/>
        <v>81</v>
      </c>
    </row>
    <row r="48" spans="1:24" ht="18" customHeight="1">
      <c r="A48" s="40">
        <v>45</v>
      </c>
      <c r="B48" s="97" t="s">
        <v>171</v>
      </c>
      <c r="C48" s="23" t="s">
        <v>159</v>
      </c>
      <c r="D48" s="22" t="s">
        <v>29</v>
      </c>
      <c r="E48" s="42">
        <v>197</v>
      </c>
      <c r="F48" s="43" t="s">
        <v>33</v>
      </c>
      <c r="G48" s="26">
        <f t="shared" si="0"/>
        <v>197</v>
      </c>
      <c r="H48" s="27">
        <f>IF(D48="여", COUNTIFS(D:D, "여", G:G, "&gt;"&amp;G48)+1, "")</f>
        <v>5</v>
      </c>
      <c r="I48" s="44">
        <v>38</v>
      </c>
      <c r="J48" s="45">
        <f>IF(D48="여", COUNTIFS(D:D, "여", I:I, "&gt;"&amp;I48)+1, "")</f>
        <v>6</v>
      </c>
      <c r="K48" s="46">
        <v>113.5</v>
      </c>
      <c r="L48" s="47">
        <v>113.5</v>
      </c>
      <c r="M48" s="27">
        <f t="shared" si="1"/>
        <v>113.5</v>
      </c>
      <c r="N48" s="27">
        <f>IF(D48="여", COUNTIFS(D:D, "여", M:M, "&gt;"&amp;M48)+1, "")</f>
        <v>4</v>
      </c>
      <c r="O48" s="48">
        <v>16.739999999999998</v>
      </c>
      <c r="P48" s="49">
        <f>IF(D48="여", COUNTIFS(D:D, "여", O:O, "&gt;"&amp;O48)+1, "")</f>
        <v>17</v>
      </c>
      <c r="Q48" s="50">
        <v>6.1</v>
      </c>
      <c r="R48" s="51">
        <v>-3.6</v>
      </c>
      <c r="S48" s="36">
        <f t="shared" si="2"/>
        <v>6.1</v>
      </c>
      <c r="T48" s="36">
        <f>IF(D48="여", COUNTIFS(D:D, "여", S:S, "&gt;"&amp;S48)+1, "")</f>
        <v>20</v>
      </c>
      <c r="U48" s="52">
        <v>7.1</v>
      </c>
      <c r="V48" s="53">
        <v>6.5</v>
      </c>
      <c r="W48" s="26">
        <f t="shared" si="3"/>
        <v>7.1</v>
      </c>
      <c r="X48" s="54">
        <f>IF(D48="여", COUNTIFS(D:D, "여", W:W, "&gt;"&amp;W48)+1, "")</f>
        <v>6</v>
      </c>
    </row>
    <row r="49" spans="1:24" ht="18" customHeight="1">
      <c r="A49" s="40">
        <v>46</v>
      </c>
      <c r="B49" s="21" t="s">
        <v>171</v>
      </c>
      <c r="C49" s="23" t="s">
        <v>159</v>
      </c>
      <c r="D49" s="22" t="s">
        <v>29</v>
      </c>
      <c r="E49" s="42">
        <v>175</v>
      </c>
      <c r="F49" s="43">
        <v>180</v>
      </c>
      <c r="G49" s="26">
        <f t="shared" si="0"/>
        <v>180</v>
      </c>
      <c r="H49" s="27">
        <f>IF(D49="여", COUNTIFS(D:D, "여", G:G, "&gt;"&amp;G49)+1, "")</f>
        <v>9</v>
      </c>
      <c r="I49" s="44">
        <v>33</v>
      </c>
      <c r="J49" s="45">
        <f>IF(D49="여", COUNTIFS(D:D, "여", I:I, "&gt;"&amp;I49)+1, "")</f>
        <v>12</v>
      </c>
      <c r="K49" s="46">
        <v>89</v>
      </c>
      <c r="L49" s="47">
        <v>94</v>
      </c>
      <c r="M49" s="27">
        <f t="shared" si="1"/>
        <v>94</v>
      </c>
      <c r="N49" s="27">
        <f>IF(D49="여", COUNTIFS(D:D, "여", M:M, "&gt;"&amp;M49)+1, "")</f>
        <v>8</v>
      </c>
      <c r="O49" s="48">
        <v>17.79</v>
      </c>
      <c r="P49" s="49">
        <f>IF(D49="여", COUNTIFS(D:D, "여", O:O, "&gt;"&amp;O49)+1, "")</f>
        <v>14</v>
      </c>
      <c r="Q49" s="50">
        <v>26.3</v>
      </c>
      <c r="R49" s="51">
        <v>26.8</v>
      </c>
      <c r="S49" s="36">
        <f t="shared" si="2"/>
        <v>26.8</v>
      </c>
      <c r="T49" s="36">
        <f>IF(D49="여", COUNTIFS(D:D, "여", S:S, "&gt;"&amp;S49)+1, "")</f>
        <v>4</v>
      </c>
      <c r="U49" s="52">
        <v>6.2</v>
      </c>
      <c r="V49" s="53">
        <v>6.2</v>
      </c>
      <c r="W49" s="26">
        <f t="shared" si="3"/>
        <v>6.2</v>
      </c>
      <c r="X49" s="54">
        <f>IF(D49="여", COUNTIFS(D:D, "여", W:W, "&gt;"&amp;W49)+1, "")</f>
        <v>12</v>
      </c>
    </row>
    <row r="50" spans="1:24" ht="18" customHeight="1">
      <c r="A50" s="40">
        <v>47</v>
      </c>
      <c r="B50" s="97" t="s">
        <v>171</v>
      </c>
      <c r="C50" s="23" t="s">
        <v>159</v>
      </c>
      <c r="D50" s="22" t="s">
        <v>29</v>
      </c>
      <c r="E50" s="42">
        <v>198</v>
      </c>
      <c r="F50" s="43">
        <v>202</v>
      </c>
      <c r="G50" s="26">
        <f t="shared" si="0"/>
        <v>202</v>
      </c>
      <c r="H50" s="27">
        <f>IF(D50="여", COUNTIFS(D:D, "여", G:G, "&gt;"&amp;G50)+1, "")</f>
        <v>4</v>
      </c>
      <c r="I50" s="44">
        <v>44</v>
      </c>
      <c r="J50" s="45">
        <f>IF(D50="여", COUNTIFS(D:D, "여", I:I, "&gt;"&amp;I50)+1, "")</f>
        <v>2</v>
      </c>
      <c r="K50" s="46">
        <v>94.5</v>
      </c>
      <c r="L50" s="47">
        <v>93</v>
      </c>
      <c r="M50" s="27">
        <f t="shared" si="1"/>
        <v>94.5</v>
      </c>
      <c r="N50" s="27">
        <f>IF(D50="여", COUNTIFS(D:D, "여", M:M, "&gt;"&amp;M50)+1, "")</f>
        <v>7</v>
      </c>
      <c r="O50" s="48">
        <v>16.91</v>
      </c>
      <c r="P50" s="49">
        <f>IF(D50="여", COUNTIFS(D:D, "여", O:O, "&gt;"&amp;O50)+1, "")</f>
        <v>16</v>
      </c>
      <c r="Q50" s="50">
        <v>18.2</v>
      </c>
      <c r="R50" s="51">
        <v>17.899999999999999</v>
      </c>
      <c r="S50" s="36">
        <f t="shared" si="2"/>
        <v>18.2</v>
      </c>
      <c r="T50" s="36">
        <f>IF(D50="여", COUNTIFS(D:D, "여", S:S, "&gt;"&amp;S50)+1, "")</f>
        <v>13</v>
      </c>
      <c r="U50" s="52" t="s">
        <v>170</v>
      </c>
      <c r="V50" s="53">
        <v>6.7</v>
      </c>
      <c r="W50" s="26">
        <f t="shared" si="3"/>
        <v>6.7</v>
      </c>
      <c r="X50" s="54">
        <f>IF(D50="여", COUNTIFS(D:D, "여", W:W, "&gt;"&amp;W50)+1, "")</f>
        <v>9</v>
      </c>
    </row>
    <row r="51" spans="1:24" ht="18" customHeight="1">
      <c r="A51" s="40">
        <v>48</v>
      </c>
      <c r="B51" s="21" t="s">
        <v>171</v>
      </c>
      <c r="C51" s="23" t="s">
        <v>159</v>
      </c>
      <c r="D51" s="22" t="s">
        <v>29</v>
      </c>
      <c r="E51" s="42">
        <v>194</v>
      </c>
      <c r="F51" s="43">
        <v>184</v>
      </c>
      <c r="G51" s="26">
        <f t="shared" si="0"/>
        <v>194</v>
      </c>
      <c r="H51" s="27">
        <f>IF(D51="여", COUNTIFS(D:D, "여", G:G, "&gt;"&amp;G51)+1, "")</f>
        <v>6</v>
      </c>
      <c r="I51" s="44">
        <v>43</v>
      </c>
      <c r="J51" s="45">
        <f>IF(D51="여", COUNTIFS(D:D, "여", I:I, "&gt;"&amp;I51)+1, "")</f>
        <v>3</v>
      </c>
      <c r="K51" s="46">
        <v>88.5</v>
      </c>
      <c r="L51" s="47">
        <v>103.5</v>
      </c>
      <c r="M51" s="27">
        <f t="shared" si="1"/>
        <v>103.5</v>
      </c>
      <c r="N51" s="27">
        <f>IF(D51="여", COUNTIFS(D:D, "여", M:M, "&gt;"&amp;M51)+1, "")</f>
        <v>5</v>
      </c>
      <c r="O51" s="48">
        <v>17.89</v>
      </c>
      <c r="P51" s="49">
        <f>IF(D51="여", COUNTIFS(D:D, "여", O:O, "&gt;"&amp;O51)+1, "")</f>
        <v>13</v>
      </c>
      <c r="Q51" s="50">
        <v>1.9</v>
      </c>
      <c r="R51" s="51">
        <v>7.8</v>
      </c>
      <c r="S51" s="36">
        <f t="shared" si="2"/>
        <v>7.8</v>
      </c>
      <c r="T51" s="36">
        <f>IF(D51="여", COUNTIFS(D:D, "여", S:S, "&gt;"&amp;S51)+1, "")</f>
        <v>19</v>
      </c>
      <c r="U51" s="52">
        <v>7.9</v>
      </c>
      <c r="V51" s="53">
        <v>7.9</v>
      </c>
      <c r="W51" s="26">
        <f t="shared" si="3"/>
        <v>7.9</v>
      </c>
      <c r="X51" s="54">
        <f>IF(D51="여", COUNTIFS(D:D, "여", W:W, "&gt;"&amp;W51)+1, "")</f>
        <v>4</v>
      </c>
    </row>
    <row r="52" spans="1:24" ht="18" customHeight="1">
      <c r="A52" s="40">
        <v>49</v>
      </c>
      <c r="B52" s="97" t="s">
        <v>171</v>
      </c>
      <c r="C52" s="23" t="s">
        <v>159</v>
      </c>
      <c r="D52" s="22" t="s">
        <v>27</v>
      </c>
      <c r="E52" s="42">
        <v>207</v>
      </c>
      <c r="F52" s="43" t="s">
        <v>33</v>
      </c>
      <c r="G52" s="26">
        <f t="shared" si="0"/>
        <v>207</v>
      </c>
      <c r="H52" s="27">
        <f t="shared" ref="H52:H68" si="22">IF(D52="남", COUNTIFS(D:D, "남", G:G, "&gt;"&amp;G52)+1, "")</f>
        <v>59</v>
      </c>
      <c r="I52" s="44">
        <v>39</v>
      </c>
      <c r="J52" s="29">
        <f t="shared" ref="J52:J68" si="23">IF(D52="남", COUNTIFS(D:D, "남", I:I, "&gt;"&amp;I52)+1, "")</f>
        <v>66</v>
      </c>
      <c r="K52" s="46">
        <v>92</v>
      </c>
      <c r="L52" s="47">
        <v>98</v>
      </c>
      <c r="M52" s="27">
        <f t="shared" si="1"/>
        <v>98</v>
      </c>
      <c r="N52" s="27">
        <f t="shared" ref="N52:N68" si="24">IF(D52="남", COUNTIFS(D:D, "남", M:M, "&gt;"&amp;M52)+1, "")</f>
        <v>78</v>
      </c>
      <c r="O52" s="48">
        <v>21.94</v>
      </c>
      <c r="P52" s="33">
        <f t="shared" ref="P52:P68" si="25">IF(D52="남", COUNTIFS(D:D, "남", O:O, "&gt;"&amp;O52)+1, "")</f>
        <v>3</v>
      </c>
      <c r="Q52" s="50">
        <v>19.600000000000001</v>
      </c>
      <c r="R52" s="51">
        <v>20.3</v>
      </c>
      <c r="S52" s="36">
        <f t="shared" si="2"/>
        <v>20.3</v>
      </c>
      <c r="T52" s="36">
        <f t="shared" ref="T52:T68" si="26">IF(D52="남", COUNTIFS(D:D, "남", S:S, "&gt;"&amp;S52)+1, "")</f>
        <v>17</v>
      </c>
      <c r="U52" s="52">
        <v>4.8</v>
      </c>
      <c r="V52" s="53">
        <v>4</v>
      </c>
      <c r="W52" s="26">
        <f t="shared" si="3"/>
        <v>4.8</v>
      </c>
      <c r="X52" s="39">
        <f t="shared" ref="X52:X68" si="27">IF(D52="남", COUNTIFS(D:D, "남", W:W, "&gt;"&amp;W52)+1, "")</f>
        <v>79</v>
      </c>
    </row>
    <row r="53" spans="1:24" ht="18" customHeight="1">
      <c r="A53" s="40">
        <v>50</v>
      </c>
      <c r="B53" s="21" t="s">
        <v>171</v>
      </c>
      <c r="C53" s="23" t="s">
        <v>159</v>
      </c>
      <c r="D53" s="22" t="s">
        <v>27</v>
      </c>
      <c r="E53" s="42">
        <v>219</v>
      </c>
      <c r="F53" s="43">
        <v>235</v>
      </c>
      <c r="G53" s="26">
        <f t="shared" si="0"/>
        <v>235</v>
      </c>
      <c r="H53" s="27">
        <f t="shared" si="22"/>
        <v>14</v>
      </c>
      <c r="I53" s="44">
        <v>49</v>
      </c>
      <c r="J53" s="29">
        <f t="shared" si="23"/>
        <v>25</v>
      </c>
      <c r="K53" s="46">
        <v>113.5</v>
      </c>
      <c r="L53" s="47">
        <v>97</v>
      </c>
      <c r="M53" s="27">
        <f t="shared" si="1"/>
        <v>113.5</v>
      </c>
      <c r="N53" s="27">
        <f t="shared" si="24"/>
        <v>66</v>
      </c>
      <c r="O53" s="48">
        <v>20.21</v>
      </c>
      <c r="P53" s="33">
        <f t="shared" si="25"/>
        <v>6</v>
      </c>
      <c r="Q53" s="50">
        <v>15.6</v>
      </c>
      <c r="R53" s="51">
        <v>16.600000000000001</v>
      </c>
      <c r="S53" s="36">
        <f t="shared" si="2"/>
        <v>16.600000000000001</v>
      </c>
      <c r="T53" s="36">
        <f t="shared" si="26"/>
        <v>36</v>
      </c>
      <c r="U53" s="52">
        <v>6.4</v>
      </c>
      <c r="V53" s="53">
        <v>6.4</v>
      </c>
      <c r="W53" s="26">
        <f t="shared" si="3"/>
        <v>6.4</v>
      </c>
      <c r="X53" s="39">
        <f t="shared" si="27"/>
        <v>56</v>
      </c>
    </row>
    <row r="54" spans="1:24" ht="18" customHeight="1">
      <c r="A54" s="40">
        <v>51</v>
      </c>
      <c r="B54" s="97" t="s">
        <v>76</v>
      </c>
      <c r="C54" s="23" t="s">
        <v>159</v>
      </c>
      <c r="D54" s="22" t="s">
        <v>27</v>
      </c>
      <c r="E54" s="42">
        <v>224</v>
      </c>
      <c r="F54" s="43">
        <v>212</v>
      </c>
      <c r="G54" s="26">
        <f t="shared" si="0"/>
        <v>224</v>
      </c>
      <c r="H54" s="27">
        <f t="shared" si="22"/>
        <v>34</v>
      </c>
      <c r="I54" s="44">
        <v>47</v>
      </c>
      <c r="J54" s="29">
        <f t="shared" si="23"/>
        <v>38</v>
      </c>
      <c r="K54" s="46">
        <v>128.5</v>
      </c>
      <c r="L54" s="47">
        <v>125.5</v>
      </c>
      <c r="M54" s="27">
        <f t="shared" si="1"/>
        <v>128.5</v>
      </c>
      <c r="N54" s="27">
        <f t="shared" si="24"/>
        <v>50</v>
      </c>
      <c r="O54" s="48">
        <v>15.46</v>
      </c>
      <c r="P54" s="33">
        <f t="shared" si="25"/>
        <v>54</v>
      </c>
      <c r="Q54" s="50">
        <v>23.5</v>
      </c>
      <c r="R54" s="51">
        <v>23.6</v>
      </c>
      <c r="S54" s="36">
        <f t="shared" si="2"/>
        <v>23.6</v>
      </c>
      <c r="T54" s="36">
        <f t="shared" si="26"/>
        <v>9</v>
      </c>
      <c r="U54" s="52">
        <v>5.2</v>
      </c>
      <c r="V54" s="53">
        <v>6.9</v>
      </c>
      <c r="W54" s="26">
        <f t="shared" si="3"/>
        <v>6.9</v>
      </c>
      <c r="X54" s="39">
        <f t="shared" si="27"/>
        <v>43</v>
      </c>
    </row>
    <row r="55" spans="1:24" ht="18" customHeight="1">
      <c r="A55" s="40">
        <v>52</v>
      </c>
      <c r="B55" s="97" t="s">
        <v>77</v>
      </c>
      <c r="C55" s="23" t="s">
        <v>159</v>
      </c>
      <c r="D55" s="22" t="s">
        <v>27</v>
      </c>
      <c r="E55" s="42"/>
      <c r="F55" s="43"/>
      <c r="G55" s="26">
        <f t="shared" si="0"/>
        <v>0</v>
      </c>
      <c r="H55" s="27">
        <f t="shared" si="22"/>
        <v>74</v>
      </c>
      <c r="I55" s="44"/>
      <c r="J55" s="29">
        <f t="shared" si="23"/>
        <v>1</v>
      </c>
      <c r="K55" s="46"/>
      <c r="L55" s="47"/>
      <c r="M55" s="27">
        <f t="shared" si="1"/>
        <v>0</v>
      </c>
      <c r="N55" s="27">
        <f t="shared" si="24"/>
        <v>81</v>
      </c>
      <c r="O55" s="48"/>
      <c r="P55" s="33">
        <f t="shared" si="25"/>
        <v>1</v>
      </c>
      <c r="Q55" s="50"/>
      <c r="R55" s="51"/>
      <c r="S55" s="36">
        <f t="shared" si="2"/>
        <v>0</v>
      </c>
      <c r="T55" s="36">
        <f t="shared" si="26"/>
        <v>74</v>
      </c>
      <c r="U55" s="52"/>
      <c r="V55" s="53"/>
      <c r="W55" s="26">
        <f t="shared" si="3"/>
        <v>0</v>
      </c>
      <c r="X55" s="39">
        <f t="shared" si="27"/>
        <v>81</v>
      </c>
    </row>
    <row r="56" spans="1:24" ht="18" customHeight="1">
      <c r="A56" s="40">
        <v>53</v>
      </c>
      <c r="B56" s="97" t="s">
        <v>78</v>
      </c>
      <c r="C56" s="23" t="s">
        <v>159</v>
      </c>
      <c r="D56" s="22" t="s">
        <v>27</v>
      </c>
      <c r="E56" s="42">
        <v>210</v>
      </c>
      <c r="F56" s="43">
        <v>207</v>
      </c>
      <c r="G56" s="26">
        <f t="shared" si="0"/>
        <v>210</v>
      </c>
      <c r="H56" s="27">
        <f t="shared" si="22"/>
        <v>53</v>
      </c>
      <c r="I56" s="44">
        <v>46</v>
      </c>
      <c r="J56" s="29">
        <f t="shared" si="23"/>
        <v>44</v>
      </c>
      <c r="K56" s="46">
        <v>99</v>
      </c>
      <c r="L56" s="47">
        <v>107.5</v>
      </c>
      <c r="M56" s="27">
        <f t="shared" si="1"/>
        <v>107.5</v>
      </c>
      <c r="N56" s="27">
        <f t="shared" si="24"/>
        <v>72</v>
      </c>
      <c r="O56" s="48">
        <v>15.15</v>
      </c>
      <c r="P56" s="33">
        <f t="shared" si="25"/>
        <v>62</v>
      </c>
      <c r="Q56" s="50">
        <v>20.9</v>
      </c>
      <c r="R56" s="51">
        <v>21.3</v>
      </c>
      <c r="S56" s="36">
        <f t="shared" si="2"/>
        <v>21.3</v>
      </c>
      <c r="T56" s="36">
        <f t="shared" si="26"/>
        <v>14</v>
      </c>
      <c r="U56" s="52">
        <v>5.7</v>
      </c>
      <c r="V56" s="53" t="s">
        <v>173</v>
      </c>
      <c r="W56" s="26">
        <f t="shared" si="3"/>
        <v>5.7</v>
      </c>
      <c r="X56" s="39">
        <f t="shared" si="27"/>
        <v>68</v>
      </c>
    </row>
    <row r="57" spans="1:24" ht="18" customHeight="1">
      <c r="A57" s="40">
        <v>54</v>
      </c>
      <c r="B57" s="97" t="s">
        <v>79</v>
      </c>
      <c r="C57" s="23" t="s">
        <v>159</v>
      </c>
      <c r="D57" s="22" t="s">
        <v>27</v>
      </c>
      <c r="E57" s="42"/>
      <c r="F57" s="43"/>
      <c r="G57" s="26">
        <f t="shared" si="0"/>
        <v>0</v>
      </c>
      <c r="H57" s="27">
        <f t="shared" si="22"/>
        <v>74</v>
      </c>
      <c r="I57" s="44"/>
      <c r="J57" s="29">
        <f t="shared" si="23"/>
        <v>1</v>
      </c>
      <c r="K57" s="46"/>
      <c r="L57" s="47"/>
      <c r="M57" s="27">
        <f t="shared" si="1"/>
        <v>0</v>
      </c>
      <c r="N57" s="27">
        <f t="shared" si="24"/>
        <v>81</v>
      </c>
      <c r="O57" s="48"/>
      <c r="P57" s="33">
        <f t="shared" si="25"/>
        <v>1</v>
      </c>
      <c r="Q57" s="50"/>
      <c r="R57" s="51"/>
      <c r="S57" s="36">
        <f t="shared" si="2"/>
        <v>0</v>
      </c>
      <c r="T57" s="36">
        <f t="shared" si="26"/>
        <v>74</v>
      </c>
      <c r="U57" s="52"/>
      <c r="V57" s="53"/>
      <c r="W57" s="26">
        <f t="shared" si="3"/>
        <v>0</v>
      </c>
      <c r="X57" s="39">
        <f t="shared" si="27"/>
        <v>81</v>
      </c>
    </row>
    <row r="58" spans="1:24" ht="18" customHeight="1">
      <c r="A58" s="40">
        <v>55</v>
      </c>
      <c r="B58" s="97" t="s">
        <v>80</v>
      </c>
      <c r="C58" s="23" t="s">
        <v>159</v>
      </c>
      <c r="D58" s="22" t="s">
        <v>27</v>
      </c>
      <c r="E58" s="42">
        <v>233</v>
      </c>
      <c r="F58" s="43">
        <v>221</v>
      </c>
      <c r="G58" s="26">
        <f t="shared" si="0"/>
        <v>233</v>
      </c>
      <c r="H58" s="27">
        <f t="shared" si="22"/>
        <v>23</v>
      </c>
      <c r="I58" s="44">
        <v>52</v>
      </c>
      <c r="J58" s="29">
        <f t="shared" si="23"/>
        <v>13</v>
      </c>
      <c r="K58" s="46">
        <v>99</v>
      </c>
      <c r="L58" s="47">
        <v>115.5</v>
      </c>
      <c r="M58" s="27">
        <f t="shared" si="1"/>
        <v>115.5</v>
      </c>
      <c r="N58" s="27">
        <f t="shared" si="24"/>
        <v>64</v>
      </c>
      <c r="O58" s="48">
        <v>15.3</v>
      </c>
      <c r="P58" s="33">
        <f t="shared" si="25"/>
        <v>60</v>
      </c>
      <c r="Q58" s="50" t="s">
        <v>133</v>
      </c>
      <c r="R58" s="51" t="s">
        <v>133</v>
      </c>
      <c r="S58" s="36">
        <f t="shared" si="2"/>
        <v>0</v>
      </c>
      <c r="T58" s="36">
        <f t="shared" si="26"/>
        <v>74</v>
      </c>
      <c r="U58" s="52">
        <v>5.6</v>
      </c>
      <c r="V58" s="53">
        <v>5.6</v>
      </c>
      <c r="W58" s="26">
        <f t="shared" si="3"/>
        <v>5.6</v>
      </c>
      <c r="X58" s="39">
        <f t="shared" si="27"/>
        <v>71</v>
      </c>
    </row>
    <row r="59" spans="1:24" ht="18" customHeight="1">
      <c r="A59" s="40">
        <v>56</v>
      </c>
      <c r="B59" s="97" t="s">
        <v>81</v>
      </c>
      <c r="C59" s="23" t="s">
        <v>159</v>
      </c>
      <c r="D59" s="22" t="s">
        <v>27</v>
      </c>
      <c r="E59" s="42"/>
      <c r="F59" s="43"/>
      <c r="G59" s="26">
        <f t="shared" si="0"/>
        <v>0</v>
      </c>
      <c r="H59" s="27">
        <f t="shared" si="22"/>
        <v>74</v>
      </c>
      <c r="I59" s="44"/>
      <c r="J59" s="29">
        <f t="shared" si="23"/>
        <v>1</v>
      </c>
      <c r="K59" s="46"/>
      <c r="L59" s="47"/>
      <c r="M59" s="27">
        <f t="shared" si="1"/>
        <v>0</v>
      </c>
      <c r="N59" s="27">
        <f t="shared" si="24"/>
        <v>81</v>
      </c>
      <c r="O59" s="48"/>
      <c r="P59" s="33">
        <f t="shared" si="25"/>
        <v>1</v>
      </c>
      <c r="Q59" s="50"/>
      <c r="R59" s="51"/>
      <c r="S59" s="36">
        <f t="shared" si="2"/>
        <v>0</v>
      </c>
      <c r="T59" s="36">
        <f t="shared" si="26"/>
        <v>74</v>
      </c>
      <c r="U59" s="52"/>
      <c r="V59" s="53"/>
      <c r="W59" s="26">
        <f t="shared" si="3"/>
        <v>0</v>
      </c>
      <c r="X59" s="39">
        <f t="shared" si="27"/>
        <v>81</v>
      </c>
    </row>
    <row r="60" spans="1:24" ht="18" customHeight="1">
      <c r="A60" s="40">
        <v>57</v>
      </c>
      <c r="B60" s="97" t="s">
        <v>82</v>
      </c>
      <c r="C60" s="23" t="s">
        <v>159</v>
      </c>
      <c r="D60" s="22" t="s">
        <v>27</v>
      </c>
      <c r="E60" s="42"/>
      <c r="F60" s="43"/>
      <c r="G60" s="26">
        <f t="shared" si="0"/>
        <v>0</v>
      </c>
      <c r="H60" s="27">
        <f t="shared" si="22"/>
        <v>74</v>
      </c>
      <c r="I60" s="44"/>
      <c r="J60" s="29">
        <f t="shared" si="23"/>
        <v>1</v>
      </c>
      <c r="K60" s="46"/>
      <c r="L60" s="47"/>
      <c r="M60" s="27">
        <f t="shared" si="1"/>
        <v>0</v>
      </c>
      <c r="N60" s="27">
        <f t="shared" si="24"/>
        <v>81</v>
      </c>
      <c r="O60" s="48"/>
      <c r="P60" s="33">
        <f t="shared" si="25"/>
        <v>1</v>
      </c>
      <c r="Q60" s="50"/>
      <c r="R60" s="51"/>
      <c r="S60" s="36">
        <f t="shared" si="2"/>
        <v>0</v>
      </c>
      <c r="T60" s="36">
        <f t="shared" si="26"/>
        <v>74</v>
      </c>
      <c r="U60" s="52"/>
      <c r="V60" s="53"/>
      <c r="W60" s="26">
        <f t="shared" si="3"/>
        <v>0</v>
      </c>
      <c r="X60" s="39">
        <f t="shared" si="27"/>
        <v>81</v>
      </c>
    </row>
    <row r="61" spans="1:24" ht="18" customHeight="1">
      <c r="A61" s="40">
        <v>58</v>
      </c>
      <c r="B61" s="97" t="s">
        <v>83</v>
      </c>
      <c r="C61" s="41" t="s">
        <v>159</v>
      </c>
      <c r="D61" s="22" t="s">
        <v>27</v>
      </c>
      <c r="E61" s="42">
        <v>207</v>
      </c>
      <c r="F61" s="43">
        <v>216</v>
      </c>
      <c r="G61" s="61">
        <f t="shared" si="0"/>
        <v>216</v>
      </c>
      <c r="H61" s="27">
        <f t="shared" si="22"/>
        <v>43</v>
      </c>
      <c r="I61" s="44">
        <v>52</v>
      </c>
      <c r="J61" s="29">
        <f t="shared" si="23"/>
        <v>13</v>
      </c>
      <c r="K61" s="46"/>
      <c r="L61" s="47"/>
      <c r="M61" s="62">
        <f t="shared" si="1"/>
        <v>0</v>
      </c>
      <c r="N61" s="27">
        <f t="shared" si="24"/>
        <v>81</v>
      </c>
      <c r="O61" s="48"/>
      <c r="P61" s="33">
        <f t="shared" si="25"/>
        <v>1</v>
      </c>
      <c r="Q61" s="50">
        <v>16.7</v>
      </c>
      <c r="R61" s="51">
        <v>14.9</v>
      </c>
      <c r="S61" s="63">
        <f t="shared" si="2"/>
        <v>16.7</v>
      </c>
      <c r="T61" s="36">
        <f t="shared" si="26"/>
        <v>35</v>
      </c>
      <c r="U61" s="52">
        <v>5.4</v>
      </c>
      <c r="V61" s="53"/>
      <c r="W61" s="61">
        <f t="shared" si="3"/>
        <v>5.4</v>
      </c>
      <c r="X61" s="39">
        <f t="shared" si="27"/>
        <v>74</v>
      </c>
    </row>
    <row r="62" spans="1:24" ht="18" customHeight="1">
      <c r="A62" s="20">
        <v>59</v>
      </c>
      <c r="B62" s="100" t="s">
        <v>84</v>
      </c>
      <c r="C62" s="23" t="s">
        <v>159</v>
      </c>
      <c r="D62" s="87" t="s">
        <v>27</v>
      </c>
      <c r="E62" s="24"/>
      <c r="F62" s="25"/>
      <c r="G62" s="26">
        <f t="shared" si="0"/>
        <v>0</v>
      </c>
      <c r="H62" s="27">
        <f t="shared" si="22"/>
        <v>74</v>
      </c>
      <c r="I62" s="28"/>
      <c r="J62" s="29">
        <f t="shared" si="23"/>
        <v>1</v>
      </c>
      <c r="K62" s="30"/>
      <c r="L62" s="31"/>
      <c r="M62" s="27">
        <f t="shared" si="1"/>
        <v>0</v>
      </c>
      <c r="N62" s="27">
        <f t="shared" si="24"/>
        <v>81</v>
      </c>
      <c r="O62" s="32"/>
      <c r="P62" s="33">
        <f t="shared" si="25"/>
        <v>1</v>
      </c>
      <c r="Q62" s="34"/>
      <c r="R62" s="35"/>
      <c r="S62" s="36">
        <f t="shared" si="2"/>
        <v>0</v>
      </c>
      <c r="T62" s="36">
        <f t="shared" si="26"/>
        <v>74</v>
      </c>
      <c r="U62" s="37"/>
      <c r="V62" s="38"/>
      <c r="W62" s="26">
        <f t="shared" si="3"/>
        <v>0</v>
      </c>
      <c r="X62" s="39">
        <f t="shared" si="27"/>
        <v>81</v>
      </c>
    </row>
    <row r="63" spans="1:24" ht="18" customHeight="1">
      <c r="A63" s="40">
        <v>60</v>
      </c>
      <c r="B63" s="97" t="s">
        <v>85</v>
      </c>
      <c r="C63" s="23" t="s">
        <v>159</v>
      </c>
      <c r="D63" s="22" t="s">
        <v>27</v>
      </c>
      <c r="E63" s="42">
        <v>231</v>
      </c>
      <c r="F63" s="43">
        <v>235</v>
      </c>
      <c r="G63" s="26">
        <f t="shared" si="0"/>
        <v>235</v>
      </c>
      <c r="H63" s="27">
        <f t="shared" si="22"/>
        <v>14</v>
      </c>
      <c r="I63" s="44">
        <v>49</v>
      </c>
      <c r="J63" s="29">
        <f t="shared" si="23"/>
        <v>25</v>
      </c>
      <c r="K63" s="46">
        <v>101</v>
      </c>
      <c r="L63" s="47">
        <v>106.5</v>
      </c>
      <c r="M63" s="27">
        <f t="shared" si="1"/>
        <v>106.5</v>
      </c>
      <c r="N63" s="27">
        <f t="shared" si="24"/>
        <v>73</v>
      </c>
      <c r="O63" s="48">
        <v>15.44</v>
      </c>
      <c r="P63" s="33">
        <f t="shared" si="25"/>
        <v>56</v>
      </c>
      <c r="Q63" s="50">
        <v>19.2</v>
      </c>
      <c r="R63" s="51">
        <v>18.5</v>
      </c>
      <c r="S63" s="36">
        <f t="shared" si="2"/>
        <v>19.2</v>
      </c>
      <c r="T63" s="36">
        <f t="shared" si="26"/>
        <v>22</v>
      </c>
      <c r="U63" s="52">
        <v>6.5</v>
      </c>
      <c r="V63" s="53">
        <v>5.9</v>
      </c>
      <c r="W63" s="26">
        <f t="shared" si="3"/>
        <v>6.5</v>
      </c>
      <c r="X63" s="39">
        <f t="shared" si="27"/>
        <v>55</v>
      </c>
    </row>
    <row r="64" spans="1:24" ht="18" customHeight="1">
      <c r="A64" s="40">
        <v>61</v>
      </c>
      <c r="B64" s="97" t="s">
        <v>86</v>
      </c>
      <c r="C64" s="23" t="s">
        <v>159</v>
      </c>
      <c r="D64" s="22" t="s">
        <v>27</v>
      </c>
      <c r="E64" s="42">
        <v>241</v>
      </c>
      <c r="F64" s="43">
        <v>242</v>
      </c>
      <c r="G64" s="61">
        <f t="shared" si="0"/>
        <v>242</v>
      </c>
      <c r="H64" s="27">
        <f t="shared" si="22"/>
        <v>7</v>
      </c>
      <c r="I64" s="44">
        <v>52</v>
      </c>
      <c r="J64" s="29">
        <f t="shared" si="23"/>
        <v>13</v>
      </c>
      <c r="K64" s="46">
        <v>124.5</v>
      </c>
      <c r="L64" s="47">
        <v>133.5</v>
      </c>
      <c r="M64" s="62">
        <f t="shared" si="1"/>
        <v>133.5</v>
      </c>
      <c r="N64" s="27">
        <f t="shared" si="24"/>
        <v>42</v>
      </c>
      <c r="O64" s="48">
        <v>14.57</v>
      </c>
      <c r="P64" s="33">
        <f t="shared" si="25"/>
        <v>67</v>
      </c>
      <c r="Q64" s="50" t="s">
        <v>133</v>
      </c>
      <c r="R64" s="51" t="s">
        <v>133</v>
      </c>
      <c r="S64" s="63">
        <f t="shared" si="2"/>
        <v>0</v>
      </c>
      <c r="T64" s="36">
        <f t="shared" si="26"/>
        <v>74</v>
      </c>
      <c r="U64" s="52">
        <v>6.4</v>
      </c>
      <c r="V64" s="53">
        <v>6.1</v>
      </c>
      <c r="W64" s="26">
        <f t="shared" si="3"/>
        <v>6.4</v>
      </c>
      <c r="X64" s="39">
        <f t="shared" si="27"/>
        <v>56</v>
      </c>
    </row>
    <row r="65" spans="1:24" ht="18" customHeight="1">
      <c r="A65" s="20">
        <v>62</v>
      </c>
      <c r="B65" s="97" t="s">
        <v>87</v>
      </c>
      <c r="C65" s="23" t="s">
        <v>159</v>
      </c>
      <c r="D65" s="22" t="s">
        <v>27</v>
      </c>
      <c r="E65" s="24">
        <v>229</v>
      </c>
      <c r="F65" s="25">
        <v>236</v>
      </c>
      <c r="G65" s="26">
        <f t="shared" si="0"/>
        <v>236</v>
      </c>
      <c r="H65" s="27">
        <f t="shared" si="22"/>
        <v>11</v>
      </c>
      <c r="I65" s="28">
        <v>52</v>
      </c>
      <c r="J65" s="29">
        <f t="shared" si="23"/>
        <v>13</v>
      </c>
      <c r="K65" s="30">
        <v>116</v>
      </c>
      <c r="L65" s="31">
        <v>109.5</v>
      </c>
      <c r="M65" s="27">
        <f t="shared" si="1"/>
        <v>116</v>
      </c>
      <c r="N65" s="27">
        <f t="shared" si="24"/>
        <v>62</v>
      </c>
      <c r="O65" s="32">
        <v>15.22</v>
      </c>
      <c r="P65" s="33">
        <f t="shared" si="25"/>
        <v>61</v>
      </c>
      <c r="Q65" s="34">
        <v>19.7</v>
      </c>
      <c r="R65" s="35">
        <v>18</v>
      </c>
      <c r="S65" s="36">
        <f t="shared" si="2"/>
        <v>19.7</v>
      </c>
      <c r="T65" s="36">
        <f t="shared" si="26"/>
        <v>20</v>
      </c>
      <c r="U65" s="37">
        <v>6.8</v>
      </c>
      <c r="V65" s="38">
        <v>6.1</v>
      </c>
      <c r="W65" s="26">
        <f t="shared" si="3"/>
        <v>6.8</v>
      </c>
      <c r="X65" s="39">
        <f t="shared" si="27"/>
        <v>48</v>
      </c>
    </row>
    <row r="66" spans="1:24" ht="18" customHeight="1">
      <c r="A66" s="40">
        <v>63</v>
      </c>
      <c r="B66" s="97" t="s">
        <v>89</v>
      </c>
      <c r="C66" s="23" t="s">
        <v>159</v>
      </c>
      <c r="D66" s="22" t="s">
        <v>27</v>
      </c>
      <c r="E66" s="42">
        <v>234</v>
      </c>
      <c r="F66" s="43">
        <v>234</v>
      </c>
      <c r="G66" s="26">
        <f t="shared" si="0"/>
        <v>234</v>
      </c>
      <c r="H66" s="27">
        <f t="shared" si="22"/>
        <v>16</v>
      </c>
      <c r="I66" s="44">
        <v>56</v>
      </c>
      <c r="J66" s="29">
        <f t="shared" si="23"/>
        <v>8</v>
      </c>
      <c r="K66" s="46">
        <v>123</v>
      </c>
      <c r="L66" s="47">
        <v>124.5</v>
      </c>
      <c r="M66" s="27">
        <f t="shared" si="1"/>
        <v>124.5</v>
      </c>
      <c r="N66" s="27">
        <f t="shared" si="24"/>
        <v>55</v>
      </c>
      <c r="O66" s="48"/>
      <c r="P66" s="33">
        <f t="shared" si="25"/>
        <v>1</v>
      </c>
      <c r="Q66" s="50" t="s">
        <v>133</v>
      </c>
      <c r="R66" s="51" t="s">
        <v>133</v>
      </c>
      <c r="S66" s="36">
        <f t="shared" si="2"/>
        <v>0</v>
      </c>
      <c r="T66" s="36">
        <f t="shared" si="26"/>
        <v>74</v>
      </c>
      <c r="U66" s="52">
        <v>8.1999999999999993</v>
      </c>
      <c r="V66" s="53">
        <v>7.8</v>
      </c>
      <c r="W66" s="26">
        <f t="shared" si="3"/>
        <v>8.1999999999999993</v>
      </c>
      <c r="X66" s="39">
        <f t="shared" si="27"/>
        <v>15</v>
      </c>
    </row>
    <row r="67" spans="1:24" ht="18" customHeight="1">
      <c r="A67" s="56">
        <v>64</v>
      </c>
      <c r="B67" s="57" t="s">
        <v>93</v>
      </c>
      <c r="C67" s="66" t="s">
        <v>159</v>
      </c>
      <c r="D67" s="58" t="s">
        <v>27</v>
      </c>
      <c r="E67" s="42">
        <v>206</v>
      </c>
      <c r="F67" s="43">
        <v>210</v>
      </c>
      <c r="G67" s="26">
        <f t="shared" si="0"/>
        <v>210</v>
      </c>
      <c r="H67" s="27">
        <f t="shared" si="22"/>
        <v>53</v>
      </c>
      <c r="I67" s="44">
        <v>43</v>
      </c>
      <c r="J67" s="29">
        <f t="shared" si="23"/>
        <v>55</v>
      </c>
      <c r="K67" s="46">
        <v>210.5</v>
      </c>
      <c r="L67" s="47">
        <v>215.5</v>
      </c>
      <c r="M67" s="27">
        <f t="shared" si="1"/>
        <v>215.5</v>
      </c>
      <c r="N67" s="27">
        <f t="shared" si="24"/>
        <v>1</v>
      </c>
      <c r="O67" s="48">
        <v>18.66</v>
      </c>
      <c r="P67" s="33">
        <f t="shared" si="25"/>
        <v>11</v>
      </c>
      <c r="Q67" s="50">
        <v>9.4</v>
      </c>
      <c r="R67" s="51">
        <v>11.3</v>
      </c>
      <c r="S67" s="36">
        <f t="shared" si="2"/>
        <v>11.3</v>
      </c>
      <c r="T67" s="36">
        <f t="shared" si="26"/>
        <v>52</v>
      </c>
      <c r="U67" s="52">
        <v>7.8</v>
      </c>
      <c r="V67" s="53">
        <v>8.3000000000000007</v>
      </c>
      <c r="W67" s="26">
        <f t="shared" si="3"/>
        <v>8.3000000000000007</v>
      </c>
      <c r="X67" s="39">
        <f t="shared" si="27"/>
        <v>14</v>
      </c>
    </row>
    <row r="68" spans="1:24" ht="18" customHeight="1">
      <c r="A68" s="56">
        <v>65</v>
      </c>
      <c r="B68" s="98" t="s">
        <v>94</v>
      </c>
      <c r="C68" s="66" t="s">
        <v>159</v>
      </c>
      <c r="D68" s="58" t="s">
        <v>27</v>
      </c>
      <c r="E68" s="42">
        <v>226</v>
      </c>
      <c r="F68" s="43">
        <v>242</v>
      </c>
      <c r="G68" s="26">
        <f t="shared" si="0"/>
        <v>242</v>
      </c>
      <c r="H68" s="27">
        <f t="shared" si="22"/>
        <v>7</v>
      </c>
      <c r="I68" s="44">
        <v>60</v>
      </c>
      <c r="J68" s="29">
        <f t="shared" si="23"/>
        <v>4</v>
      </c>
      <c r="K68" s="46">
        <v>149.5</v>
      </c>
      <c r="L68" s="47">
        <v>146</v>
      </c>
      <c r="M68" s="27">
        <f t="shared" si="1"/>
        <v>149.5</v>
      </c>
      <c r="N68" s="27">
        <f t="shared" si="24"/>
        <v>25</v>
      </c>
      <c r="O68" s="48">
        <v>15.7</v>
      </c>
      <c r="P68" s="33">
        <f t="shared" si="25"/>
        <v>51</v>
      </c>
      <c r="Q68" s="50">
        <v>11.9</v>
      </c>
      <c r="R68" s="51">
        <v>15</v>
      </c>
      <c r="S68" s="36">
        <f t="shared" si="2"/>
        <v>15</v>
      </c>
      <c r="T68" s="36">
        <f t="shared" si="26"/>
        <v>38</v>
      </c>
      <c r="U68" s="52">
        <v>6.7</v>
      </c>
      <c r="V68" s="53">
        <v>7.2</v>
      </c>
      <c r="W68" s="26">
        <f t="shared" si="3"/>
        <v>7.2</v>
      </c>
      <c r="X68" s="39">
        <f t="shared" si="27"/>
        <v>34</v>
      </c>
    </row>
    <row r="69" spans="1:24" ht="18" customHeight="1">
      <c r="A69" s="56">
        <v>66</v>
      </c>
      <c r="B69" s="57" t="s">
        <v>95</v>
      </c>
      <c r="C69" s="66" t="s">
        <v>159</v>
      </c>
      <c r="D69" s="58" t="s">
        <v>29</v>
      </c>
      <c r="E69" s="42"/>
      <c r="F69" s="43"/>
      <c r="G69" s="26">
        <f t="shared" si="0"/>
        <v>0</v>
      </c>
      <c r="H69" s="27">
        <f>IF(D69="여", COUNTIFS(D:D, "여", G:G, "&gt;"&amp;G69)+1, "")</f>
        <v>19</v>
      </c>
      <c r="I69" s="44"/>
      <c r="J69" s="45">
        <f>IF(D69="여", COUNTIFS(D:D, "여", I:I, "&gt;"&amp;I69)+1, "")</f>
        <v>1</v>
      </c>
      <c r="K69" s="46"/>
      <c r="L69" s="47"/>
      <c r="M69" s="27">
        <f t="shared" si="1"/>
        <v>0</v>
      </c>
      <c r="N69" s="27">
        <f>IF(D69="여", COUNTIFS(D:D, "여", M:M, "&gt;"&amp;M69)+1, "")</f>
        <v>21</v>
      </c>
      <c r="O69" s="48"/>
      <c r="P69" s="49">
        <f>IF(D69="여", COUNTIFS(D:D, "여", O:O, "&gt;"&amp;O69)+1, "")</f>
        <v>1</v>
      </c>
      <c r="Q69" s="50"/>
      <c r="R69" s="51"/>
      <c r="S69" s="36">
        <f t="shared" si="2"/>
        <v>0</v>
      </c>
      <c r="T69" s="36">
        <f>IF(D69="여", COUNTIFS(D:D, "여", S:S, "&gt;"&amp;S69)+1, "")</f>
        <v>21</v>
      </c>
      <c r="U69" s="52"/>
      <c r="V69" s="53"/>
      <c r="W69" s="26">
        <f t="shared" si="3"/>
        <v>0</v>
      </c>
      <c r="X69" s="54">
        <f>IF(D69="여", COUNTIFS(D:D, "여", W:W, "&gt;"&amp;W69)+1, "")</f>
        <v>21</v>
      </c>
    </row>
    <row r="70" spans="1:24" ht="18" customHeight="1">
      <c r="A70" s="56">
        <v>67</v>
      </c>
      <c r="B70" s="98" t="s">
        <v>96</v>
      </c>
      <c r="C70" s="66" t="s">
        <v>159</v>
      </c>
      <c r="D70" s="60" t="s">
        <v>27</v>
      </c>
      <c r="E70" s="42"/>
      <c r="F70" s="43"/>
      <c r="G70" s="26">
        <f t="shared" si="0"/>
        <v>0</v>
      </c>
      <c r="H70" s="27">
        <f t="shared" ref="H70:H78" si="28">IF(D70="남", COUNTIFS(D:D, "남", G:G, "&gt;"&amp;G70)+1, "")</f>
        <v>74</v>
      </c>
      <c r="I70" s="44"/>
      <c r="J70" s="29">
        <f t="shared" ref="J70:J78" si="29">IF(D70="남", COUNTIFS(D:D, "남", I:I, "&gt;"&amp;I70)+1, "")</f>
        <v>1</v>
      </c>
      <c r="K70" s="46"/>
      <c r="L70" s="47"/>
      <c r="M70" s="27">
        <f t="shared" si="1"/>
        <v>0</v>
      </c>
      <c r="N70" s="27">
        <f t="shared" ref="N70:N78" si="30">IF(D70="남", COUNTIFS(D:D, "남", M:M, "&gt;"&amp;M70)+1, "")</f>
        <v>81</v>
      </c>
      <c r="O70" s="48"/>
      <c r="P70" s="33">
        <f t="shared" ref="P70:P78" si="31">IF(D70="남", COUNTIFS(D:D, "남", O:O, "&gt;"&amp;O70)+1, "")</f>
        <v>1</v>
      </c>
      <c r="Q70" s="50"/>
      <c r="R70" s="51"/>
      <c r="S70" s="36">
        <f t="shared" si="2"/>
        <v>0</v>
      </c>
      <c r="T70" s="36">
        <f t="shared" ref="T70:T78" si="32">IF(D70="남", COUNTIFS(D:D, "남", S:S, "&gt;"&amp;S70)+1, "")</f>
        <v>74</v>
      </c>
      <c r="U70" s="52"/>
      <c r="V70" s="53"/>
      <c r="W70" s="26">
        <f t="shared" si="3"/>
        <v>0</v>
      </c>
      <c r="X70" s="39">
        <f t="shared" ref="X70:X78" si="33">IF(D70="남", COUNTIFS(D:D, "남", W:W, "&gt;"&amp;W70)+1, "")</f>
        <v>81</v>
      </c>
    </row>
    <row r="71" spans="1:24" ht="18" customHeight="1">
      <c r="A71" s="56">
        <v>68</v>
      </c>
      <c r="B71" s="57" t="s">
        <v>97</v>
      </c>
      <c r="C71" s="66" t="s">
        <v>159</v>
      </c>
      <c r="D71" s="60" t="s">
        <v>27</v>
      </c>
      <c r="E71" s="42"/>
      <c r="F71" s="43"/>
      <c r="G71" s="26">
        <f t="shared" si="0"/>
        <v>0</v>
      </c>
      <c r="H71" s="27">
        <f t="shared" si="28"/>
        <v>74</v>
      </c>
      <c r="I71" s="44">
        <v>60</v>
      </c>
      <c r="J71" s="29">
        <f t="shared" si="29"/>
        <v>4</v>
      </c>
      <c r="K71" s="46">
        <v>178.5</v>
      </c>
      <c r="L71" s="47">
        <v>171</v>
      </c>
      <c r="M71" s="27">
        <f t="shared" si="1"/>
        <v>178.5</v>
      </c>
      <c r="N71" s="27">
        <f t="shared" si="30"/>
        <v>7</v>
      </c>
      <c r="O71" s="48"/>
      <c r="P71" s="33">
        <f t="shared" si="31"/>
        <v>1</v>
      </c>
      <c r="Q71" s="50">
        <v>11.4</v>
      </c>
      <c r="R71" s="51">
        <v>11.1</v>
      </c>
      <c r="S71" s="36">
        <f t="shared" si="2"/>
        <v>11.4</v>
      </c>
      <c r="T71" s="36">
        <f t="shared" si="32"/>
        <v>51</v>
      </c>
      <c r="U71" s="52">
        <v>6.1</v>
      </c>
      <c r="V71" s="53">
        <v>6.4</v>
      </c>
      <c r="W71" s="26">
        <f t="shared" si="3"/>
        <v>6.4</v>
      </c>
      <c r="X71" s="39">
        <f t="shared" si="33"/>
        <v>56</v>
      </c>
    </row>
    <row r="72" spans="1:24" ht="18" customHeight="1">
      <c r="A72" s="56">
        <v>69</v>
      </c>
      <c r="B72" s="98" t="s">
        <v>98</v>
      </c>
      <c r="C72" s="66" t="s">
        <v>159</v>
      </c>
      <c r="D72" s="60" t="s">
        <v>27</v>
      </c>
      <c r="E72" s="42"/>
      <c r="F72" s="43"/>
      <c r="G72" s="26">
        <f t="shared" si="0"/>
        <v>0</v>
      </c>
      <c r="H72" s="27">
        <f t="shared" si="28"/>
        <v>74</v>
      </c>
      <c r="I72" s="44"/>
      <c r="J72" s="29">
        <f t="shared" si="29"/>
        <v>1</v>
      </c>
      <c r="K72" s="46"/>
      <c r="L72" s="47"/>
      <c r="M72" s="27">
        <f t="shared" si="1"/>
        <v>0</v>
      </c>
      <c r="N72" s="27">
        <f t="shared" si="30"/>
        <v>81</v>
      </c>
      <c r="O72" s="48"/>
      <c r="P72" s="33">
        <f t="shared" si="31"/>
        <v>1</v>
      </c>
      <c r="Q72" s="50"/>
      <c r="R72" s="51"/>
      <c r="S72" s="36">
        <f t="shared" si="2"/>
        <v>0</v>
      </c>
      <c r="T72" s="36">
        <f t="shared" si="32"/>
        <v>74</v>
      </c>
      <c r="U72" s="52"/>
      <c r="V72" s="53"/>
      <c r="W72" s="26">
        <f t="shared" si="3"/>
        <v>0</v>
      </c>
      <c r="X72" s="39">
        <f t="shared" si="33"/>
        <v>81</v>
      </c>
    </row>
    <row r="73" spans="1:24" ht="18" customHeight="1">
      <c r="A73" s="56">
        <v>70</v>
      </c>
      <c r="B73" s="57" t="s">
        <v>99</v>
      </c>
      <c r="C73" s="66" t="s">
        <v>159</v>
      </c>
      <c r="D73" s="60" t="s">
        <v>27</v>
      </c>
      <c r="E73" s="42">
        <v>186</v>
      </c>
      <c r="F73" s="43">
        <v>169</v>
      </c>
      <c r="G73" s="26">
        <f t="shared" si="0"/>
        <v>186</v>
      </c>
      <c r="H73" s="27">
        <f t="shared" si="28"/>
        <v>67</v>
      </c>
      <c r="I73" s="44">
        <v>46</v>
      </c>
      <c r="J73" s="29">
        <f t="shared" si="29"/>
        <v>44</v>
      </c>
      <c r="K73" s="46">
        <v>125.5</v>
      </c>
      <c r="L73" s="47">
        <v>123.5</v>
      </c>
      <c r="M73" s="27">
        <f t="shared" si="1"/>
        <v>125.5</v>
      </c>
      <c r="N73" s="27">
        <f t="shared" si="30"/>
        <v>52</v>
      </c>
      <c r="O73" s="48">
        <v>21.45</v>
      </c>
      <c r="P73" s="33">
        <f t="shared" si="31"/>
        <v>5</v>
      </c>
      <c r="Q73" s="50">
        <v>22.7</v>
      </c>
      <c r="R73" s="51">
        <v>24</v>
      </c>
      <c r="S73" s="36">
        <f t="shared" si="2"/>
        <v>24</v>
      </c>
      <c r="T73" s="36">
        <f t="shared" si="32"/>
        <v>7</v>
      </c>
      <c r="U73" s="52">
        <v>5</v>
      </c>
      <c r="V73" s="53">
        <v>5.5</v>
      </c>
      <c r="W73" s="26">
        <f t="shared" si="3"/>
        <v>5.5</v>
      </c>
      <c r="X73" s="39">
        <f t="shared" si="33"/>
        <v>72</v>
      </c>
    </row>
    <row r="74" spans="1:24" ht="18" customHeight="1">
      <c r="A74" s="56">
        <v>71</v>
      </c>
      <c r="B74" s="98" t="s">
        <v>101</v>
      </c>
      <c r="C74" s="66" t="s">
        <v>159</v>
      </c>
      <c r="D74" s="60" t="s">
        <v>27</v>
      </c>
      <c r="E74" s="42">
        <v>216</v>
      </c>
      <c r="F74" s="43">
        <v>218</v>
      </c>
      <c r="G74" s="26">
        <f t="shared" si="0"/>
        <v>218</v>
      </c>
      <c r="H74" s="27">
        <f t="shared" si="28"/>
        <v>41</v>
      </c>
      <c r="I74" s="44">
        <v>47</v>
      </c>
      <c r="J74" s="29">
        <f t="shared" si="29"/>
        <v>38</v>
      </c>
      <c r="K74" s="46">
        <v>131.5</v>
      </c>
      <c r="L74" s="47">
        <v>133.5</v>
      </c>
      <c r="M74" s="27">
        <f t="shared" si="1"/>
        <v>133.5</v>
      </c>
      <c r="N74" s="27">
        <f t="shared" si="30"/>
        <v>42</v>
      </c>
      <c r="O74" s="48">
        <v>17.079999999999998</v>
      </c>
      <c r="P74" s="33">
        <f t="shared" si="31"/>
        <v>26</v>
      </c>
      <c r="Q74" s="50">
        <v>8.4</v>
      </c>
      <c r="R74" s="51">
        <v>8.8000000000000007</v>
      </c>
      <c r="S74" s="36">
        <f t="shared" si="2"/>
        <v>8.8000000000000007</v>
      </c>
      <c r="T74" s="36">
        <f t="shared" si="32"/>
        <v>59</v>
      </c>
      <c r="U74" s="52">
        <v>7.5</v>
      </c>
      <c r="V74" s="53">
        <v>6.7</v>
      </c>
      <c r="W74" s="26">
        <f t="shared" si="3"/>
        <v>7.5</v>
      </c>
      <c r="X74" s="39">
        <f t="shared" si="33"/>
        <v>25</v>
      </c>
    </row>
    <row r="75" spans="1:24" ht="18" customHeight="1">
      <c r="A75" s="56">
        <v>72</v>
      </c>
      <c r="B75" s="57" t="s">
        <v>102</v>
      </c>
      <c r="C75" s="66" t="s">
        <v>159</v>
      </c>
      <c r="D75" s="60" t="s">
        <v>27</v>
      </c>
      <c r="E75" s="42">
        <v>225</v>
      </c>
      <c r="F75" s="43">
        <v>226</v>
      </c>
      <c r="G75" s="26">
        <f t="shared" si="0"/>
        <v>226</v>
      </c>
      <c r="H75" s="27">
        <f t="shared" si="28"/>
        <v>30</v>
      </c>
      <c r="I75" s="44">
        <v>44</v>
      </c>
      <c r="J75" s="29">
        <f t="shared" si="29"/>
        <v>50</v>
      </c>
      <c r="K75" s="46">
        <v>135.5</v>
      </c>
      <c r="L75" s="47">
        <v>139</v>
      </c>
      <c r="M75" s="27">
        <f t="shared" si="1"/>
        <v>139</v>
      </c>
      <c r="N75" s="27">
        <f t="shared" si="30"/>
        <v>31</v>
      </c>
      <c r="O75" s="48">
        <v>16.55</v>
      </c>
      <c r="P75" s="33">
        <f t="shared" si="31"/>
        <v>36</v>
      </c>
      <c r="Q75" s="50">
        <v>8.3000000000000007</v>
      </c>
      <c r="R75" s="51">
        <v>8.9</v>
      </c>
      <c r="S75" s="36">
        <f t="shared" si="2"/>
        <v>8.9</v>
      </c>
      <c r="T75" s="36">
        <f t="shared" si="32"/>
        <v>58</v>
      </c>
      <c r="U75" s="52">
        <v>6.4</v>
      </c>
      <c r="V75" s="53">
        <v>7.2</v>
      </c>
      <c r="W75" s="26">
        <f t="shared" si="3"/>
        <v>7.2</v>
      </c>
      <c r="X75" s="39">
        <f t="shared" si="33"/>
        <v>34</v>
      </c>
    </row>
    <row r="76" spans="1:24" ht="18" customHeight="1">
      <c r="A76" s="56">
        <v>73</v>
      </c>
      <c r="B76" s="98" t="s">
        <v>104</v>
      </c>
      <c r="C76" s="66" t="s">
        <v>159</v>
      </c>
      <c r="D76" s="60" t="s">
        <v>27</v>
      </c>
      <c r="E76" s="42">
        <v>241</v>
      </c>
      <c r="F76" s="43">
        <v>252</v>
      </c>
      <c r="G76" s="26">
        <f t="shared" si="0"/>
        <v>252</v>
      </c>
      <c r="H76" s="27">
        <f t="shared" si="28"/>
        <v>4</v>
      </c>
      <c r="I76" s="44">
        <v>53</v>
      </c>
      <c r="J76" s="29">
        <f t="shared" si="29"/>
        <v>10</v>
      </c>
      <c r="K76" s="46">
        <v>118</v>
      </c>
      <c r="L76" s="47">
        <v>120.5</v>
      </c>
      <c r="M76" s="27">
        <f t="shared" si="1"/>
        <v>120.5</v>
      </c>
      <c r="N76" s="27">
        <f t="shared" si="30"/>
        <v>59</v>
      </c>
      <c r="O76" s="48">
        <v>16.03</v>
      </c>
      <c r="P76" s="33">
        <f t="shared" si="31"/>
        <v>47</v>
      </c>
      <c r="Q76" s="50">
        <v>0.7</v>
      </c>
      <c r="R76" s="51">
        <v>1.4</v>
      </c>
      <c r="S76" s="36">
        <f t="shared" si="2"/>
        <v>1.4</v>
      </c>
      <c r="T76" s="36">
        <f t="shared" si="32"/>
        <v>73</v>
      </c>
      <c r="U76" s="52">
        <v>6.6</v>
      </c>
      <c r="V76" s="53">
        <v>6.9</v>
      </c>
      <c r="W76" s="26">
        <f t="shared" si="3"/>
        <v>6.9</v>
      </c>
      <c r="X76" s="39">
        <f t="shared" si="33"/>
        <v>43</v>
      </c>
    </row>
    <row r="77" spans="1:24" ht="18" customHeight="1">
      <c r="A77" s="56">
        <v>74</v>
      </c>
      <c r="B77" s="57" t="s">
        <v>105</v>
      </c>
      <c r="C77" s="66" t="s">
        <v>159</v>
      </c>
      <c r="D77" s="60" t="s">
        <v>27</v>
      </c>
      <c r="E77" s="42">
        <v>219</v>
      </c>
      <c r="F77" s="43">
        <v>222</v>
      </c>
      <c r="G77" s="26">
        <f t="shared" si="0"/>
        <v>222</v>
      </c>
      <c r="H77" s="27">
        <f t="shared" si="28"/>
        <v>36</v>
      </c>
      <c r="I77" s="44">
        <v>42</v>
      </c>
      <c r="J77" s="29">
        <f t="shared" si="29"/>
        <v>61</v>
      </c>
      <c r="K77" s="46">
        <v>124.5</v>
      </c>
      <c r="L77" s="47">
        <v>129</v>
      </c>
      <c r="M77" s="27">
        <f t="shared" si="1"/>
        <v>129</v>
      </c>
      <c r="N77" s="27">
        <f t="shared" si="30"/>
        <v>49</v>
      </c>
      <c r="O77" s="48">
        <v>17.940000000000001</v>
      </c>
      <c r="P77" s="33">
        <f t="shared" si="31"/>
        <v>14</v>
      </c>
      <c r="Q77" s="50">
        <v>23.6</v>
      </c>
      <c r="R77" s="51">
        <v>24</v>
      </c>
      <c r="S77" s="36">
        <f t="shared" si="2"/>
        <v>24</v>
      </c>
      <c r="T77" s="36">
        <f t="shared" si="32"/>
        <v>7</v>
      </c>
      <c r="U77" s="52">
        <v>6.7</v>
      </c>
      <c r="V77" s="53" t="s">
        <v>174</v>
      </c>
      <c r="W77" s="26">
        <f t="shared" si="3"/>
        <v>6.7</v>
      </c>
      <c r="X77" s="39">
        <f t="shared" si="33"/>
        <v>49</v>
      </c>
    </row>
    <row r="78" spans="1:24" ht="18" customHeight="1">
      <c r="A78" s="56">
        <v>75</v>
      </c>
      <c r="B78" s="98" t="s">
        <v>106</v>
      </c>
      <c r="C78" s="66" t="s">
        <v>159</v>
      </c>
      <c r="D78" s="60" t="s">
        <v>27</v>
      </c>
      <c r="E78" s="42">
        <v>201</v>
      </c>
      <c r="F78" s="43">
        <v>215</v>
      </c>
      <c r="G78" s="26">
        <f t="shared" si="0"/>
        <v>215</v>
      </c>
      <c r="H78" s="27">
        <f t="shared" si="28"/>
        <v>46</v>
      </c>
      <c r="I78" s="44">
        <v>46</v>
      </c>
      <c r="J78" s="29">
        <f t="shared" si="29"/>
        <v>44</v>
      </c>
      <c r="K78" s="46">
        <v>130.5</v>
      </c>
      <c r="L78" s="47">
        <v>136.5</v>
      </c>
      <c r="M78" s="27">
        <f t="shared" si="1"/>
        <v>136.5</v>
      </c>
      <c r="N78" s="27">
        <f t="shared" si="30"/>
        <v>37</v>
      </c>
      <c r="O78" s="48">
        <v>16.57</v>
      </c>
      <c r="P78" s="33">
        <f t="shared" si="31"/>
        <v>33</v>
      </c>
      <c r="Q78" s="50">
        <v>22.2</v>
      </c>
      <c r="R78" s="51">
        <v>23.6</v>
      </c>
      <c r="S78" s="36">
        <f t="shared" si="2"/>
        <v>23.6</v>
      </c>
      <c r="T78" s="36">
        <f t="shared" si="32"/>
        <v>9</v>
      </c>
      <c r="U78" s="52">
        <v>7.5</v>
      </c>
      <c r="V78" s="53">
        <v>7.9</v>
      </c>
      <c r="W78" s="26">
        <f t="shared" si="3"/>
        <v>7.9</v>
      </c>
      <c r="X78" s="39">
        <f t="shared" si="33"/>
        <v>20</v>
      </c>
    </row>
    <row r="79" spans="1:24" ht="18" customHeight="1">
      <c r="A79" s="56">
        <v>76</v>
      </c>
      <c r="B79" s="57" t="s">
        <v>107</v>
      </c>
      <c r="C79" s="66" t="s">
        <v>159</v>
      </c>
      <c r="D79" s="60" t="s">
        <v>29</v>
      </c>
      <c r="E79" s="42"/>
      <c r="F79" s="43"/>
      <c r="G79" s="26">
        <f t="shared" si="0"/>
        <v>0</v>
      </c>
      <c r="H79" s="27">
        <f>IF(D79="여", COUNTIFS(D:D, "여", G:G, "&gt;"&amp;G79)+1, "")</f>
        <v>19</v>
      </c>
      <c r="I79" s="44">
        <v>23</v>
      </c>
      <c r="J79" s="45">
        <f>IF(D79="여", COUNTIFS(D:D, "여", I:I, "&gt;"&amp;I79)+1, "")</f>
        <v>19</v>
      </c>
      <c r="K79" s="46">
        <v>112</v>
      </c>
      <c r="L79" s="47">
        <v>116.5</v>
      </c>
      <c r="M79" s="27">
        <f t="shared" si="1"/>
        <v>116.5</v>
      </c>
      <c r="N79" s="27">
        <f>IF(D79="여", COUNTIFS(D:D, "여", M:M, "&gt;"&amp;M79)+1, "")</f>
        <v>3</v>
      </c>
      <c r="O79" s="48">
        <v>31.61</v>
      </c>
      <c r="P79" s="49">
        <f>IF(D79="여", COUNTIFS(D:D, "여", O:O, "&gt;"&amp;O79)+1, "")</f>
        <v>1</v>
      </c>
      <c r="Q79" s="50">
        <v>9.9</v>
      </c>
      <c r="R79" s="51">
        <v>10.199999999999999</v>
      </c>
      <c r="S79" s="36">
        <f t="shared" si="2"/>
        <v>10.199999999999999</v>
      </c>
      <c r="T79" s="36">
        <f>IF(D79="여", COUNTIFS(D:D, "여", S:S, "&gt;"&amp;S79)+1, "")</f>
        <v>18</v>
      </c>
      <c r="U79" s="52">
        <v>8</v>
      </c>
      <c r="V79" s="53">
        <v>7.8</v>
      </c>
      <c r="W79" s="26">
        <f t="shared" si="3"/>
        <v>8</v>
      </c>
      <c r="X79" s="54">
        <f>IF(D79="여", COUNTIFS(D:D, "여", W:W, "&gt;"&amp;W79)+1, "")</f>
        <v>3</v>
      </c>
    </row>
    <row r="80" spans="1:24" ht="18" customHeight="1">
      <c r="A80" s="56">
        <v>77</v>
      </c>
      <c r="B80" s="98" t="s">
        <v>108</v>
      </c>
      <c r="C80" s="66" t="s">
        <v>159</v>
      </c>
      <c r="D80" s="60" t="s">
        <v>27</v>
      </c>
      <c r="E80" s="42">
        <v>203</v>
      </c>
      <c r="F80" s="43">
        <v>209</v>
      </c>
      <c r="G80" s="26">
        <f t="shared" si="0"/>
        <v>209</v>
      </c>
      <c r="H80" s="27">
        <f t="shared" ref="H80:H86" si="34">IF(D80="남", COUNTIFS(D:D, "남", G:G, "&gt;"&amp;G80)+1, "")</f>
        <v>56</v>
      </c>
      <c r="I80" s="44">
        <v>44</v>
      </c>
      <c r="J80" s="29">
        <f t="shared" ref="J80:J86" si="35">IF(D80="남", COUNTIFS(D:D, "남", I:I, "&gt;"&amp;I80)+1, "")</f>
        <v>50</v>
      </c>
      <c r="K80" s="46">
        <v>130.5</v>
      </c>
      <c r="L80" s="47">
        <v>135.5</v>
      </c>
      <c r="M80" s="27">
        <f t="shared" si="1"/>
        <v>135.5</v>
      </c>
      <c r="N80" s="27">
        <f t="shared" ref="N80:N86" si="36">IF(D80="남", COUNTIFS(D:D, "남", M:M, "&gt;"&amp;M80)+1, "")</f>
        <v>39</v>
      </c>
      <c r="O80" s="48">
        <v>17.16</v>
      </c>
      <c r="P80" s="33">
        <f t="shared" ref="P80:P86" si="37">IF(D80="남", COUNTIFS(D:D, "남", O:O, "&gt;"&amp;O80)+1, "")</f>
        <v>24</v>
      </c>
      <c r="Q80" s="50">
        <v>22.4</v>
      </c>
      <c r="R80" s="51">
        <v>20.9</v>
      </c>
      <c r="S80" s="36">
        <f t="shared" si="2"/>
        <v>22.4</v>
      </c>
      <c r="T80" s="36">
        <f t="shared" ref="T80:T86" si="38">IF(D80="남", COUNTIFS(D:D, "남", S:S, "&gt;"&amp;S80)+1, "")</f>
        <v>13</v>
      </c>
      <c r="U80" s="52">
        <v>5.0999999999999996</v>
      </c>
      <c r="V80" s="53">
        <v>5.4</v>
      </c>
      <c r="W80" s="26">
        <f t="shared" si="3"/>
        <v>5.4</v>
      </c>
      <c r="X80" s="39">
        <f t="shared" ref="X80:X86" si="39">IF(D80="남", COUNTIFS(D:D, "남", W:W, "&gt;"&amp;W80)+1, "")</f>
        <v>74</v>
      </c>
    </row>
    <row r="81" spans="1:24" ht="18" customHeight="1">
      <c r="A81" s="56">
        <v>78</v>
      </c>
      <c r="B81" s="57" t="s">
        <v>109</v>
      </c>
      <c r="C81" s="66" t="s">
        <v>159</v>
      </c>
      <c r="D81" s="60" t="s">
        <v>27</v>
      </c>
      <c r="E81" s="42">
        <v>234</v>
      </c>
      <c r="F81" s="43">
        <v>227</v>
      </c>
      <c r="G81" s="26">
        <f t="shared" si="0"/>
        <v>234</v>
      </c>
      <c r="H81" s="27">
        <f t="shared" si="34"/>
        <v>16</v>
      </c>
      <c r="I81" s="44">
        <v>52</v>
      </c>
      <c r="J81" s="29">
        <f t="shared" si="35"/>
        <v>13</v>
      </c>
      <c r="K81" s="46">
        <v>95.5</v>
      </c>
      <c r="L81" s="47">
        <v>114</v>
      </c>
      <c r="M81" s="27">
        <f t="shared" si="1"/>
        <v>114</v>
      </c>
      <c r="N81" s="27">
        <f t="shared" si="36"/>
        <v>65</v>
      </c>
      <c r="O81" s="48">
        <v>15.08</v>
      </c>
      <c r="P81" s="33">
        <f t="shared" si="37"/>
        <v>64</v>
      </c>
      <c r="Q81" s="50">
        <v>19.600000000000001</v>
      </c>
      <c r="R81" s="51"/>
      <c r="S81" s="36">
        <f t="shared" si="2"/>
        <v>19.600000000000001</v>
      </c>
      <c r="T81" s="36">
        <f t="shared" si="38"/>
        <v>21</v>
      </c>
      <c r="U81" s="52">
        <v>6.2</v>
      </c>
      <c r="V81" s="53">
        <v>6</v>
      </c>
      <c r="W81" s="26">
        <f t="shared" si="3"/>
        <v>6.2</v>
      </c>
      <c r="X81" s="39">
        <f t="shared" si="39"/>
        <v>60</v>
      </c>
    </row>
    <row r="82" spans="1:24" ht="18" customHeight="1">
      <c r="A82" s="56">
        <v>79</v>
      </c>
      <c r="B82" s="98" t="s">
        <v>110</v>
      </c>
      <c r="C82" s="66" t="s">
        <v>159</v>
      </c>
      <c r="D82" s="60" t="s">
        <v>27</v>
      </c>
      <c r="E82" s="42">
        <v>206</v>
      </c>
      <c r="F82" s="43">
        <v>206</v>
      </c>
      <c r="G82" s="26">
        <f t="shared" si="0"/>
        <v>206</v>
      </c>
      <c r="H82" s="27">
        <f t="shared" si="34"/>
        <v>60</v>
      </c>
      <c r="I82" s="44">
        <v>40</v>
      </c>
      <c r="J82" s="29">
        <f t="shared" si="35"/>
        <v>64</v>
      </c>
      <c r="K82" s="46">
        <v>89.5</v>
      </c>
      <c r="L82" s="47">
        <v>101</v>
      </c>
      <c r="M82" s="27">
        <f t="shared" si="1"/>
        <v>101</v>
      </c>
      <c r="N82" s="27">
        <f t="shared" si="36"/>
        <v>77</v>
      </c>
      <c r="O82" s="48">
        <v>17.48</v>
      </c>
      <c r="P82" s="33">
        <f t="shared" si="37"/>
        <v>20</v>
      </c>
      <c r="Q82" s="50">
        <v>17.7</v>
      </c>
      <c r="R82" s="51">
        <v>15.1</v>
      </c>
      <c r="S82" s="36">
        <f t="shared" si="2"/>
        <v>17.7</v>
      </c>
      <c r="T82" s="36">
        <f t="shared" si="38"/>
        <v>28</v>
      </c>
      <c r="U82" s="52">
        <v>5.9</v>
      </c>
      <c r="V82" s="53">
        <v>6.7</v>
      </c>
      <c r="W82" s="26">
        <f t="shared" si="3"/>
        <v>6.7</v>
      </c>
      <c r="X82" s="39">
        <f t="shared" si="39"/>
        <v>49</v>
      </c>
    </row>
    <row r="83" spans="1:24" ht="18" customHeight="1">
      <c r="A83" s="56">
        <v>80</v>
      </c>
      <c r="B83" s="57" t="s">
        <v>111</v>
      </c>
      <c r="C83" s="66" t="s">
        <v>159</v>
      </c>
      <c r="D83" s="60" t="s">
        <v>27</v>
      </c>
      <c r="E83" s="42">
        <v>222</v>
      </c>
      <c r="F83" s="43">
        <v>213</v>
      </c>
      <c r="G83" s="26">
        <f t="shared" si="0"/>
        <v>222</v>
      </c>
      <c r="H83" s="27">
        <f t="shared" si="34"/>
        <v>36</v>
      </c>
      <c r="I83" s="44">
        <v>50</v>
      </c>
      <c r="J83" s="29">
        <f t="shared" si="35"/>
        <v>20</v>
      </c>
      <c r="K83" s="46">
        <v>47</v>
      </c>
      <c r="L83" s="47">
        <v>71</v>
      </c>
      <c r="M83" s="27">
        <f t="shared" si="1"/>
        <v>71</v>
      </c>
      <c r="N83" s="27">
        <f t="shared" si="36"/>
        <v>80</v>
      </c>
      <c r="O83" s="48">
        <v>17.68</v>
      </c>
      <c r="P83" s="33">
        <f t="shared" si="37"/>
        <v>17</v>
      </c>
      <c r="Q83" s="50">
        <v>14.6</v>
      </c>
      <c r="R83" s="51">
        <v>13.6</v>
      </c>
      <c r="S83" s="36">
        <f t="shared" si="2"/>
        <v>14.6</v>
      </c>
      <c r="T83" s="36">
        <f t="shared" si="38"/>
        <v>39</v>
      </c>
      <c r="U83" s="52">
        <v>5</v>
      </c>
      <c r="V83" s="53">
        <v>4.7</v>
      </c>
      <c r="W83" s="26">
        <f t="shared" si="3"/>
        <v>5</v>
      </c>
      <c r="X83" s="39">
        <f t="shared" si="39"/>
        <v>77</v>
      </c>
    </row>
    <row r="84" spans="1:24" ht="18" customHeight="1" thickBot="1">
      <c r="A84" s="68">
        <v>81</v>
      </c>
      <c r="B84" s="99" t="s">
        <v>112</v>
      </c>
      <c r="C84" s="70" t="s">
        <v>159</v>
      </c>
      <c r="D84" s="70" t="s">
        <v>27</v>
      </c>
      <c r="E84" s="72">
        <v>226</v>
      </c>
      <c r="F84" s="73" t="s">
        <v>33</v>
      </c>
      <c r="G84" s="74">
        <f t="shared" si="0"/>
        <v>226</v>
      </c>
      <c r="H84" s="27">
        <f t="shared" si="34"/>
        <v>30</v>
      </c>
      <c r="I84" s="76">
        <v>49</v>
      </c>
      <c r="J84" s="81">
        <f t="shared" si="35"/>
        <v>25</v>
      </c>
      <c r="K84" s="77">
        <v>112.5</v>
      </c>
      <c r="L84" s="78">
        <v>113.5</v>
      </c>
      <c r="M84" s="79">
        <f t="shared" si="1"/>
        <v>113.5</v>
      </c>
      <c r="N84" s="27">
        <f t="shared" si="36"/>
        <v>66</v>
      </c>
      <c r="O84" s="80">
        <v>22.26</v>
      </c>
      <c r="P84" s="81">
        <f t="shared" si="37"/>
        <v>2</v>
      </c>
      <c r="Q84" s="82">
        <v>8.4</v>
      </c>
      <c r="R84" s="83">
        <v>7.8</v>
      </c>
      <c r="S84" s="75">
        <f t="shared" si="2"/>
        <v>8.4</v>
      </c>
      <c r="T84" s="36">
        <f t="shared" si="38"/>
        <v>61</v>
      </c>
      <c r="U84" s="84">
        <v>5.7</v>
      </c>
      <c r="V84" s="85">
        <v>5.9</v>
      </c>
      <c r="W84" s="74">
        <f t="shared" si="3"/>
        <v>5.9</v>
      </c>
      <c r="X84" s="39">
        <f t="shared" si="39"/>
        <v>64</v>
      </c>
    </row>
    <row r="85" spans="1:24" ht="18" customHeight="1">
      <c r="A85" s="20">
        <v>82</v>
      </c>
      <c r="B85" s="100" t="s">
        <v>113</v>
      </c>
      <c r="C85" s="23" t="s">
        <v>159</v>
      </c>
      <c r="D85" s="23" t="s">
        <v>27</v>
      </c>
      <c r="E85" s="24">
        <v>220</v>
      </c>
      <c r="F85" s="25">
        <v>206</v>
      </c>
      <c r="G85" s="26">
        <f t="shared" si="0"/>
        <v>220</v>
      </c>
      <c r="H85" s="27">
        <f t="shared" si="34"/>
        <v>38</v>
      </c>
      <c r="I85" s="28">
        <v>52</v>
      </c>
      <c r="J85" s="29">
        <f t="shared" si="35"/>
        <v>13</v>
      </c>
      <c r="K85" s="30">
        <v>147</v>
      </c>
      <c r="L85" s="31">
        <v>133.5</v>
      </c>
      <c r="M85" s="27">
        <f t="shared" si="1"/>
        <v>147</v>
      </c>
      <c r="N85" s="27">
        <f t="shared" si="36"/>
        <v>26</v>
      </c>
      <c r="O85" s="32">
        <v>19.649999999999999</v>
      </c>
      <c r="P85" s="33">
        <f t="shared" si="37"/>
        <v>7</v>
      </c>
      <c r="Q85" s="34">
        <v>16.8</v>
      </c>
      <c r="R85" s="35">
        <v>18.3</v>
      </c>
      <c r="S85" s="36">
        <f t="shared" si="2"/>
        <v>18.3</v>
      </c>
      <c r="T85" s="36">
        <f t="shared" si="38"/>
        <v>23</v>
      </c>
      <c r="U85" s="37">
        <v>6.8</v>
      </c>
      <c r="V85" s="38">
        <v>6.9</v>
      </c>
      <c r="W85" s="26">
        <f t="shared" si="3"/>
        <v>6.9</v>
      </c>
      <c r="X85" s="39">
        <f t="shared" si="39"/>
        <v>43</v>
      </c>
    </row>
    <row r="86" spans="1:24" ht="18" customHeight="1">
      <c r="A86" s="40">
        <v>83</v>
      </c>
      <c r="B86" s="21" t="s">
        <v>114</v>
      </c>
      <c r="C86" s="23" t="s">
        <v>159</v>
      </c>
      <c r="D86" s="41" t="s">
        <v>27</v>
      </c>
      <c r="E86" s="42" t="s">
        <v>133</v>
      </c>
      <c r="F86" s="43" t="s">
        <v>133</v>
      </c>
      <c r="G86" s="26">
        <f t="shared" si="0"/>
        <v>0</v>
      </c>
      <c r="H86" s="27">
        <f t="shared" si="34"/>
        <v>74</v>
      </c>
      <c r="I86" s="44" t="s">
        <v>133</v>
      </c>
      <c r="J86" s="29">
        <f t="shared" si="35"/>
        <v>1</v>
      </c>
      <c r="K86" s="46"/>
      <c r="L86" s="47"/>
      <c r="M86" s="27">
        <f t="shared" si="1"/>
        <v>0</v>
      </c>
      <c r="N86" s="27">
        <f t="shared" si="36"/>
        <v>81</v>
      </c>
      <c r="O86" s="48"/>
      <c r="P86" s="33">
        <f t="shared" si="37"/>
        <v>1</v>
      </c>
      <c r="Q86" s="50"/>
      <c r="R86" s="51"/>
      <c r="S86" s="36">
        <f t="shared" si="2"/>
        <v>0</v>
      </c>
      <c r="T86" s="36">
        <f t="shared" si="38"/>
        <v>74</v>
      </c>
      <c r="U86" s="52"/>
      <c r="V86" s="53"/>
      <c r="W86" s="26">
        <f t="shared" si="3"/>
        <v>0</v>
      </c>
      <c r="X86" s="39">
        <f t="shared" si="39"/>
        <v>81</v>
      </c>
    </row>
    <row r="87" spans="1:24" ht="18" customHeight="1">
      <c r="A87" s="40">
        <v>84</v>
      </c>
      <c r="B87" s="97" t="s">
        <v>115</v>
      </c>
      <c r="C87" s="23" t="s">
        <v>159</v>
      </c>
      <c r="D87" s="41" t="s">
        <v>29</v>
      </c>
      <c r="E87" s="42">
        <v>166</v>
      </c>
      <c r="F87" s="43">
        <v>173</v>
      </c>
      <c r="G87" s="26">
        <f t="shared" si="0"/>
        <v>173</v>
      </c>
      <c r="H87" s="27">
        <f>IF(D87="여", COUNTIFS(D:D, "여", G:G, "&gt;"&amp;G87)+1, "")</f>
        <v>11</v>
      </c>
      <c r="I87" s="44">
        <v>33</v>
      </c>
      <c r="J87" s="45">
        <f>IF(D87="여", COUNTIFS(D:D, "여", I:I, "&gt;"&amp;I87)+1, "")</f>
        <v>12</v>
      </c>
      <c r="K87" s="46">
        <v>82</v>
      </c>
      <c r="L87" s="47">
        <v>80.5</v>
      </c>
      <c r="M87" s="27">
        <f t="shared" si="1"/>
        <v>82</v>
      </c>
      <c r="N87" s="27">
        <f>IF(D87="여", COUNTIFS(D:D, "여", M:M, "&gt;"&amp;M87)+1, "")</f>
        <v>13</v>
      </c>
      <c r="O87" s="48">
        <v>19.12</v>
      </c>
      <c r="P87" s="49">
        <f>IF(D87="여", COUNTIFS(D:D, "여", O:O, "&gt;"&amp;O87)+1, "")</f>
        <v>8</v>
      </c>
      <c r="Q87" s="50">
        <v>16.100000000000001</v>
      </c>
      <c r="R87" s="51">
        <v>15.4</v>
      </c>
      <c r="S87" s="36">
        <f t="shared" si="2"/>
        <v>16.100000000000001</v>
      </c>
      <c r="T87" s="36">
        <f>IF(D87="여", COUNTIFS(D:D, "여", S:S, "&gt;"&amp;S87)+1, "")</f>
        <v>15</v>
      </c>
      <c r="U87" s="52">
        <v>5.2</v>
      </c>
      <c r="V87" s="53">
        <v>5.5</v>
      </c>
      <c r="W87" s="26">
        <f t="shared" si="3"/>
        <v>5.5</v>
      </c>
      <c r="X87" s="54">
        <f>IF(D87="여", COUNTIFS(D:D, "여", W:W, "&gt;"&amp;W87)+1, "")</f>
        <v>14</v>
      </c>
    </row>
    <row r="88" spans="1:24" ht="18" customHeight="1">
      <c r="A88" s="40">
        <v>85</v>
      </c>
      <c r="B88" s="21" t="s">
        <v>116</v>
      </c>
      <c r="C88" s="23" t="s">
        <v>159</v>
      </c>
      <c r="D88" s="41" t="s">
        <v>27</v>
      </c>
      <c r="E88" s="42"/>
      <c r="F88" s="43"/>
      <c r="G88" s="26">
        <f t="shared" si="0"/>
        <v>0</v>
      </c>
      <c r="H88" s="27">
        <f t="shared" ref="H88:H93" si="40">IF(D88="남", COUNTIFS(D:D, "남", G:G, "&gt;"&amp;G88)+1, "")</f>
        <v>74</v>
      </c>
      <c r="I88" s="44"/>
      <c r="J88" s="29">
        <f t="shared" ref="J88:J93" si="41">IF(D88="남", COUNTIFS(D:D, "남", I:I, "&gt;"&amp;I88)+1, "")</f>
        <v>1</v>
      </c>
      <c r="K88" s="46"/>
      <c r="L88" s="47"/>
      <c r="M88" s="27">
        <f t="shared" si="1"/>
        <v>0</v>
      </c>
      <c r="N88" s="27">
        <f t="shared" ref="N88:N93" si="42">IF(D88="남", COUNTIFS(D:D, "남", M:M, "&gt;"&amp;M88)+1, "")</f>
        <v>81</v>
      </c>
      <c r="O88" s="48"/>
      <c r="P88" s="33">
        <f t="shared" ref="P88:P93" si="43">IF(D88="남", COUNTIFS(D:D, "남", O:O, "&gt;"&amp;O88)+1, "")</f>
        <v>1</v>
      </c>
      <c r="Q88" s="50"/>
      <c r="R88" s="51"/>
      <c r="S88" s="36">
        <f t="shared" si="2"/>
        <v>0</v>
      </c>
      <c r="T88" s="36">
        <f t="shared" ref="T88:T93" si="44">IF(D88="남", COUNTIFS(D:D, "남", S:S, "&gt;"&amp;S88)+1, "")</f>
        <v>74</v>
      </c>
      <c r="U88" s="52"/>
      <c r="V88" s="53"/>
      <c r="W88" s="26">
        <f t="shared" si="3"/>
        <v>0</v>
      </c>
      <c r="X88" s="39">
        <f t="shared" ref="X88:X93" si="45">IF(D88="남", COUNTIFS(D:D, "남", W:W, "&gt;"&amp;W88)+1, "")</f>
        <v>81</v>
      </c>
    </row>
    <row r="89" spans="1:24" ht="18" customHeight="1">
      <c r="A89" s="40">
        <v>86</v>
      </c>
      <c r="B89" s="97" t="s">
        <v>117</v>
      </c>
      <c r="C89" s="23" t="s">
        <v>159</v>
      </c>
      <c r="D89" s="41" t="s">
        <v>27</v>
      </c>
      <c r="E89" s="42">
        <v>234</v>
      </c>
      <c r="F89" s="43">
        <v>228</v>
      </c>
      <c r="G89" s="26">
        <f t="shared" si="0"/>
        <v>234</v>
      </c>
      <c r="H89" s="27">
        <f t="shared" si="40"/>
        <v>16</v>
      </c>
      <c r="I89" s="44">
        <v>49</v>
      </c>
      <c r="J89" s="29">
        <f t="shared" si="41"/>
        <v>25</v>
      </c>
      <c r="K89" s="46">
        <v>179.5</v>
      </c>
      <c r="L89" s="47">
        <v>156.5</v>
      </c>
      <c r="M89" s="27">
        <f t="shared" si="1"/>
        <v>179.5</v>
      </c>
      <c r="N89" s="27">
        <f t="shared" si="42"/>
        <v>6</v>
      </c>
      <c r="O89" s="48">
        <v>17.48</v>
      </c>
      <c r="P89" s="33">
        <f t="shared" si="43"/>
        <v>20</v>
      </c>
      <c r="Q89" s="50">
        <v>2.1</v>
      </c>
      <c r="R89" s="51">
        <v>5.0999999999999996</v>
      </c>
      <c r="S89" s="36">
        <f t="shared" si="2"/>
        <v>5.0999999999999996</v>
      </c>
      <c r="T89" s="36">
        <f t="shared" si="44"/>
        <v>68</v>
      </c>
      <c r="U89" s="52">
        <v>8.6999999999999993</v>
      </c>
      <c r="V89" s="53">
        <v>9.1999999999999993</v>
      </c>
      <c r="W89" s="26">
        <f t="shared" si="3"/>
        <v>9.1999999999999993</v>
      </c>
      <c r="X89" s="39">
        <f t="shared" si="45"/>
        <v>2</v>
      </c>
    </row>
    <row r="90" spans="1:24" ht="18" customHeight="1">
      <c r="A90" s="40">
        <v>87</v>
      </c>
      <c r="B90" s="21" t="s">
        <v>118</v>
      </c>
      <c r="C90" s="23" t="s">
        <v>159</v>
      </c>
      <c r="D90" s="41" t="s">
        <v>27</v>
      </c>
      <c r="E90" s="42">
        <v>209</v>
      </c>
      <c r="F90" s="43">
        <v>209</v>
      </c>
      <c r="G90" s="26">
        <f t="shared" si="0"/>
        <v>209</v>
      </c>
      <c r="H90" s="27">
        <f t="shared" si="40"/>
        <v>56</v>
      </c>
      <c r="I90" s="44">
        <v>44</v>
      </c>
      <c r="J90" s="29">
        <f t="shared" si="41"/>
        <v>50</v>
      </c>
      <c r="K90" s="46">
        <v>114</v>
      </c>
      <c r="L90" s="47">
        <v>127</v>
      </c>
      <c r="M90" s="27">
        <f t="shared" si="1"/>
        <v>127</v>
      </c>
      <c r="N90" s="27">
        <f t="shared" si="42"/>
        <v>51</v>
      </c>
      <c r="O90" s="48">
        <v>17.079999999999998</v>
      </c>
      <c r="P90" s="33">
        <f t="shared" si="43"/>
        <v>26</v>
      </c>
      <c r="Q90" s="50" t="s">
        <v>92</v>
      </c>
      <c r="R90" s="51" t="s">
        <v>92</v>
      </c>
      <c r="S90" s="36">
        <f t="shared" si="2"/>
        <v>0</v>
      </c>
      <c r="T90" s="36">
        <f t="shared" si="44"/>
        <v>74</v>
      </c>
      <c r="U90" s="52">
        <v>5.8</v>
      </c>
      <c r="V90" s="53">
        <v>5.2</v>
      </c>
      <c r="W90" s="26">
        <f t="shared" si="3"/>
        <v>5.8</v>
      </c>
      <c r="X90" s="39">
        <f t="shared" si="45"/>
        <v>65</v>
      </c>
    </row>
    <row r="91" spans="1:24" ht="18" customHeight="1">
      <c r="A91" s="40">
        <v>88</v>
      </c>
      <c r="B91" s="97" t="s">
        <v>119</v>
      </c>
      <c r="C91" s="23" t="s">
        <v>159</v>
      </c>
      <c r="D91" s="41" t="s">
        <v>27</v>
      </c>
      <c r="E91" s="42">
        <v>227</v>
      </c>
      <c r="F91" s="43">
        <v>218</v>
      </c>
      <c r="G91" s="26">
        <f t="shared" si="0"/>
        <v>227</v>
      </c>
      <c r="H91" s="27">
        <f t="shared" si="40"/>
        <v>29</v>
      </c>
      <c r="I91" s="44">
        <v>44</v>
      </c>
      <c r="J91" s="29">
        <f t="shared" si="41"/>
        <v>50</v>
      </c>
      <c r="K91" s="46">
        <v>157.5</v>
      </c>
      <c r="L91" s="47">
        <v>152</v>
      </c>
      <c r="M91" s="27">
        <f t="shared" si="1"/>
        <v>157.5</v>
      </c>
      <c r="N91" s="27">
        <f t="shared" si="42"/>
        <v>21</v>
      </c>
      <c r="O91" s="48">
        <v>19.170000000000002</v>
      </c>
      <c r="P91" s="33">
        <f t="shared" si="43"/>
        <v>9</v>
      </c>
      <c r="Q91" s="50">
        <v>4.9000000000000004</v>
      </c>
      <c r="R91" s="51">
        <v>4.3</v>
      </c>
      <c r="S91" s="36">
        <f t="shared" si="2"/>
        <v>4.9000000000000004</v>
      </c>
      <c r="T91" s="36">
        <f t="shared" si="44"/>
        <v>69</v>
      </c>
      <c r="U91" s="52" t="s">
        <v>177</v>
      </c>
      <c r="V91" s="53">
        <v>7.1</v>
      </c>
      <c r="W91" s="26">
        <f t="shared" si="3"/>
        <v>7.1</v>
      </c>
      <c r="X91" s="39">
        <f t="shared" si="45"/>
        <v>37</v>
      </c>
    </row>
    <row r="92" spans="1:24" ht="18" customHeight="1">
      <c r="A92" s="40">
        <v>89</v>
      </c>
      <c r="B92" s="21" t="s">
        <v>120</v>
      </c>
      <c r="C92" s="23" t="s">
        <v>159</v>
      </c>
      <c r="D92" s="41" t="s">
        <v>27</v>
      </c>
      <c r="E92" s="42">
        <v>224</v>
      </c>
      <c r="F92" s="43">
        <v>222</v>
      </c>
      <c r="G92" s="26">
        <f t="shared" si="0"/>
        <v>224</v>
      </c>
      <c r="H92" s="27">
        <f t="shared" si="40"/>
        <v>34</v>
      </c>
      <c r="I92" s="44">
        <v>42</v>
      </c>
      <c r="J92" s="29">
        <f t="shared" si="41"/>
        <v>61</v>
      </c>
      <c r="K92" s="46">
        <v>182.5</v>
      </c>
      <c r="L92" s="47">
        <v>192.5</v>
      </c>
      <c r="M92" s="27">
        <f t="shared" si="1"/>
        <v>192.5</v>
      </c>
      <c r="N92" s="27">
        <f t="shared" si="42"/>
        <v>4</v>
      </c>
      <c r="O92" s="48">
        <v>17.61</v>
      </c>
      <c r="P92" s="33">
        <f t="shared" si="43"/>
        <v>18</v>
      </c>
      <c r="Q92" s="50">
        <v>11.5</v>
      </c>
      <c r="R92" s="51">
        <v>11.7</v>
      </c>
      <c r="S92" s="36">
        <f t="shared" si="2"/>
        <v>11.7</v>
      </c>
      <c r="T92" s="36">
        <f t="shared" si="44"/>
        <v>48</v>
      </c>
      <c r="U92" s="52">
        <v>7.1</v>
      </c>
      <c r="V92" s="53">
        <v>6.9</v>
      </c>
      <c r="W92" s="26">
        <f t="shared" si="3"/>
        <v>7.1</v>
      </c>
      <c r="X92" s="39">
        <f t="shared" si="45"/>
        <v>37</v>
      </c>
    </row>
    <row r="93" spans="1:24" ht="18" customHeight="1">
      <c r="A93" s="40">
        <v>90</v>
      </c>
      <c r="B93" s="97" t="s">
        <v>121</v>
      </c>
      <c r="C93" s="23" t="s">
        <v>159</v>
      </c>
      <c r="D93" s="41" t="s">
        <v>27</v>
      </c>
      <c r="E93" s="42">
        <v>206</v>
      </c>
      <c r="F93" s="43" t="s">
        <v>33</v>
      </c>
      <c r="G93" s="26"/>
      <c r="H93" s="27">
        <f t="shared" si="40"/>
        <v>1</v>
      </c>
      <c r="I93" s="44" t="s">
        <v>133</v>
      </c>
      <c r="J93" s="29">
        <f t="shared" si="41"/>
        <v>1</v>
      </c>
      <c r="K93" s="46">
        <v>145</v>
      </c>
      <c r="L93" s="47">
        <v>158</v>
      </c>
      <c r="M93" s="27">
        <f t="shared" si="1"/>
        <v>158</v>
      </c>
      <c r="N93" s="27">
        <f t="shared" si="42"/>
        <v>20</v>
      </c>
      <c r="O93" s="48"/>
      <c r="P93" s="33">
        <f t="shared" si="43"/>
        <v>1</v>
      </c>
      <c r="Q93" s="50" t="s">
        <v>133</v>
      </c>
      <c r="R93" s="51" t="s">
        <v>133</v>
      </c>
      <c r="S93" s="36">
        <f t="shared" si="2"/>
        <v>0</v>
      </c>
      <c r="T93" s="36">
        <f t="shared" si="44"/>
        <v>74</v>
      </c>
      <c r="U93" s="101" t="s">
        <v>91</v>
      </c>
      <c r="V93" s="53">
        <v>5.7</v>
      </c>
      <c r="W93" s="26">
        <f t="shared" si="3"/>
        <v>5.7</v>
      </c>
      <c r="X93" s="39">
        <f t="shared" si="45"/>
        <v>68</v>
      </c>
    </row>
    <row r="94" spans="1:24" ht="18" customHeight="1">
      <c r="A94" s="40">
        <v>91</v>
      </c>
      <c r="B94" s="21" t="s">
        <v>122</v>
      </c>
      <c r="C94" s="23" t="s">
        <v>159</v>
      </c>
      <c r="D94" s="41" t="s">
        <v>29</v>
      </c>
      <c r="E94" s="42">
        <v>165</v>
      </c>
      <c r="F94" s="43">
        <v>169</v>
      </c>
      <c r="G94" s="26">
        <f t="shared" ref="G94:G126" si="46">MAX(E94:F94)</f>
        <v>169</v>
      </c>
      <c r="H94" s="27">
        <f>IF(D94="여", COUNTIFS(D:D, "여", G:G, "&gt;"&amp;G94)+1, "")</f>
        <v>12</v>
      </c>
      <c r="I94" s="44">
        <v>30</v>
      </c>
      <c r="J94" s="45">
        <f>IF(D94="여", COUNTIFS(D:D, "여", I:I, "&gt;"&amp;I94)+1, "")</f>
        <v>14</v>
      </c>
      <c r="K94" s="46">
        <v>114.5</v>
      </c>
      <c r="L94" s="47">
        <v>118</v>
      </c>
      <c r="M94" s="27">
        <f t="shared" si="1"/>
        <v>118</v>
      </c>
      <c r="N94" s="27">
        <f>IF(D94="여", COUNTIFS(D:D, "여", M:M, "&gt;"&amp;M94)+1, "")</f>
        <v>2</v>
      </c>
      <c r="O94" s="48">
        <v>18.690000000000001</v>
      </c>
      <c r="P94" s="49">
        <f>IF(D94="여", COUNTIFS(D:D, "여", O:O, "&gt;"&amp;O94)+1, "")</f>
        <v>11</v>
      </c>
      <c r="Q94" s="50">
        <v>21.6</v>
      </c>
      <c r="R94" s="51">
        <v>23.1</v>
      </c>
      <c r="S94" s="36">
        <f t="shared" si="2"/>
        <v>23.1</v>
      </c>
      <c r="T94" s="36">
        <f>IF(D94="여", COUNTIFS(D:D, "여", S:S, "&gt;"&amp;S94)+1, "")</f>
        <v>9</v>
      </c>
      <c r="U94" s="52">
        <v>6.8</v>
      </c>
      <c r="V94" s="53">
        <v>6.5</v>
      </c>
      <c r="W94" s="26">
        <f t="shared" si="3"/>
        <v>6.8</v>
      </c>
      <c r="X94" s="54">
        <f>IF(D94="여", COUNTIFS(D:D, "여", W:W, "&gt;"&amp;W94)+1, "")</f>
        <v>7</v>
      </c>
    </row>
    <row r="95" spans="1:24" ht="18" customHeight="1">
      <c r="A95" s="40">
        <v>92</v>
      </c>
      <c r="B95" s="97" t="s">
        <v>123</v>
      </c>
      <c r="C95" s="23" t="s">
        <v>159</v>
      </c>
      <c r="D95" s="22" t="s">
        <v>27</v>
      </c>
      <c r="E95" s="42">
        <v>278</v>
      </c>
      <c r="F95" s="43" t="s">
        <v>33</v>
      </c>
      <c r="G95" s="26">
        <f t="shared" si="46"/>
        <v>278</v>
      </c>
      <c r="H95" s="27">
        <f>IF(D95="남", COUNTIFS(D:D, "남", G:G, "&gt;"&amp;G95)+1, "")</f>
        <v>1</v>
      </c>
      <c r="I95" s="44">
        <v>72</v>
      </c>
      <c r="J95" s="29">
        <f>IF(D95="남", COUNTIFS(D:D, "남", I:I, "&gt;"&amp;I95)+1, "")</f>
        <v>1</v>
      </c>
      <c r="K95" s="46">
        <v>158</v>
      </c>
      <c r="L95" s="47">
        <v>169.5</v>
      </c>
      <c r="M95" s="27">
        <f t="shared" si="1"/>
        <v>169.5</v>
      </c>
      <c r="N95" s="27">
        <f>IF(D95="남", COUNTIFS(D:D, "남", M:M, "&gt;"&amp;M95)+1, "")</f>
        <v>12</v>
      </c>
      <c r="O95" s="48">
        <v>14.67</v>
      </c>
      <c r="P95" s="33">
        <f>IF(D95="남", COUNTIFS(D:D, "남", O:O, "&gt;"&amp;O95)+1, "")</f>
        <v>66</v>
      </c>
      <c r="Q95" s="50">
        <v>19.2</v>
      </c>
      <c r="R95" s="51">
        <v>20.8</v>
      </c>
      <c r="S95" s="36">
        <f t="shared" si="2"/>
        <v>20.8</v>
      </c>
      <c r="T95" s="36">
        <f>IF(D95="남", COUNTIFS(D:D, "남", S:S, "&gt;"&amp;S95)+1, "")</f>
        <v>15</v>
      </c>
      <c r="U95" s="52">
        <v>9.1</v>
      </c>
      <c r="V95" s="102" t="s">
        <v>178</v>
      </c>
      <c r="W95" s="26">
        <f t="shared" si="3"/>
        <v>9.1</v>
      </c>
      <c r="X95" s="39">
        <f>IF(D95="남", COUNTIFS(D:D, "남", W:W, "&gt;"&amp;W95)+1, "")</f>
        <v>3</v>
      </c>
    </row>
    <row r="96" spans="1:24" ht="18" customHeight="1">
      <c r="A96" s="40">
        <v>93</v>
      </c>
      <c r="B96" s="21" t="s">
        <v>124</v>
      </c>
      <c r="C96" s="23" t="s">
        <v>159</v>
      </c>
      <c r="D96" s="41" t="s">
        <v>27</v>
      </c>
      <c r="E96" s="42"/>
      <c r="F96" s="43"/>
      <c r="G96" s="61">
        <f t="shared" si="46"/>
        <v>0</v>
      </c>
      <c r="H96" s="27">
        <f>IF(D96="남", COUNTIFS(D:D, "남", G:G, "&gt;"&amp;G96)+1, "")</f>
        <v>74</v>
      </c>
      <c r="I96" s="44"/>
      <c r="J96" s="29">
        <f>IF(D96="남", COUNTIFS(D:D, "남", I:I, "&gt;"&amp;I96)+1, "")</f>
        <v>1</v>
      </c>
      <c r="K96" s="46"/>
      <c r="L96" s="47"/>
      <c r="M96" s="62">
        <f t="shared" si="1"/>
        <v>0</v>
      </c>
      <c r="N96" s="27">
        <f>IF(D96="남", COUNTIFS(D:D, "남", M:M, "&gt;"&amp;M96)+1, "")</f>
        <v>81</v>
      </c>
      <c r="O96" s="48"/>
      <c r="P96" s="33">
        <f>IF(D96="남", COUNTIFS(D:D, "남", O:O, "&gt;"&amp;O96)+1, "")</f>
        <v>1</v>
      </c>
      <c r="Q96" s="50"/>
      <c r="R96" s="51"/>
      <c r="S96" s="63">
        <f t="shared" si="2"/>
        <v>0</v>
      </c>
      <c r="T96" s="36">
        <f>IF(D96="남", COUNTIFS(D:D, "남", S:S, "&gt;"&amp;S96)+1, "")</f>
        <v>74</v>
      </c>
      <c r="U96" s="52"/>
      <c r="V96" s="53"/>
      <c r="W96" s="26">
        <f t="shared" si="3"/>
        <v>0</v>
      </c>
      <c r="X96" s="39">
        <f>IF(D96="남", COUNTIFS(D:D, "남", W:W, "&gt;"&amp;W96)+1, "")</f>
        <v>81</v>
      </c>
    </row>
    <row r="97" spans="1:24" ht="18" customHeight="1">
      <c r="A97" s="20">
        <v>94</v>
      </c>
      <c r="B97" s="97" t="s">
        <v>125</v>
      </c>
      <c r="C97" s="23" t="s">
        <v>159</v>
      </c>
      <c r="D97" s="41" t="s">
        <v>27</v>
      </c>
      <c r="E97" s="24">
        <v>214</v>
      </c>
      <c r="F97" s="25">
        <v>216</v>
      </c>
      <c r="G97" s="26">
        <f t="shared" si="46"/>
        <v>216</v>
      </c>
      <c r="H97" s="27">
        <f>IF(D97="남", COUNTIFS(D:D, "남", G:G, "&gt;"&amp;G97)+1, "")</f>
        <v>43</v>
      </c>
      <c r="I97" s="28">
        <v>50</v>
      </c>
      <c r="J97" s="29">
        <f>IF(D97="남", COUNTIFS(D:D, "남", I:I, "&gt;"&amp;I97)+1, "")</f>
        <v>20</v>
      </c>
      <c r="K97" s="30">
        <v>166</v>
      </c>
      <c r="L97" s="31">
        <v>156.5</v>
      </c>
      <c r="M97" s="27">
        <f t="shared" si="1"/>
        <v>166</v>
      </c>
      <c r="N97" s="27">
        <f>IF(D97="남", COUNTIFS(D:D, "남", M:M, "&gt;"&amp;M97)+1, "")</f>
        <v>15</v>
      </c>
      <c r="O97" s="32">
        <v>25.82</v>
      </c>
      <c r="P97" s="33">
        <f>IF(D97="남", COUNTIFS(D:D, "남", O:O, "&gt;"&amp;O97)+1, "")</f>
        <v>1</v>
      </c>
      <c r="Q97" s="34">
        <v>-11</v>
      </c>
      <c r="R97" s="35">
        <v>11.7</v>
      </c>
      <c r="S97" s="36">
        <f t="shared" si="2"/>
        <v>11.7</v>
      </c>
      <c r="T97" s="36">
        <f>IF(D97="남", COUNTIFS(D:D, "남", S:S, "&gt;"&amp;S97)+1, "")</f>
        <v>48</v>
      </c>
      <c r="U97" s="37">
        <v>8</v>
      </c>
      <c r="V97" s="38">
        <v>7.8</v>
      </c>
      <c r="W97" s="26">
        <f t="shared" si="3"/>
        <v>8</v>
      </c>
      <c r="X97" s="39">
        <f>IF(D97="남", COUNTIFS(D:D, "남", W:W, "&gt;"&amp;W97)+1, "")</f>
        <v>17</v>
      </c>
    </row>
    <row r="98" spans="1:24" ht="18" customHeight="1">
      <c r="A98" s="40">
        <v>95</v>
      </c>
      <c r="B98" s="21" t="s">
        <v>126</v>
      </c>
      <c r="C98" s="23" t="s">
        <v>159</v>
      </c>
      <c r="D98" s="41" t="s">
        <v>27</v>
      </c>
      <c r="E98" s="42"/>
      <c r="F98" s="43"/>
      <c r="G98" s="26">
        <f t="shared" si="46"/>
        <v>0</v>
      </c>
      <c r="H98" s="27">
        <f>IF(D98="남", COUNTIFS(D:D, "남", G:G, "&gt;"&amp;G98)+1, "")</f>
        <v>74</v>
      </c>
      <c r="I98" s="44"/>
      <c r="J98" s="29">
        <f>IF(D98="남", COUNTIFS(D:D, "남", I:I, "&gt;"&amp;I98)+1, "")</f>
        <v>1</v>
      </c>
      <c r="K98" s="46"/>
      <c r="L98" s="47"/>
      <c r="M98" s="27">
        <f t="shared" si="1"/>
        <v>0</v>
      </c>
      <c r="N98" s="27">
        <f>IF(D98="남", COUNTIFS(D:D, "남", M:M, "&gt;"&amp;M98)+1, "")</f>
        <v>81</v>
      </c>
      <c r="O98" s="48"/>
      <c r="P98" s="33">
        <f>IF(D98="남", COUNTIFS(D:D, "남", O:O, "&gt;"&amp;O98)+1, "")</f>
        <v>1</v>
      </c>
      <c r="Q98" s="50"/>
      <c r="R98" s="51"/>
      <c r="S98" s="36">
        <f t="shared" si="2"/>
        <v>0</v>
      </c>
      <c r="T98" s="36">
        <f>IF(D98="남", COUNTIFS(D:D, "남", S:S, "&gt;"&amp;S98)+1, "")</f>
        <v>74</v>
      </c>
      <c r="U98" s="52"/>
      <c r="V98" s="53"/>
      <c r="W98" s="26">
        <f t="shared" si="3"/>
        <v>0</v>
      </c>
      <c r="X98" s="39">
        <f>IF(D98="남", COUNTIFS(D:D, "남", W:W, "&gt;"&amp;W98)+1, "")</f>
        <v>81</v>
      </c>
    </row>
    <row r="99" spans="1:24" ht="18" customHeight="1">
      <c r="A99" s="40">
        <v>96</v>
      </c>
      <c r="B99" s="97" t="s">
        <v>127</v>
      </c>
      <c r="C99" s="23" t="s">
        <v>159</v>
      </c>
      <c r="D99" s="41" t="s">
        <v>27</v>
      </c>
      <c r="E99" s="42">
        <v>212</v>
      </c>
      <c r="F99" s="43">
        <v>206</v>
      </c>
      <c r="G99" s="26">
        <f t="shared" si="46"/>
        <v>212</v>
      </c>
      <c r="H99" s="27">
        <f>IF(D99="남", COUNTIFS(D:D, "남", G:G, "&gt;"&amp;G99)+1, "")</f>
        <v>51</v>
      </c>
      <c r="I99" s="44">
        <v>38</v>
      </c>
      <c r="J99" s="29">
        <f>IF(D99="남", COUNTIFS(D:D, "남", I:I, "&gt;"&amp;I99)+1, "")</f>
        <v>69</v>
      </c>
      <c r="K99" s="46">
        <v>137</v>
      </c>
      <c r="L99" s="47">
        <v>125</v>
      </c>
      <c r="M99" s="27">
        <f t="shared" si="1"/>
        <v>137</v>
      </c>
      <c r="N99" s="27">
        <f>IF(D99="남", COUNTIFS(D:D, "남", M:M, "&gt;"&amp;M99)+1, "")</f>
        <v>34</v>
      </c>
      <c r="O99" s="48">
        <v>17.059999999999999</v>
      </c>
      <c r="P99" s="33">
        <f>IF(D99="남", COUNTIFS(D:D, "남", O:O, "&gt;"&amp;O99)+1, "")</f>
        <v>28</v>
      </c>
      <c r="Q99" s="50">
        <v>13.4</v>
      </c>
      <c r="R99" s="51">
        <v>11.3</v>
      </c>
      <c r="S99" s="36">
        <f t="shared" si="2"/>
        <v>13.4</v>
      </c>
      <c r="T99" s="36">
        <f>IF(D99="남", COUNTIFS(D:D, "남", S:S, "&gt;"&amp;S99)+1, "")</f>
        <v>44</v>
      </c>
      <c r="U99" s="52">
        <v>8.9</v>
      </c>
      <c r="V99" s="53">
        <v>8.6999999999999993</v>
      </c>
      <c r="W99" s="26">
        <f t="shared" si="3"/>
        <v>8.9</v>
      </c>
      <c r="X99" s="39">
        <f>IF(D99="남", COUNTIFS(D:D, "남", W:W, "&gt;"&amp;W99)+1, "")</f>
        <v>7</v>
      </c>
    </row>
    <row r="100" spans="1:24" ht="18" customHeight="1">
      <c r="A100" s="40">
        <v>97</v>
      </c>
      <c r="B100" s="21" t="s">
        <v>128</v>
      </c>
      <c r="C100" s="23" t="s">
        <v>159</v>
      </c>
      <c r="D100" s="41" t="s">
        <v>29</v>
      </c>
      <c r="E100" s="42"/>
      <c r="F100" s="43"/>
      <c r="G100" s="26">
        <f t="shared" si="46"/>
        <v>0</v>
      </c>
      <c r="H100" s="27">
        <f>IF(D100="여", COUNTIFS(D:D, "여", G:G, "&gt;"&amp;G100)+1, "")</f>
        <v>19</v>
      </c>
      <c r="I100" s="44" t="s">
        <v>133</v>
      </c>
      <c r="J100" s="45">
        <f>IF(D100="여", COUNTIFS(D:D, "여", I:I, "&gt;"&amp;I100)+1, "")</f>
        <v>1</v>
      </c>
      <c r="K100" s="46"/>
      <c r="L100" s="47"/>
      <c r="M100" s="27">
        <f t="shared" si="1"/>
        <v>0</v>
      </c>
      <c r="N100" s="27">
        <f>IF(D100="여", COUNTIFS(D:D, "여", M:M, "&gt;"&amp;M100)+1, "")</f>
        <v>21</v>
      </c>
      <c r="O100" s="48">
        <v>20.46</v>
      </c>
      <c r="P100" s="49">
        <f>IF(D100="여", COUNTIFS(D:D, "여", O:O, "&gt;"&amp;O100)+1, "")</f>
        <v>6</v>
      </c>
      <c r="Q100" s="50">
        <v>27</v>
      </c>
      <c r="R100" s="51">
        <v>26.8</v>
      </c>
      <c r="S100" s="36">
        <f t="shared" si="2"/>
        <v>27</v>
      </c>
      <c r="T100" s="36">
        <f>IF(D100="여", COUNTIFS(D:D, "여", S:S, "&gt;"&amp;S100)+1, "")</f>
        <v>3</v>
      </c>
      <c r="U100" s="52"/>
      <c r="V100" s="53"/>
      <c r="W100" s="26">
        <f t="shared" si="3"/>
        <v>0</v>
      </c>
      <c r="X100" s="54">
        <f>IF(D100="여", COUNTIFS(D:D, "여", W:W, "&gt;"&amp;W100)+1, "")</f>
        <v>21</v>
      </c>
    </row>
    <row r="101" spans="1:24" ht="18" customHeight="1">
      <c r="A101" s="40">
        <v>98</v>
      </c>
      <c r="B101" s="97" t="s">
        <v>129</v>
      </c>
      <c r="C101" s="23" t="s">
        <v>159</v>
      </c>
      <c r="D101" s="41" t="s">
        <v>27</v>
      </c>
      <c r="E101" s="42">
        <v>246</v>
      </c>
      <c r="F101" s="43">
        <v>240</v>
      </c>
      <c r="G101" s="26">
        <f t="shared" si="46"/>
        <v>246</v>
      </c>
      <c r="H101" s="27">
        <f t="shared" ref="H101:H111" si="47">IF(D101="남", COUNTIFS(D:D, "남", G:G, "&gt;"&amp;G101)+1, "")</f>
        <v>5</v>
      </c>
      <c r="I101" s="44">
        <v>63</v>
      </c>
      <c r="J101" s="29">
        <f t="shared" ref="J101:J111" si="48">IF(D101="남", COUNTIFS(D:D, "남", I:I, "&gt;"&amp;I101)+1, "")</f>
        <v>3</v>
      </c>
      <c r="K101" s="46">
        <v>203.5</v>
      </c>
      <c r="L101" s="47">
        <v>189</v>
      </c>
      <c r="M101" s="27">
        <f t="shared" si="1"/>
        <v>203.5</v>
      </c>
      <c r="N101" s="27">
        <f t="shared" ref="N101:N111" si="49">IF(D101="남", COUNTIFS(D:D, "남", M:M, "&gt;"&amp;M101)+1, "")</f>
        <v>3</v>
      </c>
      <c r="O101" s="48">
        <v>15.66</v>
      </c>
      <c r="P101" s="33">
        <f t="shared" ref="P101:P111" si="50">IF(D101="남", COUNTIFS(D:D, "남", O:O, "&gt;"&amp;O101)+1, "")</f>
        <v>52</v>
      </c>
      <c r="Q101" s="50">
        <v>12.3</v>
      </c>
      <c r="R101" s="51">
        <v>14.2</v>
      </c>
      <c r="S101" s="36">
        <f t="shared" si="2"/>
        <v>14.2</v>
      </c>
      <c r="T101" s="36">
        <f t="shared" ref="T101:T111" si="51">IF(D101="남", COUNTIFS(D:D, "남", S:S, "&gt;"&amp;S101)+1, "")</f>
        <v>42</v>
      </c>
      <c r="U101" s="101"/>
      <c r="V101" s="53">
        <v>7.5</v>
      </c>
      <c r="W101" s="26">
        <f t="shared" si="3"/>
        <v>7.5</v>
      </c>
      <c r="X101" s="39">
        <f t="shared" ref="X101:X111" si="52">IF(D101="남", COUNTIFS(D:D, "남", W:W, "&gt;"&amp;W101)+1, "")</f>
        <v>25</v>
      </c>
    </row>
    <row r="102" spans="1:24" ht="18" customHeight="1">
      <c r="A102" s="40">
        <v>99</v>
      </c>
      <c r="B102" s="21" t="s">
        <v>130</v>
      </c>
      <c r="C102" s="23" t="s">
        <v>159</v>
      </c>
      <c r="D102" s="41" t="s">
        <v>27</v>
      </c>
      <c r="E102" s="42">
        <v>255</v>
      </c>
      <c r="F102" s="43">
        <v>254</v>
      </c>
      <c r="G102" s="26">
        <f t="shared" si="46"/>
        <v>255</v>
      </c>
      <c r="H102" s="27">
        <f t="shared" si="47"/>
        <v>3</v>
      </c>
      <c r="I102" s="44">
        <v>60</v>
      </c>
      <c r="J102" s="29">
        <f t="shared" si="48"/>
        <v>4</v>
      </c>
      <c r="K102" s="46">
        <v>132</v>
      </c>
      <c r="L102" s="47">
        <v>137.5</v>
      </c>
      <c r="M102" s="27">
        <f t="shared" si="1"/>
        <v>137.5</v>
      </c>
      <c r="N102" s="27">
        <f t="shared" si="49"/>
        <v>33</v>
      </c>
      <c r="O102" s="48">
        <v>15.43</v>
      </c>
      <c r="P102" s="33">
        <f t="shared" si="50"/>
        <v>57</v>
      </c>
      <c r="Q102" s="50">
        <v>17.100000000000001</v>
      </c>
      <c r="R102" s="51">
        <v>16.8</v>
      </c>
      <c r="S102" s="36">
        <f t="shared" si="2"/>
        <v>17.100000000000001</v>
      </c>
      <c r="T102" s="36">
        <f t="shared" si="51"/>
        <v>31</v>
      </c>
      <c r="U102" s="52">
        <v>5.5</v>
      </c>
      <c r="V102" s="53">
        <v>6.2</v>
      </c>
      <c r="W102" s="26">
        <f t="shared" si="3"/>
        <v>6.2</v>
      </c>
      <c r="X102" s="39">
        <f t="shared" si="52"/>
        <v>60</v>
      </c>
    </row>
    <row r="103" spans="1:24" ht="18" customHeight="1">
      <c r="A103" s="40">
        <v>100</v>
      </c>
      <c r="B103" s="97" t="s">
        <v>131</v>
      </c>
      <c r="C103" s="23" t="s">
        <v>159</v>
      </c>
      <c r="D103" s="41" t="s">
        <v>27</v>
      </c>
      <c r="E103" s="42" t="s">
        <v>100</v>
      </c>
      <c r="F103" s="42" t="s">
        <v>100</v>
      </c>
      <c r="G103" s="26">
        <f t="shared" si="46"/>
        <v>0</v>
      </c>
      <c r="H103" s="27">
        <f t="shared" si="47"/>
        <v>74</v>
      </c>
      <c r="I103" s="44">
        <v>46</v>
      </c>
      <c r="J103" s="29">
        <f t="shared" si="48"/>
        <v>44</v>
      </c>
      <c r="K103" s="46">
        <v>205</v>
      </c>
      <c r="L103" s="47">
        <v>145</v>
      </c>
      <c r="M103" s="27">
        <f t="shared" si="1"/>
        <v>205</v>
      </c>
      <c r="N103" s="27">
        <f t="shared" si="49"/>
        <v>2</v>
      </c>
      <c r="O103" s="48"/>
      <c r="P103" s="33">
        <f t="shared" si="50"/>
        <v>1</v>
      </c>
      <c r="Q103" s="50">
        <v>4.8</v>
      </c>
      <c r="R103" s="51">
        <v>7.5</v>
      </c>
      <c r="S103" s="36">
        <f t="shared" si="2"/>
        <v>7.5</v>
      </c>
      <c r="T103" s="36">
        <f t="shared" si="51"/>
        <v>62</v>
      </c>
      <c r="U103" s="52">
        <v>7</v>
      </c>
      <c r="V103" s="53">
        <v>6.7</v>
      </c>
      <c r="W103" s="26">
        <f t="shared" si="3"/>
        <v>7</v>
      </c>
      <c r="X103" s="39">
        <f t="shared" si="52"/>
        <v>39</v>
      </c>
    </row>
    <row r="104" spans="1:24" ht="18" customHeight="1">
      <c r="A104" s="56">
        <v>101</v>
      </c>
      <c r="B104" s="57" t="s">
        <v>135</v>
      </c>
      <c r="C104" s="66" t="s">
        <v>159</v>
      </c>
      <c r="D104" s="67" t="s">
        <v>27</v>
      </c>
      <c r="E104" s="42">
        <v>162</v>
      </c>
      <c r="F104" s="43">
        <v>162</v>
      </c>
      <c r="G104" s="26">
        <f t="shared" si="46"/>
        <v>162</v>
      </c>
      <c r="H104" s="27">
        <f t="shared" si="47"/>
        <v>72</v>
      </c>
      <c r="I104" s="44">
        <v>39</v>
      </c>
      <c r="J104" s="29">
        <f t="shared" si="48"/>
        <v>66</v>
      </c>
      <c r="K104" s="46">
        <v>115</v>
      </c>
      <c r="L104" s="47">
        <v>133</v>
      </c>
      <c r="M104" s="27">
        <f t="shared" si="1"/>
        <v>133</v>
      </c>
      <c r="N104" s="27">
        <f t="shared" si="49"/>
        <v>45</v>
      </c>
      <c r="O104" s="48">
        <v>17.78</v>
      </c>
      <c r="P104" s="33">
        <f t="shared" si="50"/>
        <v>16</v>
      </c>
      <c r="Q104" s="50">
        <v>6.3</v>
      </c>
      <c r="R104" s="51">
        <v>7.2</v>
      </c>
      <c r="S104" s="36">
        <f t="shared" si="2"/>
        <v>7.2</v>
      </c>
      <c r="T104" s="36">
        <f t="shared" si="51"/>
        <v>64</v>
      </c>
      <c r="U104" s="101" t="s">
        <v>46</v>
      </c>
      <c r="V104" s="53">
        <v>5.8</v>
      </c>
      <c r="W104" s="26">
        <f t="shared" si="3"/>
        <v>5.8</v>
      </c>
      <c r="X104" s="39">
        <f t="shared" si="52"/>
        <v>65</v>
      </c>
    </row>
    <row r="105" spans="1:24" ht="18" customHeight="1">
      <c r="A105" s="56">
        <v>102</v>
      </c>
      <c r="B105" s="98" t="s">
        <v>136</v>
      </c>
      <c r="C105" s="66" t="s">
        <v>159</v>
      </c>
      <c r="D105" s="67" t="s">
        <v>27</v>
      </c>
      <c r="E105" s="42">
        <v>228</v>
      </c>
      <c r="F105" s="43" t="s">
        <v>33</v>
      </c>
      <c r="G105" s="26">
        <f t="shared" si="46"/>
        <v>228</v>
      </c>
      <c r="H105" s="27">
        <f t="shared" si="47"/>
        <v>27</v>
      </c>
      <c r="I105" s="44">
        <v>44</v>
      </c>
      <c r="J105" s="29">
        <f t="shared" si="48"/>
        <v>50</v>
      </c>
      <c r="K105" s="46">
        <v>125</v>
      </c>
      <c r="L105" s="47">
        <v>124</v>
      </c>
      <c r="M105" s="27">
        <f t="shared" si="1"/>
        <v>125</v>
      </c>
      <c r="N105" s="27">
        <f t="shared" si="49"/>
        <v>54</v>
      </c>
      <c r="O105" s="48">
        <v>17.59</v>
      </c>
      <c r="P105" s="33">
        <f t="shared" si="50"/>
        <v>19</v>
      </c>
      <c r="Q105" s="50">
        <v>27.7</v>
      </c>
      <c r="R105" s="51">
        <v>31.8</v>
      </c>
      <c r="S105" s="36">
        <f t="shared" si="2"/>
        <v>31.8</v>
      </c>
      <c r="T105" s="36">
        <f t="shared" si="51"/>
        <v>1</v>
      </c>
      <c r="U105" s="52">
        <v>7</v>
      </c>
      <c r="V105" s="53">
        <v>7</v>
      </c>
      <c r="W105" s="26">
        <f t="shared" si="3"/>
        <v>7</v>
      </c>
      <c r="X105" s="39">
        <f t="shared" si="52"/>
        <v>39</v>
      </c>
    </row>
    <row r="106" spans="1:24" ht="18" customHeight="1">
      <c r="A106" s="56">
        <v>103</v>
      </c>
      <c r="B106" s="57" t="s">
        <v>137</v>
      </c>
      <c r="C106" s="66" t="s">
        <v>159</v>
      </c>
      <c r="D106" s="67" t="s">
        <v>27</v>
      </c>
      <c r="E106" s="42">
        <v>234</v>
      </c>
      <c r="F106" s="43">
        <v>232</v>
      </c>
      <c r="G106" s="26">
        <f t="shared" si="46"/>
        <v>234</v>
      </c>
      <c r="H106" s="27">
        <f t="shared" si="47"/>
        <v>16</v>
      </c>
      <c r="I106" s="44">
        <v>55</v>
      </c>
      <c r="J106" s="29">
        <f t="shared" si="48"/>
        <v>9</v>
      </c>
      <c r="K106" s="46">
        <v>161</v>
      </c>
      <c r="L106" s="47">
        <v>156</v>
      </c>
      <c r="M106" s="27">
        <f t="shared" si="1"/>
        <v>161</v>
      </c>
      <c r="N106" s="27">
        <f t="shared" si="49"/>
        <v>17</v>
      </c>
      <c r="O106" s="48">
        <v>15.77</v>
      </c>
      <c r="P106" s="33">
        <f t="shared" si="50"/>
        <v>50</v>
      </c>
      <c r="Q106" s="50">
        <v>4.0999999999999996</v>
      </c>
      <c r="R106" s="51">
        <v>8.6999999999999993</v>
      </c>
      <c r="S106" s="36">
        <f t="shared" si="2"/>
        <v>8.6999999999999993</v>
      </c>
      <c r="T106" s="36">
        <f t="shared" si="51"/>
        <v>60</v>
      </c>
      <c r="U106" s="52">
        <v>9</v>
      </c>
      <c r="V106" s="53">
        <v>8.6</v>
      </c>
      <c r="W106" s="26">
        <f t="shared" si="3"/>
        <v>9</v>
      </c>
      <c r="X106" s="39">
        <f t="shared" si="52"/>
        <v>5</v>
      </c>
    </row>
    <row r="107" spans="1:24" ht="18" customHeight="1">
      <c r="A107" s="56">
        <v>104</v>
      </c>
      <c r="B107" s="98" t="s">
        <v>138</v>
      </c>
      <c r="C107" s="66" t="s">
        <v>159</v>
      </c>
      <c r="D107" s="67" t="s">
        <v>27</v>
      </c>
      <c r="E107" s="42">
        <v>174</v>
      </c>
      <c r="F107" s="43">
        <v>128</v>
      </c>
      <c r="G107" s="26">
        <f t="shared" si="46"/>
        <v>174</v>
      </c>
      <c r="H107" s="27">
        <f t="shared" si="47"/>
        <v>70</v>
      </c>
      <c r="I107" s="44">
        <v>30</v>
      </c>
      <c r="J107" s="29">
        <f t="shared" si="48"/>
        <v>74</v>
      </c>
      <c r="K107" s="46">
        <v>160.5</v>
      </c>
      <c r="L107" s="47">
        <v>145</v>
      </c>
      <c r="M107" s="27">
        <f t="shared" si="1"/>
        <v>160.5</v>
      </c>
      <c r="N107" s="27">
        <f t="shared" si="49"/>
        <v>18</v>
      </c>
      <c r="O107" s="48"/>
      <c r="P107" s="33">
        <f t="shared" si="50"/>
        <v>1</v>
      </c>
      <c r="Q107" s="50">
        <v>16.899999999999999</v>
      </c>
      <c r="R107" s="51">
        <v>16.8</v>
      </c>
      <c r="S107" s="36">
        <f t="shared" si="2"/>
        <v>16.899999999999999</v>
      </c>
      <c r="T107" s="36">
        <f t="shared" si="51"/>
        <v>34</v>
      </c>
      <c r="U107" s="52">
        <v>5.5</v>
      </c>
      <c r="V107" s="53">
        <v>5.7</v>
      </c>
      <c r="W107" s="26">
        <f t="shared" si="3"/>
        <v>5.7</v>
      </c>
      <c r="X107" s="39">
        <f t="shared" si="52"/>
        <v>68</v>
      </c>
    </row>
    <row r="108" spans="1:24" ht="18" customHeight="1">
      <c r="A108" s="56">
        <v>105</v>
      </c>
      <c r="B108" s="57" t="s">
        <v>139</v>
      </c>
      <c r="C108" s="66" t="s">
        <v>159</v>
      </c>
      <c r="D108" s="67" t="s">
        <v>27</v>
      </c>
      <c r="E108" s="42">
        <v>207</v>
      </c>
      <c r="F108" s="43">
        <v>212</v>
      </c>
      <c r="G108" s="26">
        <f t="shared" si="46"/>
        <v>212</v>
      </c>
      <c r="H108" s="27">
        <f t="shared" si="47"/>
        <v>51</v>
      </c>
      <c r="I108" s="44">
        <v>50</v>
      </c>
      <c r="J108" s="29">
        <f t="shared" si="48"/>
        <v>20</v>
      </c>
      <c r="K108" s="46">
        <v>131</v>
      </c>
      <c r="L108" s="47">
        <v>125.5</v>
      </c>
      <c r="M108" s="27">
        <f t="shared" si="1"/>
        <v>131</v>
      </c>
      <c r="N108" s="27">
        <f t="shared" si="49"/>
        <v>46</v>
      </c>
      <c r="O108" s="48">
        <v>16.96</v>
      </c>
      <c r="P108" s="33">
        <f t="shared" si="50"/>
        <v>30</v>
      </c>
      <c r="Q108" s="50">
        <v>-4.2</v>
      </c>
      <c r="R108" s="51">
        <v>-1.4</v>
      </c>
      <c r="S108" s="36">
        <f t="shared" si="2"/>
        <v>-1.4</v>
      </c>
      <c r="T108" s="36">
        <f t="shared" si="51"/>
        <v>96</v>
      </c>
      <c r="U108" s="101" t="s">
        <v>72</v>
      </c>
      <c r="V108" s="53">
        <v>8.8000000000000007</v>
      </c>
      <c r="W108" s="26">
        <f t="shared" si="3"/>
        <v>8.8000000000000007</v>
      </c>
      <c r="X108" s="39">
        <f t="shared" si="52"/>
        <v>9</v>
      </c>
    </row>
    <row r="109" spans="1:24" ht="18" customHeight="1">
      <c r="A109" s="56">
        <v>106</v>
      </c>
      <c r="B109" s="98" t="s">
        <v>140</v>
      </c>
      <c r="C109" s="66" t="s">
        <v>159</v>
      </c>
      <c r="D109" s="67" t="s">
        <v>27</v>
      </c>
      <c r="E109" s="42">
        <v>224</v>
      </c>
      <c r="F109" s="43">
        <v>230</v>
      </c>
      <c r="G109" s="26">
        <f t="shared" si="46"/>
        <v>230</v>
      </c>
      <c r="H109" s="27">
        <f t="shared" si="47"/>
        <v>26</v>
      </c>
      <c r="I109" s="44">
        <v>49</v>
      </c>
      <c r="J109" s="29">
        <f t="shared" si="48"/>
        <v>25</v>
      </c>
      <c r="K109" s="46">
        <v>137</v>
      </c>
      <c r="L109" s="47">
        <v>127.5</v>
      </c>
      <c r="M109" s="27">
        <f t="shared" si="1"/>
        <v>137</v>
      </c>
      <c r="N109" s="27">
        <f t="shared" si="49"/>
        <v>34</v>
      </c>
      <c r="O109" s="48">
        <v>15.58</v>
      </c>
      <c r="P109" s="33">
        <f t="shared" si="50"/>
        <v>53</v>
      </c>
      <c r="Q109" s="50">
        <v>17.7</v>
      </c>
      <c r="R109" s="51">
        <v>13.4</v>
      </c>
      <c r="S109" s="36">
        <f t="shared" si="2"/>
        <v>17.7</v>
      </c>
      <c r="T109" s="36">
        <f t="shared" si="51"/>
        <v>28</v>
      </c>
      <c r="U109" s="52">
        <v>6.8</v>
      </c>
      <c r="V109" s="53">
        <v>7.2</v>
      </c>
      <c r="W109" s="26">
        <f t="shared" si="3"/>
        <v>7.2</v>
      </c>
      <c r="X109" s="39">
        <f t="shared" si="52"/>
        <v>34</v>
      </c>
    </row>
    <row r="110" spans="1:24" ht="18" customHeight="1">
      <c r="A110" s="56">
        <v>107</v>
      </c>
      <c r="B110" s="57" t="s">
        <v>141</v>
      </c>
      <c r="C110" s="66" t="s">
        <v>159</v>
      </c>
      <c r="D110" s="67" t="s">
        <v>27</v>
      </c>
      <c r="E110" s="42" t="s">
        <v>161</v>
      </c>
      <c r="F110" s="43">
        <v>178</v>
      </c>
      <c r="G110" s="26">
        <f t="shared" si="46"/>
        <v>178</v>
      </c>
      <c r="H110" s="27">
        <f t="shared" si="47"/>
        <v>69</v>
      </c>
      <c r="I110" s="44">
        <v>38</v>
      </c>
      <c r="J110" s="29">
        <f t="shared" si="48"/>
        <v>69</v>
      </c>
      <c r="K110" s="46">
        <v>175</v>
      </c>
      <c r="L110" s="47">
        <v>175.5</v>
      </c>
      <c r="M110" s="27">
        <f t="shared" si="1"/>
        <v>175.5</v>
      </c>
      <c r="N110" s="27">
        <f t="shared" si="49"/>
        <v>8</v>
      </c>
      <c r="O110" s="48"/>
      <c r="P110" s="33">
        <f t="shared" si="50"/>
        <v>1</v>
      </c>
      <c r="Q110" s="50">
        <v>7.7</v>
      </c>
      <c r="R110" s="51">
        <v>9.6</v>
      </c>
      <c r="S110" s="36">
        <f t="shared" si="2"/>
        <v>9.6</v>
      </c>
      <c r="T110" s="36">
        <f t="shared" si="51"/>
        <v>56</v>
      </c>
      <c r="U110" s="52">
        <v>8.8000000000000007</v>
      </c>
      <c r="V110" s="53">
        <v>9</v>
      </c>
      <c r="W110" s="26">
        <f t="shared" si="3"/>
        <v>9</v>
      </c>
      <c r="X110" s="39">
        <f t="shared" si="52"/>
        <v>5</v>
      </c>
    </row>
    <row r="111" spans="1:24" ht="18" customHeight="1">
      <c r="A111" s="56">
        <v>108</v>
      </c>
      <c r="B111" s="98" t="s">
        <v>142</v>
      </c>
      <c r="C111" s="66" t="s">
        <v>159</v>
      </c>
      <c r="D111" s="67" t="s">
        <v>27</v>
      </c>
      <c r="E111" s="42">
        <v>236</v>
      </c>
      <c r="F111" s="43">
        <v>229</v>
      </c>
      <c r="G111" s="26">
        <f t="shared" si="46"/>
        <v>236</v>
      </c>
      <c r="H111" s="27">
        <f t="shared" si="47"/>
        <v>11</v>
      </c>
      <c r="I111" s="44">
        <v>47</v>
      </c>
      <c r="J111" s="29">
        <f t="shared" si="48"/>
        <v>38</v>
      </c>
      <c r="K111" s="46">
        <v>148</v>
      </c>
      <c r="L111" s="47">
        <v>150.5</v>
      </c>
      <c r="M111" s="27">
        <f t="shared" si="1"/>
        <v>150.5</v>
      </c>
      <c r="N111" s="27">
        <f t="shared" si="49"/>
        <v>23</v>
      </c>
      <c r="O111" s="48">
        <v>16.190000000000001</v>
      </c>
      <c r="P111" s="33">
        <f t="shared" si="50"/>
        <v>44</v>
      </c>
      <c r="Q111" s="50">
        <v>4.5</v>
      </c>
      <c r="R111" s="51">
        <v>4.4000000000000004</v>
      </c>
      <c r="S111" s="36">
        <f t="shared" si="2"/>
        <v>4.5</v>
      </c>
      <c r="T111" s="36">
        <f t="shared" si="51"/>
        <v>70</v>
      </c>
      <c r="U111" s="52">
        <v>8.8000000000000007</v>
      </c>
      <c r="V111" s="53">
        <v>8.9</v>
      </c>
      <c r="W111" s="26">
        <f t="shared" si="3"/>
        <v>8.9</v>
      </c>
      <c r="X111" s="39">
        <f t="shared" si="52"/>
        <v>7</v>
      </c>
    </row>
    <row r="112" spans="1:24" ht="18" customHeight="1">
      <c r="A112" s="56">
        <v>109</v>
      </c>
      <c r="B112" s="57" t="s">
        <v>143</v>
      </c>
      <c r="C112" s="66" t="s">
        <v>159</v>
      </c>
      <c r="D112" s="67" t="s">
        <v>29</v>
      </c>
      <c r="E112" s="42">
        <v>168</v>
      </c>
      <c r="F112" s="43">
        <v>181</v>
      </c>
      <c r="G112" s="26">
        <f t="shared" si="46"/>
        <v>181</v>
      </c>
      <c r="H112" s="27">
        <f>IF(D112="여", COUNTIFS(D:D, "여", G:G, "&gt;"&amp;G112)+1, "")</f>
        <v>8</v>
      </c>
      <c r="I112" s="44">
        <v>38</v>
      </c>
      <c r="J112" s="45">
        <f>IF(D112="여", COUNTIFS(D:D, "여", I:I, "&gt;"&amp;I112)+1, "")</f>
        <v>6</v>
      </c>
      <c r="K112" s="46">
        <v>95.5</v>
      </c>
      <c r="L112" s="47">
        <v>103</v>
      </c>
      <c r="M112" s="27">
        <f t="shared" si="1"/>
        <v>103</v>
      </c>
      <c r="N112" s="27">
        <f>IF(D112="여", COUNTIFS(D:D, "여", M:M, "&gt;"&amp;M112)+1, "")</f>
        <v>6</v>
      </c>
      <c r="O112" s="48">
        <v>19.8</v>
      </c>
      <c r="P112" s="49">
        <f>IF(D112="여", COUNTIFS(D:D, "여", O:O, "&gt;"&amp;O112)+1, "")</f>
        <v>7</v>
      </c>
      <c r="Q112" s="50">
        <v>16.3</v>
      </c>
      <c r="R112" s="51">
        <v>13.2</v>
      </c>
      <c r="S112" s="36">
        <f t="shared" si="2"/>
        <v>16.3</v>
      </c>
      <c r="T112" s="36">
        <f>IF(D112="여", COUNTIFS(D:D, "여", S:S, "&gt;"&amp;S112)+1, "")</f>
        <v>14</v>
      </c>
      <c r="U112" s="52">
        <v>5.7</v>
      </c>
      <c r="V112" s="53">
        <v>5.8</v>
      </c>
      <c r="W112" s="26">
        <f t="shared" si="3"/>
        <v>5.8</v>
      </c>
      <c r="X112" s="54">
        <f>IF(D112="여", COUNTIFS(D:D, "여", W:W, "&gt;"&amp;W112)+1, "")</f>
        <v>13</v>
      </c>
    </row>
    <row r="113" spans="1:31" ht="18" customHeight="1">
      <c r="A113" s="56">
        <v>110</v>
      </c>
      <c r="B113" s="98" t="s">
        <v>144</v>
      </c>
      <c r="C113" s="66" t="s">
        <v>159</v>
      </c>
      <c r="D113" s="67" t="s">
        <v>29</v>
      </c>
      <c r="E113" s="42"/>
      <c r="F113" s="43"/>
      <c r="G113" s="26">
        <f t="shared" si="46"/>
        <v>0</v>
      </c>
      <c r="H113" s="27">
        <f>IF(D113="여", COUNTIFS(D:D, "여", G:G, "&gt;"&amp;G113)+1, "")</f>
        <v>19</v>
      </c>
      <c r="I113" s="44"/>
      <c r="J113" s="45">
        <f>IF(D113="여", COUNTIFS(D:D, "여", I:I, "&gt;"&amp;I113)+1, "")</f>
        <v>1</v>
      </c>
      <c r="K113" s="46"/>
      <c r="L113" s="47"/>
      <c r="M113" s="27">
        <f t="shared" si="1"/>
        <v>0</v>
      </c>
      <c r="N113" s="27">
        <f>IF(D113="여", COUNTIFS(D:D, "여", M:M, "&gt;"&amp;M113)+1, "")</f>
        <v>21</v>
      </c>
      <c r="O113" s="48"/>
      <c r="P113" s="49">
        <f>IF(D113="여", COUNTIFS(D:D, "여", O:O, "&gt;"&amp;O113)+1, "")</f>
        <v>1</v>
      </c>
      <c r="Q113" s="50"/>
      <c r="R113" s="51"/>
      <c r="S113" s="36">
        <f t="shared" si="2"/>
        <v>0</v>
      </c>
      <c r="T113" s="36">
        <f>IF(D113="여", COUNTIFS(D:D, "여", S:S, "&gt;"&amp;S113)+1, "")</f>
        <v>21</v>
      </c>
      <c r="U113" s="52"/>
      <c r="V113" s="53"/>
      <c r="W113" s="26">
        <f t="shared" si="3"/>
        <v>0</v>
      </c>
      <c r="X113" s="54">
        <f>IF(D113="여", COUNTIFS(D:D, "여", W:W, "&gt;"&amp;W113)+1, "")</f>
        <v>21</v>
      </c>
    </row>
    <row r="114" spans="1:31" ht="18" customHeight="1">
      <c r="A114" s="56">
        <v>111</v>
      </c>
      <c r="B114" s="57" t="s">
        <v>146</v>
      </c>
      <c r="C114" s="66" t="s">
        <v>159</v>
      </c>
      <c r="D114" s="67" t="s">
        <v>27</v>
      </c>
      <c r="E114" s="42">
        <v>210</v>
      </c>
      <c r="F114" s="43">
        <v>202</v>
      </c>
      <c r="G114" s="26">
        <f t="shared" si="46"/>
        <v>210</v>
      </c>
      <c r="H114" s="27">
        <f>IF(D114="남", COUNTIFS(D:D, "남", G:G, "&gt;"&amp;G114)+1, "")</f>
        <v>53</v>
      </c>
      <c r="I114" s="44">
        <v>47</v>
      </c>
      <c r="J114" s="29">
        <f>IF(D114="남", COUNTIFS(D:D, "남", I:I, "&gt;"&amp;I114)+1, "")</f>
        <v>38</v>
      </c>
      <c r="K114" s="46">
        <v>103.5</v>
      </c>
      <c r="L114" s="47">
        <v>93</v>
      </c>
      <c r="M114" s="27">
        <f t="shared" si="1"/>
        <v>103.5</v>
      </c>
      <c r="N114" s="27">
        <f>IF(D114="남", COUNTIFS(D:D, "남", M:M, "&gt;"&amp;M114)+1, "")</f>
        <v>75</v>
      </c>
      <c r="O114" s="48">
        <v>21.8</v>
      </c>
      <c r="P114" s="33">
        <f>IF(D114="남", COUNTIFS(D:D, "남", O:O, "&gt;"&amp;O114)+1, "")</f>
        <v>4</v>
      </c>
      <c r="Q114" s="50">
        <v>5.3</v>
      </c>
      <c r="R114" s="51">
        <v>7.3</v>
      </c>
      <c r="S114" s="36">
        <f t="shared" si="2"/>
        <v>7.3</v>
      </c>
      <c r="T114" s="36">
        <f>IF(D114="남", COUNTIFS(D:D, "남", S:S, "&gt;"&amp;S114)+1, "")</f>
        <v>63</v>
      </c>
      <c r="U114" s="52" t="s">
        <v>133</v>
      </c>
      <c r="V114" s="53" t="s">
        <v>133</v>
      </c>
      <c r="W114" s="26">
        <f t="shared" si="3"/>
        <v>0</v>
      </c>
      <c r="X114" s="39">
        <f>IF(D114="남", COUNTIFS(D:D, "남", W:W, "&gt;"&amp;W114)+1, "")</f>
        <v>81</v>
      </c>
    </row>
    <row r="115" spans="1:31" ht="18" customHeight="1">
      <c r="A115" s="56">
        <v>112</v>
      </c>
      <c r="B115" s="98" t="s">
        <v>147</v>
      </c>
      <c r="C115" s="66" t="s">
        <v>159</v>
      </c>
      <c r="D115" s="67" t="s">
        <v>27</v>
      </c>
      <c r="E115" s="42" t="s">
        <v>133</v>
      </c>
      <c r="F115" s="43"/>
      <c r="G115" s="26">
        <f t="shared" si="46"/>
        <v>0</v>
      </c>
      <c r="H115" s="27">
        <f>IF(D115="남", COUNTIFS(D:D, "남", G:G, "&gt;"&amp;G115)+1, "")</f>
        <v>74</v>
      </c>
      <c r="I115" s="44" t="s">
        <v>133</v>
      </c>
      <c r="J115" s="29">
        <f>IF(D115="남", COUNTIFS(D:D, "남", I:I, "&gt;"&amp;I115)+1, "")</f>
        <v>1</v>
      </c>
      <c r="K115" s="46">
        <v>155</v>
      </c>
      <c r="L115" s="47">
        <v>139.5</v>
      </c>
      <c r="M115" s="27">
        <f t="shared" si="1"/>
        <v>155</v>
      </c>
      <c r="N115" s="27">
        <f>IF(D115="남", COUNTIFS(D:D, "남", M:M, "&gt;"&amp;M115)+1, "")</f>
        <v>22</v>
      </c>
      <c r="O115" s="48"/>
      <c r="P115" s="33">
        <f>IF(D115="남", COUNTIFS(D:D, "남", O:O, "&gt;"&amp;O115)+1, "")</f>
        <v>1</v>
      </c>
      <c r="Q115" s="50">
        <v>19.8</v>
      </c>
      <c r="R115" s="51">
        <v>18.100000000000001</v>
      </c>
      <c r="S115" s="36">
        <f t="shared" si="2"/>
        <v>19.8</v>
      </c>
      <c r="T115" s="36">
        <f>IF(D115="남", COUNTIFS(D:D, "남", S:S, "&gt;"&amp;S115)+1, "")</f>
        <v>19</v>
      </c>
      <c r="U115" s="52">
        <v>9.1</v>
      </c>
      <c r="V115" s="53">
        <v>8</v>
      </c>
      <c r="W115" s="26">
        <f t="shared" si="3"/>
        <v>9.1</v>
      </c>
      <c r="X115" s="39">
        <f>IF(D115="남", COUNTIFS(D:D, "남", W:W, "&gt;"&amp;W115)+1, "")</f>
        <v>3</v>
      </c>
    </row>
    <row r="116" spans="1:31" ht="18" customHeight="1">
      <c r="A116" s="56">
        <v>113</v>
      </c>
      <c r="B116" s="57" t="s">
        <v>148</v>
      </c>
      <c r="C116" s="66" t="s">
        <v>159</v>
      </c>
      <c r="D116" s="67" t="s">
        <v>27</v>
      </c>
      <c r="E116" s="42" t="s">
        <v>133</v>
      </c>
      <c r="F116" s="43"/>
      <c r="G116" s="61">
        <f t="shared" si="46"/>
        <v>0</v>
      </c>
      <c r="H116" s="27">
        <f>IF(D116="남", COUNTIFS(D:D, "남", G:G, "&gt;"&amp;G116)+1, "")</f>
        <v>74</v>
      </c>
      <c r="I116" s="44" t="s">
        <v>133</v>
      </c>
      <c r="J116" s="29">
        <f>IF(D116="남", COUNTIFS(D:D, "남", I:I, "&gt;"&amp;I116)+1, "")</f>
        <v>1</v>
      </c>
      <c r="K116" s="46">
        <v>125.5</v>
      </c>
      <c r="L116" s="47">
        <v>122</v>
      </c>
      <c r="M116" s="62">
        <f t="shared" si="1"/>
        <v>125.5</v>
      </c>
      <c r="N116" s="27">
        <f>IF(D116="남", COUNTIFS(D:D, "남", M:M, "&gt;"&amp;M116)+1, "")</f>
        <v>52</v>
      </c>
      <c r="O116" s="48"/>
      <c r="P116" s="33">
        <f>IF(D116="남", COUNTIFS(D:D, "남", O:O, "&gt;"&amp;O116)+1, "")</f>
        <v>1</v>
      </c>
      <c r="Q116" s="50">
        <v>6.7</v>
      </c>
      <c r="R116" s="51">
        <v>6.1</v>
      </c>
      <c r="S116" s="63">
        <f t="shared" si="2"/>
        <v>6.7</v>
      </c>
      <c r="T116" s="36">
        <f>IF(D116="남", COUNTIFS(D:D, "남", S:S, "&gt;"&amp;S116)+1, "")</f>
        <v>66</v>
      </c>
      <c r="U116" s="52">
        <v>6.6</v>
      </c>
      <c r="V116" s="53">
        <v>6.3</v>
      </c>
      <c r="W116" s="26">
        <f t="shared" si="3"/>
        <v>6.6</v>
      </c>
      <c r="X116" s="39">
        <f>IF(D116="남", COUNTIFS(D:D, "남", W:W, "&gt;"&amp;W116)+1, "")</f>
        <v>51</v>
      </c>
      <c r="Y116" s="27"/>
      <c r="Z116" s="27"/>
      <c r="AA116" s="27"/>
      <c r="AB116" s="27"/>
      <c r="AC116" s="27"/>
      <c r="AD116" s="27"/>
      <c r="AE116" s="27"/>
    </row>
    <row r="117" spans="1:31" ht="18" customHeight="1">
      <c r="A117" s="64">
        <v>114</v>
      </c>
      <c r="B117" s="103" t="s">
        <v>149</v>
      </c>
      <c r="C117" s="66" t="s">
        <v>159</v>
      </c>
      <c r="D117" s="104" t="s">
        <v>27</v>
      </c>
      <c r="E117" s="24" t="s">
        <v>133</v>
      </c>
      <c r="F117" s="25"/>
      <c r="G117" s="26">
        <f t="shared" si="46"/>
        <v>0</v>
      </c>
      <c r="H117" s="27">
        <f>IF(D117="남", COUNTIFS(D:D, "남", G:G, "&gt;"&amp;G117)+1, "")</f>
        <v>74</v>
      </c>
      <c r="I117" s="28" t="s">
        <v>133</v>
      </c>
      <c r="J117" s="29">
        <f>IF(D117="남", COUNTIFS(D:D, "남", I:I, "&gt;"&amp;I117)+1, "")</f>
        <v>1</v>
      </c>
      <c r="K117" s="30">
        <v>116</v>
      </c>
      <c r="L117" s="31">
        <v>108</v>
      </c>
      <c r="M117" s="27">
        <f t="shared" si="1"/>
        <v>116</v>
      </c>
      <c r="N117" s="27">
        <f>IF(D117="남", COUNTIFS(D:D, "남", M:M, "&gt;"&amp;M117)+1, "")</f>
        <v>62</v>
      </c>
      <c r="O117" s="32"/>
      <c r="P117" s="33">
        <f>IF(D117="남", COUNTIFS(D:D, "남", O:O, "&gt;"&amp;O117)+1, "")</f>
        <v>1</v>
      </c>
      <c r="Q117" s="34">
        <v>12.7</v>
      </c>
      <c r="R117" s="35">
        <v>12.1</v>
      </c>
      <c r="S117" s="36">
        <f t="shared" si="2"/>
        <v>12.7</v>
      </c>
      <c r="T117" s="36">
        <f>IF(D117="남", COUNTIFS(D:D, "남", S:S, "&gt;"&amp;S117)+1, "")</f>
        <v>46</v>
      </c>
      <c r="U117" s="37">
        <v>6.6</v>
      </c>
      <c r="V117" s="38">
        <v>6.3</v>
      </c>
      <c r="W117" s="26">
        <f t="shared" si="3"/>
        <v>6.6</v>
      </c>
      <c r="X117" s="39">
        <f>IF(D117="남", COUNTIFS(D:D, "남", W:W, "&gt;"&amp;W117)+1, "")</f>
        <v>51</v>
      </c>
    </row>
    <row r="118" spans="1:31" ht="18" customHeight="1">
      <c r="A118" s="56">
        <v>115</v>
      </c>
      <c r="B118" s="57" t="s">
        <v>150</v>
      </c>
      <c r="C118" s="66" t="s">
        <v>159</v>
      </c>
      <c r="D118" s="67" t="s">
        <v>27</v>
      </c>
      <c r="E118" s="42"/>
      <c r="F118" s="43"/>
      <c r="G118" s="26">
        <f t="shared" si="46"/>
        <v>0</v>
      </c>
      <c r="H118" s="27">
        <f>IF(D118="남", COUNTIFS(D:D, "남", G:G, "&gt;"&amp;G118)+1, "")</f>
        <v>74</v>
      </c>
      <c r="I118" s="44"/>
      <c r="J118" s="29">
        <f>IF(D118="남", COUNTIFS(D:D, "남", I:I, "&gt;"&amp;I118)+1, "")</f>
        <v>1</v>
      </c>
      <c r="K118" s="46"/>
      <c r="L118" s="47"/>
      <c r="M118" s="27">
        <f t="shared" si="1"/>
        <v>0</v>
      </c>
      <c r="N118" s="27">
        <f>IF(D118="남", COUNTIFS(D:D, "남", M:M, "&gt;"&amp;M118)+1, "")</f>
        <v>81</v>
      </c>
      <c r="O118" s="48"/>
      <c r="P118" s="33">
        <f>IF(D118="남", COUNTIFS(D:D, "남", O:O, "&gt;"&amp;O118)+1, "")</f>
        <v>1</v>
      </c>
      <c r="Q118" s="50"/>
      <c r="R118" s="51"/>
      <c r="S118" s="36">
        <f t="shared" si="2"/>
        <v>0</v>
      </c>
      <c r="T118" s="36">
        <f>IF(D118="남", COUNTIFS(D:D, "남", S:S, "&gt;"&amp;S118)+1, "")</f>
        <v>74</v>
      </c>
      <c r="U118" s="52"/>
      <c r="V118" s="53"/>
      <c r="W118" s="26">
        <f t="shared" si="3"/>
        <v>0</v>
      </c>
      <c r="X118" s="39">
        <f>IF(D118="남", COUNTIFS(D:D, "남", W:W, "&gt;"&amp;W118)+1, "")</f>
        <v>81</v>
      </c>
    </row>
    <row r="119" spans="1:31" ht="18" customHeight="1">
      <c r="A119" s="56">
        <v>116</v>
      </c>
      <c r="B119" s="98" t="s">
        <v>151</v>
      </c>
      <c r="C119" s="66" t="s">
        <v>159</v>
      </c>
      <c r="D119" s="67" t="s">
        <v>29</v>
      </c>
      <c r="E119" s="42" t="s">
        <v>179</v>
      </c>
      <c r="F119" s="42" t="s">
        <v>179</v>
      </c>
      <c r="G119" s="26">
        <f t="shared" si="46"/>
        <v>0</v>
      </c>
      <c r="H119" s="27">
        <f>IF(D119="여", COUNTIFS(D:D, "여", G:G, "&gt;"&amp;G119)+1, "")</f>
        <v>19</v>
      </c>
      <c r="I119" s="44" t="s">
        <v>133</v>
      </c>
      <c r="J119" s="45">
        <f>IF(D119="여", COUNTIFS(D:D, "여", I:I, "&gt;"&amp;I119)+1, "")</f>
        <v>1</v>
      </c>
      <c r="K119" s="46">
        <v>92</v>
      </c>
      <c r="L119" s="47">
        <v>86.5</v>
      </c>
      <c r="M119" s="27">
        <f t="shared" si="1"/>
        <v>92</v>
      </c>
      <c r="N119" s="27">
        <f>IF(D119="여", COUNTIFS(D:D, "여", M:M, "&gt;"&amp;M119)+1, "")</f>
        <v>9</v>
      </c>
      <c r="O119" s="48"/>
      <c r="P119" s="49">
        <f>IF(D119="여", COUNTIFS(D:D, "여", O:O, "&gt;"&amp;O119)+1, "")</f>
        <v>1</v>
      </c>
      <c r="Q119" s="50">
        <v>28.3</v>
      </c>
      <c r="R119" s="51">
        <v>28</v>
      </c>
      <c r="S119" s="36">
        <f t="shared" si="2"/>
        <v>28.3</v>
      </c>
      <c r="T119" s="36">
        <f>IF(D119="여", COUNTIFS(D:D, "여", S:S, "&gt;"&amp;S119)+1, "")</f>
        <v>1</v>
      </c>
      <c r="U119" s="52">
        <v>5.0999999999999996</v>
      </c>
      <c r="V119" s="53">
        <v>5.5</v>
      </c>
      <c r="W119" s="26">
        <f t="shared" si="3"/>
        <v>5.5</v>
      </c>
      <c r="X119" s="54">
        <f>IF(D119="여", COUNTIFS(D:D, "여", W:W, "&gt;"&amp;W119)+1, "")</f>
        <v>14</v>
      </c>
    </row>
    <row r="120" spans="1:31" ht="18" customHeight="1">
      <c r="A120" s="56">
        <v>117</v>
      </c>
      <c r="B120" s="57" t="s">
        <v>152</v>
      </c>
      <c r="C120" s="66" t="s">
        <v>159</v>
      </c>
      <c r="D120" s="67" t="s">
        <v>27</v>
      </c>
      <c r="E120" s="42">
        <v>228</v>
      </c>
      <c r="F120" s="43">
        <v>225</v>
      </c>
      <c r="G120" s="26">
        <f t="shared" si="46"/>
        <v>228</v>
      </c>
      <c r="H120" s="27">
        <f t="shared" ref="H120:H125" si="53">IF(D120="남", COUNTIFS(D:D, "남", G:G, "&gt;"&amp;G120)+1, "")</f>
        <v>27</v>
      </c>
      <c r="I120" s="44">
        <v>53</v>
      </c>
      <c r="J120" s="29">
        <f t="shared" ref="J120:J125" si="54">IF(D120="남", COUNTIFS(D:D, "남", I:I, "&gt;"&amp;I120)+1, "")</f>
        <v>10</v>
      </c>
      <c r="K120" s="46">
        <v>139</v>
      </c>
      <c r="L120" s="47">
        <v>139.5</v>
      </c>
      <c r="M120" s="27">
        <f t="shared" si="1"/>
        <v>139.5</v>
      </c>
      <c r="N120" s="27">
        <f t="shared" ref="N120:N125" si="55">IF(D120="남", COUNTIFS(D:D, "남", M:M, "&gt;"&amp;M120)+1, "")</f>
        <v>30</v>
      </c>
      <c r="O120" s="48"/>
      <c r="P120" s="33">
        <f t="shared" ref="P120:P125" si="56">IF(D120="남", COUNTIFS(D:D, "남", O:O, "&gt;"&amp;O120)+1, "")</f>
        <v>1</v>
      </c>
      <c r="Q120" s="50">
        <v>13.2</v>
      </c>
      <c r="R120" s="51">
        <v>14.5</v>
      </c>
      <c r="S120" s="36">
        <f t="shared" si="2"/>
        <v>14.5</v>
      </c>
      <c r="T120" s="36">
        <f t="shared" ref="T120:T125" si="57">IF(D120="남", COUNTIFS(D:D, "남", S:S, "&gt;"&amp;S120)+1, "")</f>
        <v>40</v>
      </c>
      <c r="U120" s="52">
        <v>7.7</v>
      </c>
      <c r="V120" s="53">
        <v>6.2</v>
      </c>
      <c r="W120" s="26">
        <f t="shared" si="3"/>
        <v>7.7</v>
      </c>
      <c r="X120" s="39">
        <f t="shared" ref="X120:X125" si="58">IF(D120="남", COUNTIFS(D:D, "남", W:W, "&gt;"&amp;W120)+1, "")</f>
        <v>22</v>
      </c>
    </row>
    <row r="121" spans="1:31" ht="18" customHeight="1">
      <c r="A121" s="56">
        <v>118</v>
      </c>
      <c r="B121" s="98" t="s">
        <v>153</v>
      </c>
      <c r="C121" s="66" t="s">
        <v>159</v>
      </c>
      <c r="D121" s="67" t="s">
        <v>27</v>
      </c>
      <c r="E121" s="42">
        <v>226</v>
      </c>
      <c r="F121" s="43">
        <v>233</v>
      </c>
      <c r="G121" s="26">
        <f t="shared" si="46"/>
        <v>233</v>
      </c>
      <c r="H121" s="27">
        <f t="shared" si="53"/>
        <v>23</v>
      </c>
      <c r="I121" s="44">
        <v>49</v>
      </c>
      <c r="J121" s="29">
        <f t="shared" si="54"/>
        <v>25</v>
      </c>
      <c r="K121" s="46">
        <v>174</v>
      </c>
      <c r="L121" s="47">
        <v>165</v>
      </c>
      <c r="M121" s="27">
        <f t="shared" si="1"/>
        <v>174</v>
      </c>
      <c r="N121" s="27">
        <f t="shared" si="55"/>
        <v>10</v>
      </c>
      <c r="O121" s="48"/>
      <c r="P121" s="33">
        <f t="shared" si="56"/>
        <v>1</v>
      </c>
      <c r="Q121" s="50">
        <v>20.100000000000001</v>
      </c>
      <c r="R121" s="51">
        <v>18.399999999999999</v>
      </c>
      <c r="S121" s="36">
        <f t="shared" si="2"/>
        <v>20.100000000000001</v>
      </c>
      <c r="T121" s="36">
        <f t="shared" si="57"/>
        <v>18</v>
      </c>
      <c r="U121" s="52">
        <v>6.6</v>
      </c>
      <c r="V121" s="53">
        <v>6.5</v>
      </c>
      <c r="W121" s="26">
        <f t="shared" si="3"/>
        <v>6.6</v>
      </c>
      <c r="X121" s="39">
        <f t="shared" si="58"/>
        <v>51</v>
      </c>
    </row>
    <row r="122" spans="1:31" ht="18" customHeight="1">
      <c r="A122" s="56">
        <v>119</v>
      </c>
      <c r="B122" s="57" t="s">
        <v>154</v>
      </c>
      <c r="C122" s="66" t="s">
        <v>159</v>
      </c>
      <c r="D122" s="67" t="s">
        <v>27</v>
      </c>
      <c r="E122" s="42" t="s">
        <v>133</v>
      </c>
      <c r="F122" s="43" t="s">
        <v>133</v>
      </c>
      <c r="G122" s="26">
        <f t="shared" si="46"/>
        <v>0</v>
      </c>
      <c r="H122" s="27">
        <f t="shared" si="53"/>
        <v>74</v>
      </c>
      <c r="I122" s="44"/>
      <c r="J122" s="29">
        <f t="shared" si="54"/>
        <v>1</v>
      </c>
      <c r="K122" s="46">
        <v>160.5</v>
      </c>
      <c r="L122" s="47">
        <v>157</v>
      </c>
      <c r="M122" s="27">
        <f t="shared" si="1"/>
        <v>160.5</v>
      </c>
      <c r="N122" s="27">
        <f t="shared" si="55"/>
        <v>18</v>
      </c>
      <c r="O122" s="48" t="s">
        <v>90</v>
      </c>
      <c r="P122" s="33">
        <f t="shared" si="56"/>
        <v>1</v>
      </c>
      <c r="Q122" s="50">
        <v>20.5</v>
      </c>
      <c r="R122" s="51">
        <v>20.100000000000001</v>
      </c>
      <c r="S122" s="36">
        <f t="shared" si="2"/>
        <v>20.5</v>
      </c>
      <c r="T122" s="36">
        <f t="shared" si="57"/>
        <v>16</v>
      </c>
      <c r="U122" s="52">
        <v>8.6999999999999993</v>
      </c>
      <c r="V122" s="53">
        <v>8.8000000000000007</v>
      </c>
      <c r="W122" s="26">
        <f t="shared" si="3"/>
        <v>8.8000000000000007</v>
      </c>
      <c r="X122" s="39">
        <f t="shared" si="58"/>
        <v>9</v>
      </c>
    </row>
    <row r="123" spans="1:31" ht="18" customHeight="1">
      <c r="A123" s="56">
        <v>120</v>
      </c>
      <c r="B123" s="98" t="s">
        <v>155</v>
      </c>
      <c r="C123" s="66" t="s">
        <v>159</v>
      </c>
      <c r="D123" s="67" t="s">
        <v>27</v>
      </c>
      <c r="E123" s="42"/>
      <c r="F123" s="43"/>
      <c r="G123" s="26">
        <f t="shared" si="46"/>
        <v>0</v>
      </c>
      <c r="H123" s="27">
        <f t="shared" si="53"/>
        <v>74</v>
      </c>
      <c r="I123" s="44"/>
      <c r="J123" s="29">
        <f t="shared" si="54"/>
        <v>1</v>
      </c>
      <c r="K123" s="46"/>
      <c r="L123" s="47"/>
      <c r="M123" s="27">
        <f t="shared" si="1"/>
        <v>0</v>
      </c>
      <c r="N123" s="27">
        <f t="shared" si="55"/>
        <v>81</v>
      </c>
      <c r="O123" s="48"/>
      <c r="P123" s="33">
        <f t="shared" si="56"/>
        <v>1</v>
      </c>
      <c r="Q123" s="50"/>
      <c r="R123" s="51"/>
      <c r="S123" s="36">
        <f t="shared" si="2"/>
        <v>0</v>
      </c>
      <c r="T123" s="36">
        <f t="shared" si="57"/>
        <v>74</v>
      </c>
      <c r="U123" s="52"/>
      <c r="V123" s="53"/>
      <c r="W123" s="26">
        <f t="shared" si="3"/>
        <v>0</v>
      </c>
      <c r="X123" s="39">
        <f t="shared" si="58"/>
        <v>81</v>
      </c>
    </row>
    <row r="124" spans="1:31" ht="18" customHeight="1">
      <c r="A124" s="56">
        <v>121</v>
      </c>
      <c r="B124" s="57" t="s">
        <v>156</v>
      </c>
      <c r="C124" s="66" t="s">
        <v>159</v>
      </c>
      <c r="D124" s="67" t="s">
        <v>27</v>
      </c>
      <c r="E124" s="42">
        <v>213</v>
      </c>
      <c r="F124" s="43">
        <v>205</v>
      </c>
      <c r="G124" s="26">
        <f t="shared" si="46"/>
        <v>213</v>
      </c>
      <c r="H124" s="27">
        <f t="shared" si="53"/>
        <v>50</v>
      </c>
      <c r="I124" s="44">
        <v>43</v>
      </c>
      <c r="J124" s="29">
        <f t="shared" si="54"/>
        <v>55</v>
      </c>
      <c r="K124" s="46">
        <v>171</v>
      </c>
      <c r="L124" s="47">
        <v>189.5</v>
      </c>
      <c r="M124" s="27">
        <f t="shared" si="1"/>
        <v>189.5</v>
      </c>
      <c r="N124" s="27">
        <f t="shared" si="55"/>
        <v>5</v>
      </c>
      <c r="O124" s="48">
        <v>17.23</v>
      </c>
      <c r="P124" s="33">
        <f t="shared" si="56"/>
        <v>22</v>
      </c>
      <c r="Q124" s="50">
        <v>24.3</v>
      </c>
      <c r="R124" s="51">
        <v>25</v>
      </c>
      <c r="S124" s="36">
        <f t="shared" si="2"/>
        <v>25</v>
      </c>
      <c r="T124" s="36">
        <f t="shared" si="57"/>
        <v>6</v>
      </c>
      <c r="U124" s="52">
        <v>6.9</v>
      </c>
      <c r="V124" s="53">
        <v>6.7</v>
      </c>
      <c r="W124" s="26">
        <f t="shared" si="3"/>
        <v>6.9</v>
      </c>
      <c r="X124" s="39">
        <f t="shared" si="58"/>
        <v>43</v>
      </c>
    </row>
    <row r="125" spans="1:31" ht="18" customHeight="1">
      <c r="A125" s="56">
        <v>122</v>
      </c>
      <c r="B125" s="98" t="s">
        <v>157</v>
      </c>
      <c r="C125" s="66" t="s">
        <v>159</v>
      </c>
      <c r="D125" s="67" t="s">
        <v>27</v>
      </c>
      <c r="E125" s="42">
        <v>227</v>
      </c>
      <c r="F125" s="43">
        <v>232</v>
      </c>
      <c r="G125" s="26">
        <f t="shared" si="46"/>
        <v>232</v>
      </c>
      <c r="H125" s="27">
        <f t="shared" si="53"/>
        <v>25</v>
      </c>
      <c r="I125" s="44">
        <v>50</v>
      </c>
      <c r="J125" s="29">
        <f t="shared" si="54"/>
        <v>20</v>
      </c>
      <c r="K125" s="46">
        <v>171.5</v>
      </c>
      <c r="L125" s="47">
        <v>174.5</v>
      </c>
      <c r="M125" s="27">
        <f t="shared" si="1"/>
        <v>174.5</v>
      </c>
      <c r="N125" s="27">
        <f t="shared" si="55"/>
        <v>9</v>
      </c>
      <c r="O125" s="48">
        <v>16.399999999999999</v>
      </c>
      <c r="P125" s="33">
        <f t="shared" si="56"/>
        <v>39</v>
      </c>
      <c r="Q125" s="50">
        <v>14</v>
      </c>
      <c r="R125" s="51">
        <v>16</v>
      </c>
      <c r="S125" s="36">
        <f t="shared" si="2"/>
        <v>16</v>
      </c>
      <c r="T125" s="36">
        <f t="shared" si="57"/>
        <v>37</v>
      </c>
      <c r="U125" s="52">
        <v>7.9</v>
      </c>
      <c r="V125" s="53">
        <v>8</v>
      </c>
      <c r="W125" s="26">
        <f t="shared" si="3"/>
        <v>8</v>
      </c>
      <c r="X125" s="39">
        <f t="shared" si="58"/>
        <v>17</v>
      </c>
    </row>
    <row r="126" spans="1:31" ht="18" customHeight="1" thickBot="1">
      <c r="A126" s="68">
        <v>123</v>
      </c>
      <c r="B126" s="69" t="s">
        <v>158</v>
      </c>
      <c r="C126" s="105" t="s">
        <v>159</v>
      </c>
      <c r="D126" s="106" t="s">
        <v>29</v>
      </c>
      <c r="E126" s="72"/>
      <c r="F126" s="73"/>
      <c r="G126" s="94">
        <f t="shared" si="46"/>
        <v>0</v>
      </c>
      <c r="H126" s="95">
        <f>IF(D126="여", COUNTIFS(D:D, "여", G:G, "&gt;"&amp;G126)+1, "")</f>
        <v>19</v>
      </c>
      <c r="I126" s="76"/>
      <c r="J126" s="45">
        <f>IF(D126="여", COUNTIFS(D:D, "여", I:I, "&gt;"&amp;I126)+1, "")</f>
        <v>1</v>
      </c>
      <c r="K126" s="77"/>
      <c r="L126" s="78"/>
      <c r="M126" s="95">
        <f t="shared" si="1"/>
        <v>0</v>
      </c>
      <c r="N126" s="95">
        <f>IF(D126="여", COUNTIFS(D:D, "여", M:M, "&gt;"&amp;M126)+1, "")</f>
        <v>21</v>
      </c>
      <c r="O126" s="80"/>
      <c r="P126" s="81">
        <f>IF(D126="여", COUNTIFS(D:D, "여", O:O, "&gt;"&amp;O126)+1, "")</f>
        <v>1</v>
      </c>
      <c r="Q126" s="82"/>
      <c r="R126" s="83"/>
      <c r="S126" s="96">
        <f t="shared" si="2"/>
        <v>0</v>
      </c>
      <c r="T126" s="96">
        <f>IF(D126="여", COUNTIFS(D:D, "여", S:S, "&gt;"&amp;S126)+1, "")</f>
        <v>21</v>
      </c>
      <c r="U126" s="84"/>
      <c r="V126" s="85"/>
      <c r="W126" s="94">
        <f t="shared" si="3"/>
        <v>0</v>
      </c>
      <c r="X126" s="86">
        <f>IF(D126="여", COUNTIFS(D:D, "여", W:W, "&gt;"&amp;W126)+1, "")</f>
        <v>21</v>
      </c>
      <c r="Y126" s="95"/>
      <c r="Z126" s="95"/>
      <c r="AA126" s="95"/>
      <c r="AB126" s="95"/>
      <c r="AC126" s="95"/>
      <c r="AD126" s="95"/>
      <c r="AE126" s="95"/>
    </row>
    <row r="127" spans="1:31" ht="17.25" customHeight="1">
      <c r="A127" s="2"/>
      <c r="B127" s="2"/>
      <c r="C127" s="2"/>
      <c r="D127" s="2"/>
    </row>
    <row r="128" spans="1:31" ht="17.25" customHeight="1">
      <c r="A128" s="2"/>
      <c r="B128" s="2"/>
      <c r="C128" s="2"/>
      <c r="D128" s="2"/>
    </row>
    <row r="129" spans="1:4" ht="17.25" customHeight="1">
      <c r="A129" s="2"/>
      <c r="B129" s="2"/>
      <c r="C129" s="2"/>
      <c r="D129" s="2"/>
    </row>
    <row r="130" spans="1:4" ht="17.25" customHeight="1">
      <c r="A130" s="2"/>
      <c r="B130" s="2"/>
      <c r="C130" s="2"/>
      <c r="D130" s="2"/>
    </row>
    <row r="131" spans="1:4" ht="17.25" customHeight="1">
      <c r="A131" s="2"/>
      <c r="B131" s="2"/>
      <c r="C131" s="2"/>
      <c r="D131" s="2"/>
    </row>
    <row r="132" spans="1:4" ht="17.25" customHeight="1">
      <c r="A132" s="2"/>
      <c r="B132" s="2"/>
      <c r="C132" s="2"/>
      <c r="D132" s="2"/>
    </row>
    <row r="133" spans="1:4" ht="17.25" customHeight="1">
      <c r="A133" s="2"/>
      <c r="B133" s="2"/>
      <c r="C133" s="2"/>
      <c r="D133" s="2"/>
    </row>
    <row r="134" spans="1:4" ht="17.25" customHeight="1">
      <c r="A134" s="2"/>
      <c r="B134" s="2"/>
      <c r="C134" s="2"/>
      <c r="D134" s="2"/>
    </row>
    <row r="135" spans="1:4" ht="17.25" customHeight="1">
      <c r="A135" s="2"/>
      <c r="B135" s="2"/>
      <c r="C135" s="2"/>
      <c r="D135" s="2"/>
    </row>
    <row r="136" spans="1:4" ht="17.25" customHeight="1">
      <c r="A136" s="2"/>
      <c r="B136" s="2"/>
      <c r="C136" s="2"/>
      <c r="D136" s="2"/>
    </row>
    <row r="137" spans="1:4" ht="17.25" customHeight="1">
      <c r="A137" s="2"/>
      <c r="B137" s="2"/>
      <c r="C137" s="2"/>
      <c r="D137" s="2"/>
    </row>
    <row r="138" spans="1:4" ht="17.25" customHeight="1">
      <c r="A138" s="2"/>
      <c r="B138" s="2"/>
      <c r="C138" s="2"/>
      <c r="D138" s="2"/>
    </row>
    <row r="139" spans="1:4" ht="17.25" customHeight="1">
      <c r="A139" s="2"/>
      <c r="B139" s="2"/>
      <c r="C139" s="2"/>
      <c r="D139" s="2"/>
    </row>
    <row r="140" spans="1:4" ht="17.25" customHeight="1">
      <c r="A140" s="2"/>
      <c r="B140" s="2"/>
      <c r="C140" s="2"/>
      <c r="D140" s="2"/>
    </row>
    <row r="141" spans="1:4" ht="17.25" customHeight="1">
      <c r="A141" s="2"/>
      <c r="B141" s="2"/>
      <c r="C141" s="2"/>
      <c r="D141" s="2"/>
    </row>
    <row r="142" spans="1:4" ht="17.25" customHeight="1">
      <c r="A142" s="2"/>
      <c r="B142" s="2"/>
      <c r="C142" s="2"/>
      <c r="D142" s="2"/>
    </row>
    <row r="143" spans="1:4" ht="17.25" customHeight="1">
      <c r="A143" s="2"/>
      <c r="B143" s="2"/>
      <c r="C143" s="2"/>
      <c r="D143" s="2"/>
    </row>
    <row r="144" spans="1:4" ht="17.25" customHeight="1">
      <c r="A144" s="2"/>
      <c r="B144" s="2"/>
      <c r="C144" s="2"/>
      <c r="D144" s="2"/>
    </row>
    <row r="145" spans="1:4" ht="17.25" customHeight="1">
      <c r="A145" s="2"/>
      <c r="B145" s="2"/>
      <c r="C145" s="2"/>
      <c r="D145" s="2"/>
    </row>
    <row r="146" spans="1:4" ht="17.25" customHeight="1">
      <c r="A146" s="2"/>
      <c r="B146" s="2"/>
      <c r="C146" s="2"/>
      <c r="D146" s="2"/>
    </row>
    <row r="147" spans="1:4" ht="17.25" customHeight="1">
      <c r="A147" s="2"/>
      <c r="B147" s="2"/>
      <c r="C147" s="2"/>
      <c r="D147" s="2"/>
    </row>
    <row r="148" spans="1:4" ht="17.25" customHeight="1">
      <c r="A148" s="2"/>
      <c r="B148" s="2"/>
      <c r="C148" s="2"/>
      <c r="D148" s="2"/>
    </row>
    <row r="149" spans="1:4" ht="17.25" customHeight="1">
      <c r="A149" s="2"/>
      <c r="B149" s="2"/>
      <c r="C149" s="2"/>
      <c r="D149" s="2"/>
    </row>
    <row r="150" spans="1:4" ht="17.25" customHeight="1">
      <c r="A150" s="2"/>
      <c r="B150" s="2"/>
      <c r="C150" s="2"/>
      <c r="D150" s="2"/>
    </row>
    <row r="151" spans="1:4" ht="17.25" customHeight="1">
      <c r="A151" s="2"/>
      <c r="B151" s="2"/>
      <c r="C151" s="2"/>
      <c r="D151" s="2"/>
    </row>
    <row r="152" spans="1:4" ht="17.25" customHeight="1">
      <c r="A152" s="2"/>
      <c r="B152" s="2"/>
      <c r="C152" s="2"/>
      <c r="D152" s="2"/>
    </row>
    <row r="153" spans="1:4" ht="17.25" customHeight="1">
      <c r="A153" s="2"/>
      <c r="B153" s="2"/>
      <c r="C153" s="2"/>
      <c r="D153" s="2"/>
    </row>
    <row r="154" spans="1:4" ht="17.25" customHeight="1">
      <c r="A154" s="2"/>
      <c r="B154" s="2"/>
      <c r="C154" s="2"/>
      <c r="D154" s="2"/>
    </row>
    <row r="155" spans="1:4" ht="17.25" customHeight="1">
      <c r="A155" s="2"/>
      <c r="B155" s="2"/>
      <c r="C155" s="2"/>
      <c r="D155" s="2"/>
    </row>
    <row r="156" spans="1:4" ht="17.25" customHeight="1">
      <c r="A156" s="2"/>
      <c r="B156" s="2"/>
      <c r="C156" s="2"/>
      <c r="D156" s="2"/>
    </row>
    <row r="157" spans="1:4" ht="17.25" customHeight="1">
      <c r="A157" s="2"/>
      <c r="B157" s="2"/>
      <c r="C157" s="2"/>
      <c r="D157" s="2"/>
    </row>
    <row r="158" spans="1:4" ht="17.25" customHeight="1">
      <c r="A158" s="2"/>
      <c r="B158" s="2"/>
      <c r="C158" s="2"/>
      <c r="D158" s="2"/>
    </row>
    <row r="159" spans="1:4" ht="17.25" customHeight="1">
      <c r="A159" s="2"/>
      <c r="B159" s="2"/>
      <c r="C159" s="2"/>
      <c r="D159" s="2"/>
    </row>
    <row r="160" spans="1:4" ht="17.25" customHeight="1">
      <c r="A160" s="2"/>
      <c r="B160" s="2"/>
      <c r="C160" s="2"/>
      <c r="D160" s="2"/>
    </row>
    <row r="161" spans="1:4" ht="17.25" customHeight="1">
      <c r="A161" s="2"/>
      <c r="B161" s="2"/>
      <c r="C161" s="2"/>
      <c r="D161" s="2"/>
    </row>
    <row r="162" spans="1:4" ht="17.25" customHeight="1">
      <c r="A162" s="2"/>
      <c r="B162" s="2"/>
      <c r="C162" s="2"/>
      <c r="D162" s="2"/>
    </row>
    <row r="163" spans="1:4" ht="17.25" customHeight="1">
      <c r="A163" s="2"/>
      <c r="B163" s="2"/>
      <c r="C163" s="2"/>
      <c r="D163" s="2"/>
    </row>
    <row r="164" spans="1:4" ht="17.25" customHeight="1">
      <c r="A164" s="2"/>
      <c r="B164" s="2"/>
      <c r="C164" s="2"/>
      <c r="D164" s="2"/>
    </row>
    <row r="165" spans="1:4" ht="17.25" customHeight="1">
      <c r="A165" s="2"/>
      <c r="B165" s="2"/>
      <c r="C165" s="2"/>
      <c r="D165" s="2"/>
    </row>
    <row r="166" spans="1:4" ht="17.25" customHeight="1">
      <c r="A166" s="2"/>
      <c r="B166" s="2"/>
      <c r="C166" s="2"/>
      <c r="D166" s="2"/>
    </row>
    <row r="167" spans="1:4" ht="17.25" customHeight="1">
      <c r="A167" s="2"/>
      <c r="B167" s="2"/>
      <c r="C167" s="2"/>
      <c r="D167" s="2"/>
    </row>
    <row r="168" spans="1:4" ht="17.25" customHeight="1">
      <c r="A168" s="2"/>
      <c r="B168" s="2"/>
      <c r="C168" s="2"/>
      <c r="D168" s="2"/>
    </row>
    <row r="169" spans="1:4" ht="17.25" customHeight="1">
      <c r="A169" s="2"/>
      <c r="B169" s="2"/>
      <c r="C169" s="2"/>
      <c r="D169" s="2"/>
    </row>
    <row r="170" spans="1:4" ht="17.25" customHeight="1">
      <c r="A170" s="2"/>
      <c r="B170" s="2"/>
      <c r="C170" s="2"/>
      <c r="D170" s="2"/>
    </row>
    <row r="171" spans="1:4" ht="17.25" customHeight="1">
      <c r="A171" s="2"/>
      <c r="B171" s="2"/>
      <c r="C171" s="2"/>
      <c r="D171" s="2"/>
    </row>
    <row r="172" spans="1:4" ht="17.25" customHeight="1">
      <c r="A172" s="2"/>
      <c r="B172" s="2"/>
      <c r="C172" s="2"/>
      <c r="D172" s="2"/>
    </row>
    <row r="173" spans="1:4" ht="17.25" customHeight="1">
      <c r="A173" s="2"/>
      <c r="B173" s="2"/>
      <c r="C173" s="2"/>
      <c r="D173" s="2"/>
    </row>
    <row r="174" spans="1:4" ht="17.25" customHeight="1">
      <c r="A174" s="2"/>
      <c r="B174" s="2"/>
      <c r="C174" s="2"/>
      <c r="D174" s="2"/>
    </row>
    <row r="175" spans="1:4" ht="17.25" customHeight="1">
      <c r="A175" s="2"/>
      <c r="B175" s="2"/>
      <c r="C175" s="2"/>
      <c r="D175" s="2"/>
    </row>
    <row r="176" spans="1:4" ht="17.25" customHeight="1">
      <c r="A176" s="2"/>
      <c r="B176" s="2"/>
      <c r="C176" s="2"/>
      <c r="D176" s="2"/>
    </row>
    <row r="177" spans="1:4" ht="17.25" customHeight="1">
      <c r="A177" s="2"/>
      <c r="B177" s="2"/>
      <c r="C177" s="2"/>
      <c r="D177" s="2"/>
    </row>
    <row r="178" spans="1:4" ht="17.25" customHeight="1">
      <c r="A178" s="2"/>
      <c r="B178" s="2"/>
      <c r="C178" s="2"/>
      <c r="D178" s="2"/>
    </row>
    <row r="179" spans="1:4" ht="17.25" customHeight="1">
      <c r="A179" s="2"/>
      <c r="B179" s="2"/>
      <c r="C179" s="2"/>
      <c r="D179" s="2"/>
    </row>
    <row r="180" spans="1:4" ht="17.25" customHeight="1">
      <c r="A180" s="2"/>
      <c r="B180" s="2"/>
      <c r="C180" s="2"/>
      <c r="D180" s="2"/>
    </row>
    <row r="181" spans="1:4" ht="17.25" customHeight="1">
      <c r="A181" s="2"/>
      <c r="B181" s="2"/>
      <c r="C181" s="2"/>
      <c r="D181" s="2"/>
    </row>
    <row r="182" spans="1:4" ht="17.25" customHeight="1">
      <c r="A182" s="2"/>
      <c r="B182" s="2"/>
      <c r="C182" s="2"/>
      <c r="D182" s="2"/>
    </row>
    <row r="183" spans="1:4" ht="17.25" customHeight="1">
      <c r="A183" s="2"/>
      <c r="B183" s="2"/>
      <c r="C183" s="2"/>
      <c r="D183" s="2"/>
    </row>
    <row r="184" spans="1:4" ht="17.25" customHeight="1">
      <c r="A184" s="2"/>
      <c r="B184" s="2"/>
      <c r="C184" s="2"/>
      <c r="D184" s="2"/>
    </row>
    <row r="185" spans="1:4" ht="17.25" customHeight="1">
      <c r="A185" s="2"/>
      <c r="B185" s="2"/>
      <c r="C185" s="2"/>
      <c r="D185" s="2"/>
    </row>
    <row r="186" spans="1:4" ht="17.25" customHeight="1">
      <c r="A186" s="2"/>
      <c r="B186" s="2"/>
      <c r="C186" s="2"/>
      <c r="D186" s="2"/>
    </row>
    <row r="187" spans="1:4" ht="17.25" customHeight="1">
      <c r="A187" s="2"/>
      <c r="B187" s="2"/>
      <c r="C187" s="2"/>
      <c r="D187" s="2"/>
    </row>
    <row r="188" spans="1:4" ht="17.25" customHeight="1">
      <c r="A188" s="2"/>
      <c r="B188" s="2"/>
      <c r="C188" s="2"/>
      <c r="D188" s="2"/>
    </row>
    <row r="189" spans="1:4" ht="17.25" customHeight="1">
      <c r="A189" s="2"/>
      <c r="B189" s="2"/>
      <c r="C189" s="2"/>
      <c r="D189" s="2"/>
    </row>
    <row r="190" spans="1:4" ht="17.25" customHeight="1">
      <c r="A190" s="2"/>
      <c r="B190" s="2"/>
      <c r="C190" s="2"/>
      <c r="D190" s="2"/>
    </row>
    <row r="191" spans="1:4" ht="17.25" customHeight="1">
      <c r="A191" s="2"/>
      <c r="B191" s="2"/>
      <c r="C191" s="2"/>
      <c r="D191" s="2"/>
    </row>
    <row r="192" spans="1:4" ht="17.25" customHeight="1">
      <c r="A192" s="2"/>
      <c r="B192" s="2"/>
      <c r="C192" s="2"/>
      <c r="D192" s="2"/>
    </row>
    <row r="193" spans="1:4" ht="17.25" customHeight="1">
      <c r="A193" s="2"/>
      <c r="B193" s="2"/>
      <c r="C193" s="2"/>
      <c r="D193" s="2"/>
    </row>
    <row r="194" spans="1:4" ht="17.25" customHeight="1">
      <c r="A194" s="2"/>
      <c r="B194" s="2"/>
      <c r="C194" s="2"/>
      <c r="D194" s="2"/>
    </row>
    <row r="195" spans="1:4" ht="17.25" customHeight="1">
      <c r="A195" s="2"/>
      <c r="B195" s="2"/>
      <c r="C195" s="2"/>
      <c r="D195" s="2"/>
    </row>
    <row r="196" spans="1:4" ht="17.25" customHeight="1">
      <c r="A196" s="2"/>
      <c r="B196" s="2"/>
      <c r="C196" s="2"/>
      <c r="D196" s="2"/>
    </row>
    <row r="197" spans="1:4" ht="17.25" customHeight="1">
      <c r="A197" s="2"/>
      <c r="B197" s="2"/>
      <c r="C197" s="2"/>
      <c r="D197" s="2"/>
    </row>
    <row r="198" spans="1:4" ht="17.25" customHeight="1">
      <c r="A198" s="2"/>
      <c r="B198" s="2"/>
      <c r="C198" s="2"/>
      <c r="D198" s="2"/>
    </row>
    <row r="199" spans="1:4" ht="17.25" customHeight="1">
      <c r="A199" s="2"/>
      <c r="B199" s="2"/>
      <c r="C199" s="2"/>
      <c r="D199" s="2"/>
    </row>
    <row r="200" spans="1:4" ht="17.25" customHeight="1">
      <c r="A200" s="2"/>
      <c r="B200" s="2"/>
      <c r="C200" s="2"/>
      <c r="D200" s="2"/>
    </row>
    <row r="201" spans="1:4" ht="17.25" customHeight="1">
      <c r="A201" s="2"/>
      <c r="B201" s="2"/>
      <c r="C201" s="2"/>
      <c r="D201" s="2"/>
    </row>
    <row r="202" spans="1:4" ht="17.25" customHeight="1">
      <c r="A202" s="2"/>
      <c r="B202" s="2"/>
      <c r="C202" s="2"/>
      <c r="D202" s="2"/>
    </row>
    <row r="203" spans="1:4" ht="17.25" customHeight="1">
      <c r="A203" s="2"/>
      <c r="B203" s="2"/>
      <c r="C203" s="2"/>
      <c r="D203" s="2"/>
    </row>
    <row r="204" spans="1:4" ht="17.25" customHeight="1">
      <c r="A204" s="2"/>
      <c r="B204" s="2"/>
      <c r="C204" s="2"/>
      <c r="D204" s="2"/>
    </row>
    <row r="205" spans="1:4" ht="17.25" customHeight="1">
      <c r="A205" s="2"/>
      <c r="B205" s="2"/>
      <c r="C205" s="2"/>
      <c r="D205" s="2"/>
    </row>
    <row r="206" spans="1:4" ht="17.25" customHeight="1">
      <c r="A206" s="2"/>
      <c r="B206" s="2"/>
      <c r="C206" s="2"/>
      <c r="D206" s="2"/>
    </row>
    <row r="207" spans="1:4" ht="17.25" customHeight="1">
      <c r="A207" s="2"/>
      <c r="B207" s="2"/>
      <c r="C207" s="2"/>
      <c r="D207" s="2"/>
    </row>
    <row r="208" spans="1:4" ht="17.25" customHeight="1">
      <c r="A208" s="2"/>
      <c r="B208" s="2"/>
      <c r="C208" s="2"/>
      <c r="D208" s="2"/>
    </row>
    <row r="209" spans="1:4" ht="17.25" customHeight="1">
      <c r="A209" s="2"/>
      <c r="B209" s="2"/>
      <c r="C209" s="2"/>
      <c r="D209" s="2"/>
    </row>
    <row r="210" spans="1:4" ht="17.25" customHeight="1">
      <c r="A210" s="2"/>
      <c r="B210" s="2"/>
      <c r="C210" s="2"/>
      <c r="D210" s="2"/>
    </row>
    <row r="211" spans="1:4" ht="17.25" customHeight="1">
      <c r="A211" s="2"/>
      <c r="B211" s="2"/>
      <c r="C211" s="2"/>
      <c r="D211" s="2"/>
    </row>
    <row r="212" spans="1:4" ht="17.25" customHeight="1">
      <c r="A212" s="2"/>
      <c r="B212" s="2"/>
      <c r="C212" s="2"/>
      <c r="D212" s="2"/>
    </row>
    <row r="213" spans="1:4" ht="17.25" customHeight="1">
      <c r="A213" s="2"/>
      <c r="B213" s="2"/>
      <c r="C213" s="2"/>
      <c r="D213" s="2"/>
    </row>
    <row r="214" spans="1:4" ht="17.25" customHeight="1">
      <c r="A214" s="2"/>
      <c r="B214" s="2"/>
      <c r="C214" s="2"/>
      <c r="D214" s="2"/>
    </row>
    <row r="215" spans="1:4" ht="17.25" customHeight="1">
      <c r="A215" s="2"/>
      <c r="B215" s="2"/>
      <c r="C215" s="2"/>
      <c r="D215" s="2"/>
    </row>
    <row r="216" spans="1:4" ht="17.25" customHeight="1">
      <c r="A216" s="2"/>
      <c r="B216" s="2"/>
      <c r="C216" s="2"/>
      <c r="D216" s="2"/>
    </row>
    <row r="217" spans="1:4" ht="17.25" customHeight="1">
      <c r="A217" s="2"/>
      <c r="B217" s="2"/>
      <c r="C217" s="2"/>
      <c r="D217" s="2"/>
    </row>
    <row r="218" spans="1:4" ht="17.25" customHeight="1">
      <c r="A218" s="2"/>
      <c r="B218" s="2"/>
      <c r="C218" s="2"/>
      <c r="D218" s="2"/>
    </row>
    <row r="219" spans="1:4" ht="17.25" customHeight="1">
      <c r="A219" s="2"/>
      <c r="B219" s="2"/>
      <c r="C219" s="2"/>
      <c r="D219" s="2"/>
    </row>
    <row r="220" spans="1:4" ht="17.25" customHeight="1">
      <c r="A220" s="2"/>
      <c r="B220" s="2"/>
      <c r="C220" s="2"/>
      <c r="D220" s="2"/>
    </row>
    <row r="221" spans="1:4" ht="17.25" customHeight="1">
      <c r="A221" s="2"/>
      <c r="B221" s="2"/>
      <c r="C221" s="2"/>
      <c r="D221" s="2"/>
    </row>
    <row r="222" spans="1:4" ht="17.25" customHeight="1">
      <c r="A222" s="2"/>
      <c r="B222" s="2"/>
      <c r="C222" s="2"/>
      <c r="D222" s="2"/>
    </row>
    <row r="223" spans="1:4" ht="17.25" customHeight="1">
      <c r="A223" s="2"/>
      <c r="B223" s="2"/>
      <c r="C223" s="2"/>
      <c r="D223" s="2"/>
    </row>
    <row r="224" spans="1:4" ht="17.25" customHeight="1">
      <c r="A224" s="2"/>
      <c r="B224" s="2"/>
      <c r="C224" s="2"/>
      <c r="D224" s="2"/>
    </row>
    <row r="225" spans="1:4" ht="17.25" customHeight="1">
      <c r="A225" s="2"/>
      <c r="B225" s="2"/>
      <c r="C225" s="2"/>
      <c r="D225" s="2"/>
    </row>
    <row r="226" spans="1:4" ht="17.25" customHeight="1">
      <c r="A226" s="2"/>
      <c r="B226" s="2"/>
      <c r="C226" s="2"/>
      <c r="D226" s="2"/>
    </row>
    <row r="227" spans="1:4" ht="17.25" customHeight="1">
      <c r="A227" s="2"/>
      <c r="B227" s="2"/>
      <c r="C227" s="2"/>
      <c r="D227" s="2"/>
    </row>
    <row r="228" spans="1:4" ht="17.25" customHeight="1">
      <c r="A228" s="2"/>
      <c r="B228" s="2"/>
      <c r="C228" s="2"/>
      <c r="D228" s="2"/>
    </row>
    <row r="229" spans="1:4" ht="17.25" customHeight="1">
      <c r="A229" s="2"/>
      <c r="B229" s="2"/>
      <c r="C229" s="2"/>
      <c r="D229" s="2"/>
    </row>
    <row r="230" spans="1:4" ht="17.25" customHeight="1">
      <c r="A230" s="2"/>
      <c r="B230" s="2"/>
      <c r="C230" s="2"/>
      <c r="D230" s="2"/>
    </row>
    <row r="231" spans="1:4" ht="17.25" customHeight="1">
      <c r="A231" s="2"/>
      <c r="B231" s="2"/>
      <c r="C231" s="2"/>
      <c r="D231" s="2"/>
    </row>
    <row r="232" spans="1:4" ht="17.25" customHeight="1">
      <c r="A232" s="2"/>
      <c r="B232" s="2"/>
      <c r="C232" s="2"/>
      <c r="D232" s="2"/>
    </row>
    <row r="233" spans="1:4" ht="17.25" customHeight="1">
      <c r="A233" s="2"/>
      <c r="B233" s="2"/>
      <c r="C233" s="2"/>
      <c r="D233" s="2"/>
    </row>
    <row r="234" spans="1:4" ht="17.25" customHeight="1">
      <c r="A234" s="2"/>
      <c r="B234" s="2"/>
      <c r="C234" s="2"/>
      <c r="D234" s="2"/>
    </row>
    <row r="235" spans="1:4" ht="17.25" customHeight="1">
      <c r="A235" s="2"/>
      <c r="B235" s="2"/>
      <c r="C235" s="2"/>
      <c r="D235" s="2"/>
    </row>
    <row r="236" spans="1:4" ht="17.25" customHeight="1">
      <c r="A236" s="2"/>
      <c r="B236" s="2"/>
      <c r="C236" s="2"/>
      <c r="D236" s="2"/>
    </row>
    <row r="237" spans="1:4" ht="17.25" customHeight="1">
      <c r="A237" s="2"/>
      <c r="B237" s="2"/>
      <c r="C237" s="2"/>
      <c r="D237" s="2"/>
    </row>
    <row r="238" spans="1:4" ht="17.25" customHeight="1">
      <c r="A238" s="2"/>
      <c r="B238" s="2"/>
      <c r="C238" s="2"/>
      <c r="D238" s="2"/>
    </row>
    <row r="239" spans="1:4" ht="17.25" customHeight="1">
      <c r="A239" s="2"/>
      <c r="B239" s="2"/>
      <c r="C239" s="2"/>
      <c r="D239" s="2"/>
    </row>
    <row r="240" spans="1:4" ht="17.25" customHeight="1">
      <c r="A240" s="2"/>
      <c r="B240" s="2"/>
      <c r="C240" s="2"/>
      <c r="D240" s="2"/>
    </row>
    <row r="241" spans="1:4" ht="17.25" customHeight="1">
      <c r="A241" s="2"/>
      <c r="B241" s="2"/>
      <c r="C241" s="2"/>
      <c r="D241" s="2"/>
    </row>
    <row r="242" spans="1:4" ht="17.25" customHeight="1">
      <c r="A242" s="2"/>
      <c r="B242" s="2"/>
      <c r="C242" s="2"/>
      <c r="D242" s="2"/>
    </row>
    <row r="243" spans="1:4" ht="17.25" customHeight="1">
      <c r="A243" s="2"/>
      <c r="B243" s="2"/>
      <c r="C243" s="2"/>
      <c r="D243" s="2"/>
    </row>
    <row r="244" spans="1:4" ht="17.25" customHeight="1">
      <c r="A244" s="2"/>
      <c r="B244" s="2"/>
      <c r="C244" s="2"/>
      <c r="D244" s="2"/>
    </row>
    <row r="245" spans="1:4" ht="17.25" customHeight="1">
      <c r="A245" s="2"/>
      <c r="B245" s="2"/>
      <c r="C245" s="2"/>
      <c r="D245" s="2"/>
    </row>
    <row r="246" spans="1:4" ht="17.25" customHeight="1">
      <c r="A246" s="2"/>
      <c r="B246" s="2"/>
      <c r="C246" s="2"/>
      <c r="D246" s="2"/>
    </row>
    <row r="247" spans="1:4" ht="17.25" customHeight="1">
      <c r="A247" s="2"/>
      <c r="B247" s="2"/>
      <c r="C247" s="2"/>
      <c r="D247" s="2"/>
    </row>
    <row r="248" spans="1:4" ht="17.25" customHeight="1">
      <c r="A248" s="2"/>
      <c r="B248" s="2"/>
      <c r="C248" s="2"/>
      <c r="D248" s="2"/>
    </row>
    <row r="249" spans="1:4" ht="17.25" customHeight="1">
      <c r="A249" s="2"/>
      <c r="B249" s="2"/>
      <c r="C249" s="2"/>
      <c r="D249" s="2"/>
    </row>
    <row r="250" spans="1:4" ht="17.25" customHeight="1">
      <c r="A250" s="2"/>
      <c r="B250" s="2"/>
      <c r="C250" s="2"/>
      <c r="D250" s="2"/>
    </row>
    <row r="251" spans="1:4" ht="17.25" customHeight="1">
      <c r="A251" s="2"/>
      <c r="B251" s="2"/>
      <c r="C251" s="2"/>
      <c r="D251" s="2"/>
    </row>
    <row r="252" spans="1:4" ht="17.25" customHeight="1">
      <c r="A252" s="2"/>
      <c r="B252" s="2"/>
      <c r="C252" s="2"/>
      <c r="D252" s="2"/>
    </row>
    <row r="253" spans="1:4" ht="17.25" customHeight="1">
      <c r="A253" s="2"/>
      <c r="B253" s="2"/>
      <c r="C253" s="2"/>
      <c r="D253" s="2"/>
    </row>
    <row r="254" spans="1:4" ht="17.25" customHeight="1">
      <c r="A254" s="2"/>
      <c r="B254" s="2"/>
      <c r="C254" s="2"/>
      <c r="D254" s="2"/>
    </row>
    <row r="255" spans="1:4" ht="17.25" customHeight="1">
      <c r="A255" s="2"/>
      <c r="B255" s="2"/>
      <c r="C255" s="2"/>
      <c r="D255" s="2"/>
    </row>
    <row r="256" spans="1:4" ht="17.25" customHeight="1">
      <c r="A256" s="2"/>
      <c r="B256" s="2"/>
      <c r="C256" s="2"/>
      <c r="D256" s="2"/>
    </row>
    <row r="257" spans="1:4" ht="17.25" customHeight="1">
      <c r="A257" s="2"/>
      <c r="B257" s="2"/>
      <c r="C257" s="2"/>
      <c r="D257" s="2"/>
    </row>
    <row r="258" spans="1:4" ht="17.25" customHeight="1">
      <c r="A258" s="2"/>
      <c r="B258" s="2"/>
      <c r="C258" s="2"/>
      <c r="D258" s="2"/>
    </row>
    <row r="259" spans="1:4" ht="17.25" customHeight="1">
      <c r="A259" s="2"/>
      <c r="B259" s="2"/>
      <c r="C259" s="2"/>
      <c r="D259" s="2"/>
    </row>
    <row r="260" spans="1:4" ht="17.25" customHeight="1">
      <c r="A260" s="2"/>
      <c r="B260" s="2"/>
      <c r="C260" s="2"/>
      <c r="D260" s="2"/>
    </row>
    <row r="261" spans="1:4" ht="17.25" customHeight="1">
      <c r="A261" s="2"/>
      <c r="B261" s="2"/>
      <c r="C261" s="2"/>
      <c r="D261" s="2"/>
    </row>
    <row r="262" spans="1:4" ht="17.25" customHeight="1">
      <c r="A262" s="2"/>
      <c r="B262" s="2"/>
      <c r="C262" s="2"/>
      <c r="D262" s="2"/>
    </row>
    <row r="263" spans="1:4" ht="17.25" customHeight="1">
      <c r="A263" s="2"/>
      <c r="B263" s="2"/>
      <c r="C263" s="2"/>
      <c r="D263" s="2"/>
    </row>
    <row r="264" spans="1:4" ht="17.25" customHeight="1">
      <c r="A264" s="2"/>
      <c r="B264" s="2"/>
      <c r="C264" s="2"/>
      <c r="D264" s="2"/>
    </row>
    <row r="265" spans="1:4" ht="17.25" customHeight="1">
      <c r="A265" s="2"/>
      <c r="B265" s="2"/>
      <c r="C265" s="2"/>
      <c r="D265" s="2"/>
    </row>
    <row r="266" spans="1:4" ht="17.25" customHeight="1">
      <c r="A266" s="2"/>
      <c r="B266" s="2"/>
      <c r="C266" s="2"/>
      <c r="D266" s="2"/>
    </row>
    <row r="267" spans="1:4" ht="17.25" customHeight="1">
      <c r="A267" s="2"/>
      <c r="B267" s="2"/>
      <c r="C267" s="2"/>
      <c r="D267" s="2"/>
    </row>
    <row r="268" spans="1:4" ht="17.25" customHeight="1">
      <c r="A268" s="2"/>
      <c r="B268" s="2"/>
      <c r="C268" s="2"/>
      <c r="D268" s="2"/>
    </row>
    <row r="269" spans="1:4" ht="17.25" customHeight="1">
      <c r="A269" s="2"/>
      <c r="B269" s="2"/>
      <c r="C269" s="2"/>
      <c r="D269" s="2"/>
    </row>
    <row r="270" spans="1:4" ht="17.25" customHeight="1">
      <c r="A270" s="2"/>
      <c r="B270" s="2"/>
      <c r="C270" s="2"/>
      <c r="D270" s="2"/>
    </row>
    <row r="271" spans="1:4" ht="17.25" customHeight="1">
      <c r="A271" s="2"/>
      <c r="B271" s="2"/>
      <c r="C271" s="2"/>
      <c r="D271" s="2"/>
    </row>
    <row r="272" spans="1:4" ht="17.25" customHeight="1">
      <c r="A272" s="2"/>
      <c r="B272" s="2"/>
      <c r="C272" s="2"/>
      <c r="D272" s="2"/>
    </row>
    <row r="273" spans="1:4" ht="17.25" customHeight="1">
      <c r="A273" s="2"/>
      <c r="B273" s="2"/>
      <c r="C273" s="2"/>
      <c r="D273" s="2"/>
    </row>
    <row r="274" spans="1:4" ht="17.25" customHeight="1">
      <c r="A274" s="2"/>
      <c r="B274" s="2"/>
      <c r="C274" s="2"/>
      <c r="D274" s="2"/>
    </row>
    <row r="275" spans="1:4" ht="17.25" customHeight="1">
      <c r="A275" s="2"/>
      <c r="B275" s="2"/>
      <c r="C275" s="2"/>
      <c r="D275" s="2"/>
    </row>
    <row r="276" spans="1:4" ht="17.25" customHeight="1">
      <c r="A276" s="2"/>
      <c r="B276" s="2"/>
      <c r="C276" s="2"/>
      <c r="D276" s="2"/>
    </row>
    <row r="277" spans="1:4" ht="17.25" customHeight="1">
      <c r="A277" s="2"/>
      <c r="B277" s="2"/>
      <c r="C277" s="2"/>
      <c r="D277" s="2"/>
    </row>
    <row r="278" spans="1:4" ht="17.25" customHeight="1">
      <c r="A278" s="2"/>
      <c r="B278" s="2"/>
      <c r="C278" s="2"/>
      <c r="D278" s="2"/>
    </row>
    <row r="279" spans="1:4" ht="17.25" customHeight="1">
      <c r="A279" s="2"/>
      <c r="B279" s="2"/>
      <c r="C279" s="2"/>
      <c r="D279" s="2"/>
    </row>
    <row r="280" spans="1:4" ht="17.25" customHeight="1">
      <c r="A280" s="2"/>
      <c r="B280" s="2"/>
      <c r="C280" s="2"/>
      <c r="D280" s="2"/>
    </row>
    <row r="281" spans="1:4" ht="17.25" customHeight="1">
      <c r="A281" s="2"/>
      <c r="B281" s="2"/>
      <c r="C281" s="2"/>
      <c r="D281" s="2"/>
    </row>
    <row r="282" spans="1:4" ht="17.25" customHeight="1">
      <c r="A282" s="2"/>
      <c r="B282" s="2"/>
      <c r="C282" s="2"/>
      <c r="D282" s="2"/>
    </row>
    <row r="283" spans="1:4" ht="17.25" customHeight="1">
      <c r="A283" s="2"/>
      <c r="B283" s="2"/>
      <c r="C283" s="2"/>
      <c r="D283" s="2"/>
    </row>
    <row r="284" spans="1:4" ht="17.25" customHeight="1">
      <c r="A284" s="2"/>
      <c r="B284" s="2"/>
      <c r="C284" s="2"/>
      <c r="D284" s="2"/>
    </row>
    <row r="285" spans="1:4" ht="17.25" customHeight="1">
      <c r="A285" s="2"/>
      <c r="B285" s="2"/>
      <c r="C285" s="2"/>
      <c r="D285" s="2"/>
    </row>
    <row r="286" spans="1:4" ht="17.25" customHeight="1">
      <c r="A286" s="2"/>
      <c r="B286" s="2"/>
      <c r="C286" s="2"/>
      <c r="D286" s="2"/>
    </row>
    <row r="287" spans="1:4" ht="17.25" customHeight="1">
      <c r="A287" s="2"/>
      <c r="B287" s="2"/>
      <c r="C287" s="2"/>
      <c r="D287" s="2"/>
    </row>
    <row r="288" spans="1:4" ht="17.25" customHeight="1">
      <c r="A288" s="2"/>
      <c r="B288" s="2"/>
      <c r="C288" s="2"/>
      <c r="D288" s="2"/>
    </row>
    <row r="289" spans="1:4" ht="17.25" customHeight="1">
      <c r="A289" s="2"/>
      <c r="B289" s="2"/>
      <c r="C289" s="2"/>
      <c r="D289" s="2"/>
    </row>
    <row r="290" spans="1:4" ht="17.25" customHeight="1">
      <c r="A290" s="2"/>
      <c r="B290" s="2"/>
      <c r="C290" s="2"/>
      <c r="D290" s="2"/>
    </row>
    <row r="291" spans="1:4" ht="17.25" customHeight="1">
      <c r="A291" s="2"/>
      <c r="B291" s="2"/>
      <c r="C291" s="2"/>
      <c r="D291" s="2"/>
    </row>
    <row r="292" spans="1:4" ht="17.25" customHeight="1">
      <c r="A292" s="2"/>
      <c r="B292" s="2"/>
      <c r="C292" s="2"/>
      <c r="D292" s="2"/>
    </row>
    <row r="293" spans="1:4" ht="17.25" customHeight="1">
      <c r="A293" s="2"/>
      <c r="B293" s="2"/>
      <c r="C293" s="2"/>
      <c r="D293" s="2"/>
    </row>
    <row r="294" spans="1:4" ht="17.25" customHeight="1">
      <c r="A294" s="2"/>
      <c r="B294" s="2"/>
      <c r="C294" s="2"/>
      <c r="D294" s="2"/>
    </row>
    <row r="295" spans="1:4" ht="17.25" customHeight="1">
      <c r="A295" s="2"/>
      <c r="B295" s="2"/>
      <c r="C295" s="2"/>
      <c r="D295" s="2"/>
    </row>
    <row r="296" spans="1:4" ht="17.25" customHeight="1">
      <c r="A296" s="2"/>
      <c r="B296" s="2"/>
      <c r="C296" s="2"/>
      <c r="D296" s="2"/>
    </row>
    <row r="297" spans="1:4" ht="17.25" customHeight="1">
      <c r="A297" s="2"/>
      <c r="B297" s="2"/>
      <c r="C297" s="2"/>
      <c r="D297" s="2"/>
    </row>
    <row r="298" spans="1:4" ht="17.25" customHeight="1">
      <c r="A298" s="2"/>
      <c r="B298" s="2"/>
      <c r="C298" s="2"/>
      <c r="D298" s="2"/>
    </row>
    <row r="299" spans="1:4" ht="17.25" customHeight="1">
      <c r="A299" s="2"/>
      <c r="B299" s="2"/>
      <c r="C299" s="2"/>
      <c r="D299" s="2"/>
    </row>
    <row r="300" spans="1:4" ht="17.25" customHeight="1">
      <c r="A300" s="2"/>
      <c r="B300" s="2"/>
      <c r="C300" s="2"/>
      <c r="D300" s="2"/>
    </row>
    <row r="301" spans="1:4" ht="17.25" customHeight="1">
      <c r="A301" s="2"/>
      <c r="B301" s="2"/>
      <c r="C301" s="2"/>
      <c r="D301" s="2"/>
    </row>
    <row r="302" spans="1:4" ht="17.25" customHeight="1">
      <c r="A302" s="2"/>
      <c r="B302" s="2"/>
      <c r="C302" s="2"/>
      <c r="D302" s="2"/>
    </row>
    <row r="303" spans="1:4" ht="17.25" customHeight="1">
      <c r="A303" s="2"/>
      <c r="B303" s="2"/>
      <c r="C303" s="2"/>
      <c r="D303" s="2"/>
    </row>
    <row r="304" spans="1:4" ht="17.25" customHeight="1">
      <c r="A304" s="2"/>
      <c r="B304" s="2"/>
      <c r="C304" s="2"/>
      <c r="D304" s="2"/>
    </row>
    <row r="305" spans="1:4" ht="17.25" customHeight="1">
      <c r="A305" s="2"/>
      <c r="B305" s="2"/>
      <c r="C305" s="2"/>
      <c r="D305" s="2"/>
    </row>
    <row r="306" spans="1:4" ht="17.25" customHeight="1">
      <c r="A306" s="2"/>
      <c r="B306" s="2"/>
      <c r="C306" s="2"/>
      <c r="D306" s="2"/>
    </row>
    <row r="307" spans="1:4" ht="17.25" customHeight="1">
      <c r="A307" s="2"/>
      <c r="B307" s="2"/>
      <c r="C307" s="2"/>
      <c r="D307" s="2"/>
    </row>
    <row r="308" spans="1:4" ht="17.25" customHeight="1">
      <c r="A308" s="2"/>
      <c r="B308" s="2"/>
      <c r="C308" s="2"/>
      <c r="D308" s="2"/>
    </row>
    <row r="309" spans="1:4" ht="17.25" customHeight="1">
      <c r="A309" s="2"/>
      <c r="B309" s="2"/>
      <c r="C309" s="2"/>
      <c r="D309" s="2"/>
    </row>
    <row r="310" spans="1:4" ht="17.25" customHeight="1">
      <c r="A310" s="2"/>
      <c r="B310" s="2"/>
      <c r="C310" s="2"/>
      <c r="D310" s="2"/>
    </row>
    <row r="311" spans="1:4" ht="17.25" customHeight="1">
      <c r="A311" s="2"/>
      <c r="B311" s="2"/>
      <c r="C311" s="2"/>
      <c r="D311" s="2"/>
    </row>
    <row r="312" spans="1:4" ht="17.25" customHeight="1">
      <c r="A312" s="2"/>
      <c r="B312" s="2"/>
      <c r="C312" s="2"/>
      <c r="D312" s="2"/>
    </row>
    <row r="313" spans="1:4" ht="17.25" customHeight="1">
      <c r="A313" s="2"/>
      <c r="B313" s="2"/>
      <c r="C313" s="2"/>
      <c r="D313" s="2"/>
    </row>
    <row r="314" spans="1:4" ht="17.25" customHeight="1">
      <c r="A314" s="2"/>
      <c r="B314" s="2"/>
      <c r="C314" s="2"/>
      <c r="D314" s="2"/>
    </row>
    <row r="315" spans="1:4" ht="17.25" customHeight="1">
      <c r="A315" s="2"/>
      <c r="B315" s="2"/>
      <c r="C315" s="2"/>
      <c r="D315" s="2"/>
    </row>
    <row r="316" spans="1:4" ht="17.25" customHeight="1">
      <c r="A316" s="2"/>
      <c r="B316" s="2"/>
      <c r="C316" s="2"/>
      <c r="D316" s="2"/>
    </row>
    <row r="317" spans="1:4" ht="17.25" customHeight="1">
      <c r="A317" s="2"/>
      <c r="B317" s="2"/>
      <c r="C317" s="2"/>
      <c r="D317" s="2"/>
    </row>
    <row r="318" spans="1:4" ht="17.25" customHeight="1">
      <c r="A318" s="2"/>
      <c r="B318" s="2"/>
      <c r="C318" s="2"/>
      <c r="D318" s="2"/>
    </row>
    <row r="319" spans="1:4" ht="17.25" customHeight="1">
      <c r="A319" s="2"/>
      <c r="B319" s="2"/>
      <c r="C319" s="2"/>
      <c r="D319" s="2"/>
    </row>
    <row r="320" spans="1:4" ht="17.25" customHeight="1">
      <c r="A320" s="2"/>
      <c r="B320" s="2"/>
      <c r="C320" s="2"/>
      <c r="D320" s="2"/>
    </row>
    <row r="321" spans="1:4" ht="17.25" customHeight="1">
      <c r="A321" s="2"/>
      <c r="B321" s="2"/>
      <c r="C321" s="2"/>
      <c r="D321" s="2"/>
    </row>
    <row r="322" spans="1:4" ht="17.25" customHeight="1">
      <c r="A322" s="2"/>
      <c r="B322" s="2"/>
      <c r="C322" s="2"/>
      <c r="D322" s="2"/>
    </row>
    <row r="323" spans="1:4" ht="17.25" customHeight="1">
      <c r="A323" s="2"/>
      <c r="B323" s="2"/>
      <c r="C323" s="2"/>
      <c r="D323" s="2"/>
    </row>
    <row r="324" spans="1:4" ht="17.25" customHeight="1">
      <c r="A324" s="2"/>
      <c r="B324" s="2"/>
      <c r="C324" s="2"/>
      <c r="D324" s="2"/>
    </row>
    <row r="325" spans="1:4" ht="17.25" customHeight="1">
      <c r="A325" s="2"/>
      <c r="B325" s="2"/>
      <c r="C325" s="2"/>
      <c r="D325" s="2"/>
    </row>
    <row r="326" spans="1:4" ht="17.25" customHeight="1">
      <c r="A326" s="2"/>
      <c r="B326" s="2"/>
      <c r="C326" s="2"/>
      <c r="D326" s="2"/>
    </row>
    <row r="327" spans="1:4" ht="17.25" customHeight="1">
      <c r="A327" s="2"/>
      <c r="B327" s="2"/>
      <c r="C327" s="2"/>
      <c r="D327" s="2"/>
    </row>
    <row r="328" spans="1:4" ht="17.25" customHeight="1">
      <c r="A328" s="2"/>
      <c r="B328" s="2"/>
      <c r="C328" s="2"/>
      <c r="D328" s="2"/>
    </row>
    <row r="329" spans="1:4" ht="17.25" customHeight="1">
      <c r="A329" s="2"/>
      <c r="B329" s="2"/>
      <c r="C329" s="2"/>
      <c r="D329" s="2"/>
    </row>
    <row r="330" spans="1:4" ht="17.25" customHeight="1">
      <c r="A330" s="2"/>
      <c r="B330" s="2"/>
      <c r="C330" s="2"/>
      <c r="D330" s="2"/>
    </row>
    <row r="331" spans="1:4" ht="17.25" customHeight="1">
      <c r="A331" s="2"/>
      <c r="B331" s="2"/>
      <c r="C331" s="2"/>
      <c r="D331" s="2"/>
    </row>
    <row r="332" spans="1:4" ht="17.25" customHeight="1">
      <c r="A332" s="2"/>
      <c r="B332" s="2"/>
      <c r="C332" s="2"/>
      <c r="D332" s="2"/>
    </row>
    <row r="333" spans="1:4" ht="17.25" customHeight="1">
      <c r="A333" s="2"/>
      <c r="B333" s="2"/>
      <c r="C333" s="2"/>
      <c r="D333" s="2"/>
    </row>
    <row r="334" spans="1:4" ht="17.25" customHeight="1">
      <c r="A334" s="2"/>
      <c r="B334" s="2"/>
      <c r="C334" s="2"/>
      <c r="D334" s="2"/>
    </row>
    <row r="335" spans="1:4" ht="17.25" customHeight="1">
      <c r="A335" s="2"/>
      <c r="B335" s="2"/>
      <c r="C335" s="2"/>
      <c r="D335" s="2"/>
    </row>
    <row r="336" spans="1:4" ht="17.25" customHeight="1">
      <c r="A336" s="2"/>
      <c r="B336" s="2"/>
      <c r="C336" s="2"/>
      <c r="D336" s="2"/>
    </row>
    <row r="337" spans="1:4" ht="17.25" customHeight="1">
      <c r="A337" s="2"/>
      <c r="B337" s="2"/>
      <c r="C337" s="2"/>
      <c r="D337" s="2"/>
    </row>
    <row r="338" spans="1:4" ht="17.25" customHeight="1">
      <c r="A338" s="2"/>
      <c r="B338" s="2"/>
      <c r="C338" s="2"/>
      <c r="D338" s="2"/>
    </row>
    <row r="339" spans="1:4" ht="17.25" customHeight="1">
      <c r="A339" s="2"/>
      <c r="B339" s="2"/>
      <c r="C339" s="2"/>
      <c r="D339" s="2"/>
    </row>
    <row r="340" spans="1:4" ht="17.25" customHeight="1">
      <c r="A340" s="2"/>
      <c r="B340" s="2"/>
      <c r="C340" s="2"/>
      <c r="D340" s="2"/>
    </row>
    <row r="341" spans="1:4" ht="17.25" customHeight="1">
      <c r="A341" s="2"/>
      <c r="B341" s="2"/>
      <c r="C341" s="2"/>
      <c r="D341" s="2"/>
    </row>
    <row r="342" spans="1:4" ht="17.25" customHeight="1">
      <c r="A342" s="2"/>
      <c r="B342" s="2"/>
      <c r="C342" s="2"/>
      <c r="D342" s="2"/>
    </row>
    <row r="343" spans="1:4" ht="17.25" customHeight="1">
      <c r="A343" s="2"/>
      <c r="B343" s="2"/>
      <c r="C343" s="2"/>
      <c r="D343" s="2"/>
    </row>
    <row r="344" spans="1:4" ht="17.25" customHeight="1">
      <c r="A344" s="2"/>
      <c r="B344" s="2"/>
      <c r="C344" s="2"/>
      <c r="D344" s="2"/>
    </row>
    <row r="345" spans="1:4" ht="17.25" customHeight="1">
      <c r="A345" s="2"/>
      <c r="B345" s="2"/>
      <c r="C345" s="2"/>
      <c r="D345" s="2"/>
    </row>
    <row r="346" spans="1:4" ht="17.25" customHeight="1">
      <c r="A346" s="2"/>
      <c r="B346" s="2"/>
      <c r="C346" s="2"/>
      <c r="D346" s="2"/>
    </row>
    <row r="347" spans="1:4" ht="17.25" customHeight="1">
      <c r="A347" s="2"/>
      <c r="B347" s="2"/>
      <c r="C347" s="2"/>
      <c r="D347" s="2"/>
    </row>
    <row r="348" spans="1:4" ht="17.25" customHeight="1">
      <c r="A348" s="2"/>
      <c r="B348" s="2"/>
      <c r="C348" s="2"/>
      <c r="D348" s="2"/>
    </row>
    <row r="349" spans="1:4" ht="17.25" customHeight="1">
      <c r="A349" s="2"/>
      <c r="B349" s="2"/>
      <c r="C349" s="2"/>
      <c r="D349" s="2"/>
    </row>
    <row r="350" spans="1:4" ht="17.25" customHeight="1">
      <c r="A350" s="2"/>
      <c r="B350" s="2"/>
      <c r="C350" s="2"/>
      <c r="D350" s="2"/>
    </row>
    <row r="351" spans="1:4" ht="17.25" customHeight="1">
      <c r="A351" s="2"/>
      <c r="B351" s="2"/>
      <c r="C351" s="2"/>
      <c r="D351" s="2"/>
    </row>
    <row r="352" spans="1:4" ht="17.25" customHeight="1">
      <c r="A352" s="2"/>
      <c r="B352" s="2"/>
      <c r="C352" s="2"/>
      <c r="D352" s="2"/>
    </row>
    <row r="353" spans="1:4" ht="17.25" customHeight="1">
      <c r="A353" s="2"/>
      <c r="B353" s="2"/>
      <c r="C353" s="2"/>
      <c r="D353" s="2"/>
    </row>
    <row r="354" spans="1:4" ht="17.25" customHeight="1">
      <c r="A354" s="2"/>
      <c r="B354" s="2"/>
      <c r="C354" s="2"/>
      <c r="D354" s="2"/>
    </row>
    <row r="355" spans="1:4" ht="17.25" customHeight="1">
      <c r="A355" s="2"/>
      <c r="B355" s="2"/>
      <c r="C355" s="2"/>
      <c r="D355" s="2"/>
    </row>
    <row r="356" spans="1:4" ht="17.25" customHeight="1">
      <c r="A356" s="2"/>
      <c r="B356" s="2"/>
      <c r="C356" s="2"/>
      <c r="D356" s="2"/>
    </row>
    <row r="357" spans="1:4" ht="17.25" customHeight="1">
      <c r="A357" s="2"/>
      <c r="B357" s="2"/>
      <c r="C357" s="2"/>
      <c r="D357" s="2"/>
    </row>
    <row r="358" spans="1:4" ht="17.25" customHeight="1">
      <c r="A358" s="2"/>
      <c r="B358" s="2"/>
      <c r="C358" s="2"/>
      <c r="D358" s="2"/>
    </row>
    <row r="359" spans="1:4" ht="17.25" customHeight="1">
      <c r="A359" s="2"/>
      <c r="B359" s="2"/>
      <c r="C359" s="2"/>
      <c r="D359" s="2"/>
    </row>
    <row r="360" spans="1:4" ht="17.25" customHeight="1">
      <c r="A360" s="2"/>
      <c r="B360" s="2"/>
      <c r="C360" s="2"/>
      <c r="D360" s="2"/>
    </row>
    <row r="361" spans="1:4" ht="17.25" customHeight="1">
      <c r="A361" s="2"/>
      <c r="B361" s="2"/>
      <c r="C361" s="2"/>
      <c r="D361" s="2"/>
    </row>
    <row r="362" spans="1:4" ht="17.25" customHeight="1">
      <c r="A362" s="2"/>
      <c r="B362" s="2"/>
      <c r="C362" s="2"/>
      <c r="D362" s="2"/>
    </row>
    <row r="363" spans="1:4" ht="17.25" customHeight="1">
      <c r="A363" s="2"/>
      <c r="B363" s="2"/>
      <c r="C363" s="2"/>
      <c r="D363" s="2"/>
    </row>
    <row r="364" spans="1:4" ht="17.25" customHeight="1">
      <c r="A364" s="2"/>
      <c r="B364" s="2"/>
      <c r="C364" s="2"/>
      <c r="D364" s="2"/>
    </row>
    <row r="365" spans="1:4" ht="17.25" customHeight="1">
      <c r="A365" s="2"/>
      <c r="B365" s="2"/>
      <c r="C365" s="2"/>
      <c r="D365" s="2"/>
    </row>
    <row r="366" spans="1:4" ht="17.25" customHeight="1">
      <c r="A366" s="2"/>
      <c r="B366" s="2"/>
      <c r="C366" s="2"/>
      <c r="D366" s="2"/>
    </row>
    <row r="367" spans="1:4" ht="17.25" customHeight="1">
      <c r="A367" s="2"/>
      <c r="B367" s="2"/>
      <c r="C367" s="2"/>
      <c r="D367" s="2"/>
    </row>
    <row r="368" spans="1:4" ht="17.25" customHeight="1">
      <c r="A368" s="2"/>
      <c r="B368" s="2"/>
      <c r="C368" s="2"/>
      <c r="D368" s="2"/>
    </row>
    <row r="369" spans="1:4" ht="17.25" customHeight="1">
      <c r="A369" s="2"/>
      <c r="B369" s="2"/>
      <c r="C369" s="2"/>
      <c r="D369" s="2"/>
    </row>
    <row r="370" spans="1:4" ht="17.25" customHeight="1">
      <c r="A370" s="2"/>
      <c r="B370" s="2"/>
      <c r="C370" s="2"/>
      <c r="D370" s="2"/>
    </row>
    <row r="371" spans="1:4" ht="17.25" customHeight="1">
      <c r="A371" s="2"/>
      <c r="B371" s="2"/>
      <c r="C371" s="2"/>
      <c r="D371" s="2"/>
    </row>
    <row r="372" spans="1:4" ht="17.25" customHeight="1">
      <c r="A372" s="2"/>
      <c r="B372" s="2"/>
      <c r="C372" s="2"/>
      <c r="D372" s="2"/>
    </row>
    <row r="373" spans="1:4" ht="17.25" customHeight="1">
      <c r="A373" s="2"/>
      <c r="B373" s="2"/>
      <c r="C373" s="2"/>
      <c r="D373" s="2"/>
    </row>
    <row r="374" spans="1:4" ht="17.25" customHeight="1">
      <c r="A374" s="2"/>
      <c r="B374" s="2"/>
      <c r="C374" s="2"/>
      <c r="D374" s="2"/>
    </row>
    <row r="375" spans="1:4" ht="17.25" customHeight="1">
      <c r="A375" s="2"/>
      <c r="B375" s="2"/>
      <c r="C375" s="2"/>
      <c r="D375" s="2"/>
    </row>
    <row r="376" spans="1:4" ht="17.25" customHeight="1">
      <c r="A376" s="2"/>
      <c r="B376" s="2"/>
      <c r="C376" s="2"/>
      <c r="D376" s="2"/>
    </row>
    <row r="377" spans="1:4" ht="17.25" customHeight="1">
      <c r="A377" s="2"/>
      <c r="B377" s="2"/>
      <c r="C377" s="2"/>
      <c r="D377" s="2"/>
    </row>
    <row r="378" spans="1:4" ht="17.25" customHeight="1">
      <c r="A378" s="2"/>
      <c r="B378" s="2"/>
      <c r="C378" s="2"/>
      <c r="D378" s="2"/>
    </row>
    <row r="379" spans="1:4" ht="17.25" customHeight="1">
      <c r="A379" s="2"/>
      <c r="B379" s="2"/>
      <c r="C379" s="2"/>
      <c r="D379" s="2"/>
    </row>
    <row r="380" spans="1:4" ht="17.25" customHeight="1">
      <c r="A380" s="2"/>
      <c r="B380" s="2"/>
      <c r="C380" s="2"/>
      <c r="D380" s="2"/>
    </row>
    <row r="381" spans="1:4" ht="17.25" customHeight="1">
      <c r="A381" s="2"/>
      <c r="B381" s="2"/>
      <c r="C381" s="2"/>
      <c r="D381" s="2"/>
    </row>
    <row r="382" spans="1:4" ht="17.25" customHeight="1">
      <c r="A382" s="2"/>
      <c r="B382" s="2"/>
      <c r="C382" s="2"/>
      <c r="D382" s="2"/>
    </row>
    <row r="383" spans="1:4" ht="17.25" customHeight="1">
      <c r="A383" s="2"/>
      <c r="B383" s="2"/>
      <c r="C383" s="2"/>
      <c r="D383" s="2"/>
    </row>
    <row r="384" spans="1:4" ht="17.25" customHeight="1">
      <c r="A384" s="2"/>
      <c r="B384" s="2"/>
      <c r="C384" s="2"/>
      <c r="D384" s="2"/>
    </row>
    <row r="385" spans="1:4" ht="17.25" customHeight="1">
      <c r="A385" s="2"/>
      <c r="B385" s="2"/>
      <c r="C385" s="2"/>
      <c r="D385" s="2"/>
    </row>
    <row r="386" spans="1:4" ht="17.25" customHeight="1">
      <c r="A386" s="2"/>
      <c r="B386" s="2"/>
      <c r="C386" s="2"/>
      <c r="D386" s="2"/>
    </row>
    <row r="387" spans="1:4" ht="17.25" customHeight="1">
      <c r="A387" s="2"/>
      <c r="B387" s="2"/>
      <c r="C387" s="2"/>
      <c r="D387" s="2"/>
    </row>
    <row r="388" spans="1:4" ht="17.25" customHeight="1">
      <c r="A388" s="2"/>
      <c r="B388" s="2"/>
      <c r="C388" s="2"/>
      <c r="D388" s="2"/>
    </row>
    <row r="389" spans="1:4" ht="17.25" customHeight="1">
      <c r="A389" s="2"/>
      <c r="B389" s="2"/>
      <c r="C389" s="2"/>
      <c r="D389" s="2"/>
    </row>
    <row r="390" spans="1:4" ht="17.25" customHeight="1">
      <c r="A390" s="2"/>
      <c r="B390" s="2"/>
      <c r="C390" s="2"/>
      <c r="D390" s="2"/>
    </row>
    <row r="391" spans="1:4" ht="17.25" customHeight="1">
      <c r="A391" s="2"/>
      <c r="B391" s="2"/>
      <c r="C391" s="2"/>
      <c r="D391" s="2"/>
    </row>
    <row r="392" spans="1:4" ht="17.25" customHeight="1">
      <c r="A392" s="2"/>
      <c r="B392" s="2"/>
      <c r="C392" s="2"/>
      <c r="D392" s="2"/>
    </row>
    <row r="393" spans="1:4" ht="17.25" customHeight="1">
      <c r="A393" s="2"/>
      <c r="B393" s="2"/>
      <c r="C393" s="2"/>
      <c r="D393" s="2"/>
    </row>
    <row r="394" spans="1:4" ht="17.25" customHeight="1">
      <c r="A394" s="2"/>
      <c r="B394" s="2"/>
      <c r="C394" s="2"/>
      <c r="D394" s="2"/>
    </row>
    <row r="395" spans="1:4" ht="17.25" customHeight="1">
      <c r="A395" s="2"/>
      <c r="B395" s="2"/>
      <c r="C395" s="2"/>
      <c r="D395" s="2"/>
    </row>
    <row r="396" spans="1:4" ht="17.25" customHeight="1">
      <c r="A396" s="2"/>
      <c r="B396" s="2"/>
      <c r="C396" s="2"/>
      <c r="D396" s="2"/>
    </row>
    <row r="397" spans="1:4" ht="17.25" customHeight="1">
      <c r="A397" s="2"/>
      <c r="B397" s="2"/>
      <c r="C397" s="2"/>
      <c r="D397" s="2"/>
    </row>
    <row r="398" spans="1:4" ht="17.25" customHeight="1">
      <c r="A398" s="2"/>
      <c r="B398" s="2"/>
      <c r="C398" s="2"/>
      <c r="D398" s="2"/>
    </row>
    <row r="399" spans="1:4" ht="17.25" customHeight="1">
      <c r="A399" s="2"/>
      <c r="B399" s="2"/>
      <c r="C399" s="2"/>
      <c r="D399" s="2"/>
    </row>
    <row r="400" spans="1:4" ht="17.25" customHeight="1">
      <c r="A400" s="2"/>
      <c r="B400" s="2"/>
      <c r="C400" s="2"/>
      <c r="D400" s="2"/>
    </row>
    <row r="401" spans="1:4" ht="17.25" customHeight="1">
      <c r="A401" s="2"/>
      <c r="B401" s="2"/>
      <c r="C401" s="2"/>
      <c r="D401" s="2"/>
    </row>
    <row r="402" spans="1:4" ht="17.25" customHeight="1">
      <c r="A402" s="2"/>
      <c r="B402" s="2"/>
      <c r="C402" s="2"/>
      <c r="D402" s="2"/>
    </row>
    <row r="403" spans="1:4" ht="17.25" customHeight="1">
      <c r="A403" s="2"/>
      <c r="B403" s="2"/>
      <c r="C403" s="2"/>
      <c r="D403" s="2"/>
    </row>
    <row r="404" spans="1:4" ht="17.25" customHeight="1">
      <c r="A404" s="2"/>
      <c r="B404" s="2"/>
      <c r="C404" s="2"/>
      <c r="D404" s="2"/>
    </row>
    <row r="405" spans="1:4" ht="17.25" customHeight="1">
      <c r="A405" s="2"/>
      <c r="B405" s="2"/>
      <c r="C405" s="2"/>
      <c r="D405" s="2"/>
    </row>
    <row r="406" spans="1:4" ht="17.25" customHeight="1">
      <c r="A406" s="2"/>
      <c r="B406" s="2"/>
      <c r="C406" s="2"/>
      <c r="D406" s="2"/>
    </row>
    <row r="407" spans="1:4" ht="17.25" customHeight="1">
      <c r="A407" s="2"/>
      <c r="B407" s="2"/>
      <c r="C407" s="2"/>
      <c r="D407" s="2"/>
    </row>
    <row r="408" spans="1:4" ht="17.25" customHeight="1">
      <c r="A408" s="2"/>
      <c r="B408" s="2"/>
      <c r="C408" s="2"/>
      <c r="D408" s="2"/>
    </row>
    <row r="409" spans="1:4" ht="17.25" customHeight="1">
      <c r="A409" s="2"/>
      <c r="B409" s="2"/>
      <c r="C409" s="2"/>
      <c r="D409" s="2"/>
    </row>
    <row r="410" spans="1:4" ht="17.25" customHeight="1">
      <c r="A410" s="2"/>
      <c r="B410" s="2"/>
      <c r="C410" s="2"/>
      <c r="D410" s="2"/>
    </row>
    <row r="411" spans="1:4" ht="17.25" customHeight="1">
      <c r="A411" s="2"/>
      <c r="B411" s="2"/>
      <c r="C411" s="2"/>
      <c r="D411" s="2"/>
    </row>
    <row r="412" spans="1:4" ht="17.25" customHeight="1">
      <c r="A412" s="2"/>
      <c r="B412" s="2"/>
      <c r="C412" s="2"/>
      <c r="D412" s="2"/>
    </row>
    <row r="413" spans="1:4" ht="17.25" customHeight="1">
      <c r="A413" s="2"/>
      <c r="B413" s="2"/>
      <c r="C413" s="2"/>
      <c r="D413" s="2"/>
    </row>
    <row r="414" spans="1:4" ht="17.25" customHeight="1">
      <c r="A414" s="2"/>
      <c r="B414" s="2"/>
      <c r="C414" s="2"/>
      <c r="D414" s="2"/>
    </row>
    <row r="415" spans="1:4" ht="17.25" customHeight="1">
      <c r="A415" s="2"/>
      <c r="B415" s="2"/>
      <c r="C415" s="2"/>
      <c r="D415" s="2"/>
    </row>
    <row r="416" spans="1:4" ht="17.25" customHeight="1">
      <c r="A416" s="2"/>
      <c r="B416" s="2"/>
      <c r="C416" s="2"/>
      <c r="D416" s="2"/>
    </row>
    <row r="417" spans="1:4" ht="17.25" customHeight="1">
      <c r="A417" s="2"/>
      <c r="B417" s="2"/>
      <c r="C417" s="2"/>
      <c r="D417" s="2"/>
    </row>
    <row r="418" spans="1:4" ht="17.25" customHeight="1">
      <c r="A418" s="2"/>
      <c r="B418" s="2"/>
      <c r="C418" s="2"/>
      <c r="D418" s="2"/>
    </row>
    <row r="419" spans="1:4" ht="17.25" customHeight="1">
      <c r="A419" s="2"/>
      <c r="B419" s="2"/>
      <c r="C419" s="2"/>
      <c r="D419" s="2"/>
    </row>
    <row r="420" spans="1:4" ht="17.25" customHeight="1">
      <c r="A420" s="2"/>
      <c r="B420" s="2"/>
      <c r="C420" s="2"/>
      <c r="D420" s="2"/>
    </row>
    <row r="421" spans="1:4" ht="17.25" customHeight="1">
      <c r="A421" s="2"/>
      <c r="B421" s="2"/>
      <c r="C421" s="2"/>
      <c r="D421" s="2"/>
    </row>
    <row r="422" spans="1:4" ht="17.25" customHeight="1">
      <c r="A422" s="2"/>
      <c r="B422" s="2"/>
      <c r="C422" s="2"/>
      <c r="D422" s="2"/>
    </row>
    <row r="423" spans="1:4" ht="17.25" customHeight="1">
      <c r="A423" s="2"/>
      <c r="B423" s="2"/>
      <c r="C423" s="2"/>
      <c r="D423" s="2"/>
    </row>
    <row r="424" spans="1:4" ht="17.25" customHeight="1">
      <c r="A424" s="2"/>
      <c r="B424" s="2"/>
      <c r="C424" s="2"/>
      <c r="D424" s="2"/>
    </row>
    <row r="425" spans="1:4" ht="17.25" customHeight="1">
      <c r="A425" s="2"/>
      <c r="B425" s="2"/>
      <c r="C425" s="2"/>
      <c r="D425" s="2"/>
    </row>
    <row r="426" spans="1:4" ht="17.25" customHeight="1">
      <c r="A426" s="2"/>
      <c r="B426" s="2"/>
      <c r="C426" s="2"/>
      <c r="D426" s="2"/>
    </row>
    <row r="427" spans="1:4" ht="17.25" customHeight="1">
      <c r="A427" s="2"/>
      <c r="B427" s="2"/>
      <c r="C427" s="2"/>
      <c r="D427" s="2"/>
    </row>
    <row r="428" spans="1:4" ht="17.25" customHeight="1">
      <c r="A428" s="2"/>
      <c r="B428" s="2"/>
      <c r="C428" s="2"/>
      <c r="D428" s="2"/>
    </row>
    <row r="429" spans="1:4" ht="17.25" customHeight="1">
      <c r="A429" s="2"/>
      <c r="B429" s="2"/>
      <c r="C429" s="2"/>
      <c r="D429" s="2"/>
    </row>
    <row r="430" spans="1:4" ht="17.25" customHeight="1">
      <c r="A430" s="2"/>
      <c r="B430" s="2"/>
      <c r="C430" s="2"/>
      <c r="D430" s="2"/>
    </row>
    <row r="431" spans="1:4" ht="17.25" customHeight="1">
      <c r="A431" s="2"/>
      <c r="B431" s="2"/>
      <c r="C431" s="2"/>
      <c r="D431" s="2"/>
    </row>
    <row r="432" spans="1:4" ht="17.25" customHeight="1">
      <c r="A432" s="2"/>
      <c r="B432" s="2"/>
      <c r="C432" s="2"/>
      <c r="D432" s="2"/>
    </row>
    <row r="433" spans="1:4" ht="17.25" customHeight="1">
      <c r="A433" s="2"/>
      <c r="B433" s="2"/>
      <c r="C433" s="2"/>
      <c r="D433" s="2"/>
    </row>
    <row r="434" spans="1:4" ht="17.25" customHeight="1">
      <c r="A434" s="2"/>
      <c r="B434" s="2"/>
      <c r="C434" s="2"/>
      <c r="D434" s="2"/>
    </row>
    <row r="435" spans="1:4" ht="17.25" customHeight="1">
      <c r="A435" s="2"/>
      <c r="B435" s="2"/>
      <c r="C435" s="2"/>
      <c r="D435" s="2"/>
    </row>
    <row r="436" spans="1:4" ht="17.25" customHeight="1">
      <c r="A436" s="2"/>
      <c r="B436" s="2"/>
      <c r="C436" s="2"/>
      <c r="D436" s="2"/>
    </row>
    <row r="437" spans="1:4" ht="17.25" customHeight="1">
      <c r="A437" s="2"/>
      <c r="B437" s="2"/>
      <c r="C437" s="2"/>
      <c r="D437" s="2"/>
    </row>
    <row r="438" spans="1:4" ht="17.25" customHeight="1">
      <c r="A438" s="2"/>
      <c r="B438" s="2"/>
      <c r="C438" s="2"/>
      <c r="D438" s="2"/>
    </row>
    <row r="439" spans="1:4" ht="17.25" customHeight="1">
      <c r="A439" s="2"/>
      <c r="B439" s="2"/>
      <c r="C439" s="2"/>
      <c r="D439" s="2"/>
    </row>
    <row r="440" spans="1:4" ht="17.25" customHeight="1">
      <c r="A440" s="2"/>
      <c r="B440" s="2"/>
      <c r="C440" s="2"/>
      <c r="D440" s="2"/>
    </row>
    <row r="441" spans="1:4" ht="17.25" customHeight="1">
      <c r="A441" s="2"/>
      <c r="B441" s="2"/>
      <c r="C441" s="2"/>
      <c r="D441" s="2"/>
    </row>
    <row r="442" spans="1:4" ht="17.25" customHeight="1">
      <c r="A442" s="2"/>
      <c r="B442" s="2"/>
      <c r="C442" s="2"/>
      <c r="D442" s="2"/>
    </row>
    <row r="443" spans="1:4" ht="17.25" customHeight="1">
      <c r="A443" s="2"/>
      <c r="B443" s="2"/>
      <c r="C443" s="2"/>
      <c r="D443" s="2"/>
    </row>
    <row r="444" spans="1:4" ht="17.25" customHeight="1">
      <c r="A444" s="2"/>
      <c r="B444" s="2"/>
      <c r="C444" s="2"/>
      <c r="D444" s="2"/>
    </row>
    <row r="445" spans="1:4" ht="17.25" customHeight="1">
      <c r="A445" s="2"/>
      <c r="B445" s="2"/>
      <c r="C445" s="2"/>
      <c r="D445" s="2"/>
    </row>
    <row r="446" spans="1:4" ht="17.25" customHeight="1">
      <c r="A446" s="2"/>
      <c r="B446" s="2"/>
      <c r="C446" s="2"/>
      <c r="D446" s="2"/>
    </row>
    <row r="447" spans="1:4" ht="17.25" customHeight="1">
      <c r="A447" s="2"/>
      <c r="B447" s="2"/>
      <c r="C447" s="2"/>
      <c r="D447" s="2"/>
    </row>
    <row r="448" spans="1:4" ht="17.25" customHeight="1">
      <c r="A448" s="2"/>
      <c r="B448" s="2"/>
      <c r="C448" s="2"/>
      <c r="D448" s="2"/>
    </row>
    <row r="449" spans="1:4" ht="17.25" customHeight="1">
      <c r="A449" s="2"/>
      <c r="B449" s="2"/>
      <c r="C449" s="2"/>
      <c r="D449" s="2"/>
    </row>
    <row r="450" spans="1:4" ht="17.25" customHeight="1">
      <c r="A450" s="2"/>
      <c r="B450" s="2"/>
      <c r="C450" s="2"/>
      <c r="D450" s="2"/>
    </row>
    <row r="451" spans="1:4" ht="17.25" customHeight="1">
      <c r="A451" s="2"/>
      <c r="B451" s="2"/>
      <c r="C451" s="2"/>
      <c r="D451" s="2"/>
    </row>
    <row r="452" spans="1:4" ht="17.25" customHeight="1">
      <c r="A452" s="2"/>
      <c r="B452" s="2"/>
      <c r="C452" s="2"/>
      <c r="D452" s="2"/>
    </row>
    <row r="453" spans="1:4" ht="17.25" customHeight="1">
      <c r="A453" s="2"/>
      <c r="B453" s="2"/>
      <c r="C453" s="2"/>
      <c r="D453" s="2"/>
    </row>
    <row r="454" spans="1:4" ht="17.25" customHeight="1">
      <c r="A454" s="2"/>
      <c r="B454" s="2"/>
      <c r="C454" s="2"/>
      <c r="D454" s="2"/>
    </row>
    <row r="455" spans="1:4" ht="17.25" customHeight="1">
      <c r="A455" s="2"/>
      <c r="B455" s="2"/>
      <c r="C455" s="2"/>
      <c r="D455" s="2"/>
    </row>
    <row r="456" spans="1:4" ht="17.25" customHeight="1">
      <c r="A456" s="2"/>
      <c r="B456" s="2"/>
      <c r="C456" s="2"/>
      <c r="D456" s="2"/>
    </row>
    <row r="457" spans="1:4" ht="17.25" customHeight="1">
      <c r="A457" s="2"/>
      <c r="B457" s="2"/>
      <c r="C457" s="2"/>
      <c r="D457" s="2"/>
    </row>
    <row r="458" spans="1:4" ht="17.25" customHeight="1">
      <c r="A458" s="2"/>
      <c r="B458" s="2"/>
      <c r="C458" s="2"/>
      <c r="D458" s="2"/>
    </row>
    <row r="459" spans="1:4" ht="17.25" customHeight="1">
      <c r="A459" s="2"/>
      <c r="B459" s="2"/>
      <c r="C459" s="2"/>
      <c r="D459" s="2"/>
    </row>
    <row r="460" spans="1:4" ht="17.25" customHeight="1">
      <c r="A460" s="2"/>
      <c r="B460" s="2"/>
      <c r="C460" s="2"/>
      <c r="D460" s="2"/>
    </row>
    <row r="461" spans="1:4" ht="17.25" customHeight="1">
      <c r="A461" s="2"/>
      <c r="B461" s="2"/>
      <c r="C461" s="2"/>
      <c r="D461" s="2"/>
    </row>
    <row r="462" spans="1:4" ht="17.25" customHeight="1">
      <c r="A462" s="2"/>
      <c r="B462" s="2"/>
      <c r="C462" s="2"/>
      <c r="D462" s="2"/>
    </row>
    <row r="463" spans="1:4" ht="17.25" customHeight="1">
      <c r="A463" s="2"/>
      <c r="B463" s="2"/>
      <c r="C463" s="2"/>
      <c r="D463" s="2"/>
    </row>
    <row r="464" spans="1:4" ht="17.25" customHeight="1">
      <c r="A464" s="2"/>
      <c r="B464" s="2"/>
      <c r="C464" s="2"/>
      <c r="D464" s="2"/>
    </row>
    <row r="465" spans="1:4" ht="17.25" customHeight="1">
      <c r="A465" s="2"/>
      <c r="B465" s="2"/>
      <c r="C465" s="2"/>
      <c r="D465" s="2"/>
    </row>
    <row r="466" spans="1:4" ht="17.25" customHeight="1">
      <c r="A466" s="2"/>
      <c r="B466" s="2"/>
      <c r="C466" s="2"/>
      <c r="D466" s="2"/>
    </row>
    <row r="467" spans="1:4" ht="17.25" customHeight="1">
      <c r="A467" s="2"/>
      <c r="B467" s="2"/>
      <c r="C467" s="2"/>
      <c r="D467" s="2"/>
    </row>
    <row r="468" spans="1:4" ht="17.25" customHeight="1">
      <c r="A468" s="2"/>
      <c r="B468" s="2"/>
      <c r="C468" s="2"/>
      <c r="D468" s="2"/>
    </row>
    <row r="469" spans="1:4" ht="17.25" customHeight="1">
      <c r="A469" s="2"/>
      <c r="B469" s="2"/>
      <c r="C469" s="2"/>
      <c r="D469" s="2"/>
    </row>
    <row r="470" spans="1:4" ht="17.25" customHeight="1">
      <c r="A470" s="2"/>
      <c r="B470" s="2"/>
      <c r="C470" s="2"/>
      <c r="D470" s="2"/>
    </row>
    <row r="471" spans="1:4" ht="17.25" customHeight="1">
      <c r="A471" s="2"/>
      <c r="B471" s="2"/>
      <c r="C471" s="2"/>
      <c r="D471" s="2"/>
    </row>
    <row r="472" spans="1:4" ht="17.25" customHeight="1">
      <c r="A472" s="2"/>
      <c r="B472" s="2"/>
      <c r="C472" s="2"/>
      <c r="D472" s="2"/>
    </row>
    <row r="473" spans="1:4" ht="17.25" customHeight="1">
      <c r="A473" s="2"/>
      <c r="B473" s="2"/>
      <c r="C473" s="2"/>
      <c r="D473" s="2"/>
    </row>
    <row r="474" spans="1:4" ht="17.25" customHeight="1">
      <c r="A474" s="2"/>
      <c r="B474" s="2"/>
      <c r="C474" s="2"/>
      <c r="D474" s="2"/>
    </row>
    <row r="475" spans="1:4" ht="17.25" customHeight="1">
      <c r="A475" s="2"/>
      <c r="B475" s="2"/>
      <c r="C475" s="2"/>
      <c r="D475" s="2"/>
    </row>
    <row r="476" spans="1:4" ht="17.25" customHeight="1">
      <c r="A476" s="2"/>
      <c r="B476" s="2"/>
      <c r="C476" s="2"/>
      <c r="D476" s="2"/>
    </row>
    <row r="477" spans="1:4" ht="17.25" customHeight="1">
      <c r="A477" s="2"/>
      <c r="B477" s="2"/>
      <c r="C477" s="2"/>
      <c r="D477" s="2"/>
    </row>
    <row r="478" spans="1:4" ht="17.25" customHeight="1">
      <c r="A478" s="2"/>
      <c r="B478" s="2"/>
      <c r="C478" s="2"/>
      <c r="D478" s="2"/>
    </row>
    <row r="479" spans="1:4" ht="17.25" customHeight="1">
      <c r="A479" s="2"/>
      <c r="B479" s="2"/>
      <c r="C479" s="2"/>
      <c r="D479" s="2"/>
    </row>
    <row r="480" spans="1:4" ht="17.25" customHeight="1">
      <c r="A480" s="2"/>
      <c r="B480" s="2"/>
      <c r="C480" s="2"/>
      <c r="D480" s="2"/>
    </row>
    <row r="481" spans="1:4" ht="17.25" customHeight="1">
      <c r="A481" s="2"/>
      <c r="B481" s="2"/>
      <c r="C481" s="2"/>
      <c r="D481" s="2"/>
    </row>
    <row r="482" spans="1:4" ht="17.25" customHeight="1">
      <c r="A482" s="2"/>
      <c r="B482" s="2"/>
      <c r="C482" s="2"/>
      <c r="D482" s="2"/>
    </row>
    <row r="483" spans="1:4" ht="17.25" customHeight="1">
      <c r="A483" s="2"/>
      <c r="B483" s="2"/>
      <c r="C483" s="2"/>
      <c r="D483" s="2"/>
    </row>
    <row r="484" spans="1:4" ht="17.25" customHeight="1">
      <c r="A484" s="2"/>
      <c r="B484" s="2"/>
      <c r="C484" s="2"/>
      <c r="D484" s="2"/>
    </row>
    <row r="485" spans="1:4" ht="17.25" customHeight="1">
      <c r="A485" s="2"/>
      <c r="B485" s="2"/>
      <c r="C485" s="2"/>
      <c r="D485" s="2"/>
    </row>
    <row r="486" spans="1:4" ht="17.25" customHeight="1">
      <c r="A486" s="2"/>
      <c r="B486" s="2"/>
      <c r="C486" s="2"/>
      <c r="D486" s="2"/>
    </row>
    <row r="487" spans="1:4" ht="17.25" customHeight="1">
      <c r="A487" s="2"/>
      <c r="B487" s="2"/>
      <c r="C487" s="2"/>
      <c r="D487" s="2"/>
    </row>
    <row r="488" spans="1:4" ht="17.25" customHeight="1">
      <c r="A488" s="2"/>
      <c r="B488" s="2"/>
      <c r="C488" s="2"/>
      <c r="D488" s="2"/>
    </row>
    <row r="489" spans="1:4" ht="17.25" customHeight="1">
      <c r="A489" s="2"/>
      <c r="B489" s="2"/>
      <c r="C489" s="2"/>
      <c r="D489" s="2"/>
    </row>
    <row r="490" spans="1:4" ht="17.25" customHeight="1">
      <c r="A490" s="2"/>
      <c r="B490" s="2"/>
      <c r="C490" s="2"/>
      <c r="D490" s="2"/>
    </row>
    <row r="491" spans="1:4" ht="17.25" customHeight="1">
      <c r="A491" s="2"/>
      <c r="B491" s="2"/>
      <c r="C491" s="2"/>
      <c r="D491" s="2"/>
    </row>
    <row r="492" spans="1:4" ht="17.25" customHeight="1">
      <c r="A492" s="2"/>
      <c r="B492" s="2"/>
      <c r="C492" s="2"/>
      <c r="D492" s="2"/>
    </row>
    <row r="493" spans="1:4" ht="17.25" customHeight="1">
      <c r="A493" s="2"/>
      <c r="B493" s="2"/>
      <c r="C493" s="2"/>
      <c r="D493" s="2"/>
    </row>
    <row r="494" spans="1:4" ht="17.25" customHeight="1">
      <c r="A494" s="2"/>
      <c r="B494" s="2"/>
      <c r="C494" s="2"/>
      <c r="D494" s="2"/>
    </row>
    <row r="495" spans="1:4" ht="17.25" customHeight="1">
      <c r="A495" s="2"/>
      <c r="B495" s="2"/>
      <c r="C495" s="2"/>
      <c r="D495" s="2"/>
    </row>
    <row r="496" spans="1:4" ht="17.25" customHeight="1">
      <c r="A496" s="2"/>
      <c r="B496" s="2"/>
      <c r="C496" s="2"/>
      <c r="D496" s="2"/>
    </row>
    <row r="497" spans="1:4" ht="17.25" customHeight="1">
      <c r="A497" s="2"/>
      <c r="B497" s="2"/>
      <c r="C497" s="2"/>
      <c r="D497" s="2"/>
    </row>
    <row r="498" spans="1:4" ht="17.25" customHeight="1">
      <c r="A498" s="2"/>
      <c r="B498" s="2"/>
      <c r="C498" s="2"/>
      <c r="D498" s="2"/>
    </row>
    <row r="499" spans="1:4" ht="17.25" customHeight="1">
      <c r="A499" s="2"/>
      <c r="B499" s="2"/>
      <c r="C499" s="2"/>
      <c r="D499" s="2"/>
    </row>
    <row r="500" spans="1:4" ht="17.25" customHeight="1">
      <c r="A500" s="2"/>
      <c r="B500" s="2"/>
      <c r="C500" s="2"/>
      <c r="D500" s="2"/>
    </row>
    <row r="501" spans="1:4" ht="17.25" customHeight="1">
      <c r="A501" s="2"/>
      <c r="B501" s="2"/>
      <c r="C501" s="2"/>
      <c r="D501" s="2"/>
    </row>
    <row r="502" spans="1:4" ht="17.25" customHeight="1">
      <c r="A502" s="2"/>
      <c r="B502" s="2"/>
      <c r="C502" s="2"/>
      <c r="D502" s="2"/>
    </row>
    <row r="503" spans="1:4" ht="17.25" customHeight="1">
      <c r="A503" s="2"/>
      <c r="B503" s="2"/>
      <c r="C503" s="2"/>
      <c r="D503" s="2"/>
    </row>
    <row r="504" spans="1:4" ht="17.25" customHeight="1">
      <c r="A504" s="2"/>
      <c r="B504" s="2"/>
      <c r="C504" s="2"/>
      <c r="D504" s="2"/>
    </row>
    <row r="505" spans="1:4" ht="17.25" customHeight="1">
      <c r="A505" s="2"/>
      <c r="B505" s="2"/>
      <c r="C505" s="2"/>
      <c r="D505" s="2"/>
    </row>
    <row r="506" spans="1:4" ht="17.25" customHeight="1">
      <c r="A506" s="2"/>
      <c r="B506" s="2"/>
      <c r="C506" s="2"/>
      <c r="D506" s="2"/>
    </row>
    <row r="507" spans="1:4" ht="17.25" customHeight="1">
      <c r="A507" s="2"/>
      <c r="B507" s="2"/>
      <c r="C507" s="2"/>
      <c r="D507" s="2"/>
    </row>
    <row r="508" spans="1:4" ht="17.25" customHeight="1">
      <c r="A508" s="2"/>
      <c r="B508" s="2"/>
      <c r="C508" s="2"/>
      <c r="D508" s="2"/>
    </row>
    <row r="509" spans="1:4" ht="17.25" customHeight="1">
      <c r="A509" s="2"/>
      <c r="B509" s="2"/>
      <c r="C509" s="2"/>
      <c r="D509" s="2"/>
    </row>
    <row r="510" spans="1:4" ht="17.25" customHeight="1">
      <c r="A510" s="2"/>
      <c r="B510" s="2"/>
      <c r="C510" s="2"/>
      <c r="D510" s="2"/>
    </row>
    <row r="511" spans="1:4" ht="17.25" customHeight="1">
      <c r="A511" s="2"/>
      <c r="B511" s="2"/>
      <c r="C511" s="2"/>
      <c r="D511" s="2"/>
    </row>
    <row r="512" spans="1:4" ht="17.25" customHeight="1">
      <c r="A512" s="2"/>
      <c r="B512" s="2"/>
      <c r="C512" s="2"/>
      <c r="D512" s="2"/>
    </row>
    <row r="513" spans="1:4" ht="17.25" customHeight="1">
      <c r="A513" s="2"/>
      <c r="B513" s="2"/>
      <c r="C513" s="2"/>
      <c r="D513" s="2"/>
    </row>
    <row r="514" spans="1:4" ht="17.25" customHeight="1">
      <c r="A514" s="2"/>
      <c r="B514" s="2"/>
      <c r="C514" s="2"/>
      <c r="D514" s="2"/>
    </row>
    <row r="515" spans="1:4" ht="17.25" customHeight="1">
      <c r="A515" s="2"/>
      <c r="B515" s="2"/>
      <c r="C515" s="2"/>
      <c r="D515" s="2"/>
    </row>
    <row r="516" spans="1:4" ht="17.25" customHeight="1">
      <c r="A516" s="2"/>
      <c r="B516" s="2"/>
      <c r="C516" s="2"/>
      <c r="D516" s="2"/>
    </row>
    <row r="517" spans="1:4" ht="17.25" customHeight="1">
      <c r="A517" s="2"/>
      <c r="B517" s="2"/>
      <c r="C517" s="2"/>
      <c r="D517" s="2"/>
    </row>
    <row r="518" spans="1:4" ht="17.25" customHeight="1">
      <c r="A518" s="2"/>
      <c r="B518" s="2"/>
      <c r="C518" s="2"/>
      <c r="D518" s="2"/>
    </row>
    <row r="519" spans="1:4" ht="17.25" customHeight="1">
      <c r="A519" s="2"/>
      <c r="B519" s="2"/>
      <c r="C519" s="2"/>
      <c r="D519" s="2"/>
    </row>
    <row r="520" spans="1:4" ht="17.25" customHeight="1">
      <c r="A520" s="2"/>
      <c r="B520" s="2"/>
      <c r="C520" s="2"/>
      <c r="D520" s="2"/>
    </row>
    <row r="521" spans="1:4" ht="17.25" customHeight="1">
      <c r="A521" s="2"/>
      <c r="B521" s="2"/>
      <c r="C521" s="2"/>
      <c r="D521" s="2"/>
    </row>
    <row r="522" spans="1:4" ht="17.25" customHeight="1">
      <c r="A522" s="2"/>
      <c r="B522" s="2"/>
      <c r="C522" s="2"/>
      <c r="D522" s="2"/>
    </row>
    <row r="523" spans="1:4" ht="17.25" customHeight="1">
      <c r="A523" s="2"/>
      <c r="B523" s="2"/>
      <c r="C523" s="2"/>
      <c r="D523" s="2"/>
    </row>
    <row r="524" spans="1:4" ht="17.25" customHeight="1">
      <c r="A524" s="2"/>
      <c r="B524" s="2"/>
      <c r="C524" s="2"/>
      <c r="D524" s="2"/>
    </row>
    <row r="525" spans="1:4" ht="17.25" customHeight="1">
      <c r="A525" s="2"/>
      <c r="B525" s="2"/>
      <c r="C525" s="2"/>
      <c r="D525" s="2"/>
    </row>
    <row r="526" spans="1:4" ht="17.25" customHeight="1">
      <c r="A526" s="2"/>
      <c r="B526" s="2"/>
      <c r="C526" s="2"/>
      <c r="D526" s="2"/>
    </row>
    <row r="527" spans="1:4" ht="17.25" customHeight="1">
      <c r="A527" s="2"/>
      <c r="B527" s="2"/>
      <c r="C527" s="2"/>
      <c r="D527" s="2"/>
    </row>
    <row r="528" spans="1:4" ht="17.25" customHeight="1">
      <c r="A528" s="2"/>
      <c r="B528" s="2"/>
      <c r="C528" s="2"/>
      <c r="D528" s="2"/>
    </row>
    <row r="529" spans="1:4" ht="17.25" customHeight="1">
      <c r="A529" s="2"/>
      <c r="B529" s="2"/>
      <c r="C529" s="2"/>
      <c r="D529" s="2"/>
    </row>
    <row r="530" spans="1:4" ht="17.25" customHeight="1">
      <c r="A530" s="2"/>
      <c r="B530" s="2"/>
      <c r="C530" s="2"/>
      <c r="D530" s="2"/>
    </row>
    <row r="531" spans="1:4" ht="17.25" customHeight="1">
      <c r="A531" s="2"/>
      <c r="B531" s="2"/>
      <c r="C531" s="2"/>
      <c r="D531" s="2"/>
    </row>
    <row r="532" spans="1:4" ht="17.25" customHeight="1">
      <c r="A532" s="2"/>
      <c r="B532" s="2"/>
      <c r="C532" s="2"/>
      <c r="D532" s="2"/>
    </row>
    <row r="533" spans="1:4" ht="17.25" customHeight="1">
      <c r="A533" s="2"/>
      <c r="B533" s="2"/>
      <c r="C533" s="2"/>
      <c r="D533" s="2"/>
    </row>
    <row r="534" spans="1:4" ht="17.25" customHeight="1">
      <c r="A534" s="2"/>
      <c r="B534" s="2"/>
      <c r="C534" s="2"/>
      <c r="D534" s="2"/>
    </row>
    <row r="535" spans="1:4" ht="17.25" customHeight="1">
      <c r="A535" s="2"/>
      <c r="B535" s="2"/>
      <c r="C535" s="2"/>
      <c r="D535" s="2"/>
    </row>
    <row r="536" spans="1:4" ht="17.25" customHeight="1">
      <c r="A536" s="2"/>
      <c r="B536" s="2"/>
      <c r="C536" s="2"/>
      <c r="D536" s="2"/>
    </row>
    <row r="537" spans="1:4" ht="17.25" customHeight="1">
      <c r="A537" s="2"/>
      <c r="B537" s="2"/>
      <c r="C537" s="2"/>
      <c r="D537" s="2"/>
    </row>
    <row r="538" spans="1:4" ht="17.25" customHeight="1">
      <c r="A538" s="2"/>
      <c r="B538" s="2"/>
      <c r="C538" s="2"/>
      <c r="D538" s="2"/>
    </row>
    <row r="539" spans="1:4" ht="17.25" customHeight="1">
      <c r="A539" s="2"/>
      <c r="B539" s="2"/>
      <c r="C539" s="2"/>
      <c r="D539" s="2"/>
    </row>
    <row r="540" spans="1:4" ht="17.25" customHeight="1">
      <c r="A540" s="2"/>
      <c r="B540" s="2"/>
      <c r="C540" s="2"/>
      <c r="D540" s="2"/>
    </row>
    <row r="541" spans="1:4" ht="17.25" customHeight="1">
      <c r="A541" s="2"/>
      <c r="B541" s="2"/>
      <c r="C541" s="2"/>
      <c r="D541" s="2"/>
    </row>
    <row r="542" spans="1:4" ht="17.25" customHeight="1">
      <c r="A542" s="2"/>
      <c r="B542" s="2"/>
      <c r="C542" s="2"/>
      <c r="D542" s="2"/>
    </row>
    <row r="543" spans="1:4" ht="17.25" customHeight="1">
      <c r="A543" s="2"/>
      <c r="B543" s="2"/>
      <c r="C543" s="2"/>
      <c r="D543" s="2"/>
    </row>
    <row r="544" spans="1:4" ht="17.25" customHeight="1">
      <c r="A544" s="2"/>
      <c r="B544" s="2"/>
      <c r="C544" s="2"/>
      <c r="D544" s="2"/>
    </row>
    <row r="545" spans="1:4" ht="17.25" customHeight="1">
      <c r="A545" s="2"/>
      <c r="B545" s="2"/>
      <c r="C545" s="2"/>
      <c r="D545" s="2"/>
    </row>
    <row r="546" spans="1:4" ht="17.25" customHeight="1">
      <c r="A546" s="2"/>
      <c r="B546" s="2"/>
      <c r="C546" s="2"/>
      <c r="D546" s="2"/>
    </row>
    <row r="547" spans="1:4" ht="17.25" customHeight="1">
      <c r="A547" s="2"/>
      <c r="B547" s="2"/>
      <c r="C547" s="2"/>
      <c r="D547" s="2"/>
    </row>
    <row r="548" spans="1:4" ht="17.25" customHeight="1">
      <c r="A548" s="2"/>
      <c r="B548" s="2"/>
      <c r="C548" s="2"/>
      <c r="D548" s="2"/>
    </row>
    <row r="549" spans="1:4" ht="17.25" customHeight="1">
      <c r="A549" s="2"/>
      <c r="B549" s="2"/>
      <c r="C549" s="2"/>
      <c r="D549" s="2"/>
    </row>
    <row r="550" spans="1:4" ht="17.25" customHeight="1">
      <c r="A550" s="2"/>
      <c r="B550" s="2"/>
      <c r="C550" s="2"/>
      <c r="D550" s="2"/>
    </row>
    <row r="551" spans="1:4" ht="17.25" customHeight="1">
      <c r="A551" s="2"/>
      <c r="B551" s="2"/>
      <c r="C551" s="2"/>
      <c r="D551" s="2"/>
    </row>
    <row r="552" spans="1:4" ht="17.25" customHeight="1">
      <c r="A552" s="2"/>
      <c r="B552" s="2"/>
      <c r="C552" s="2"/>
      <c r="D552" s="2"/>
    </row>
    <row r="553" spans="1:4" ht="17.25" customHeight="1">
      <c r="A553" s="2"/>
      <c r="B553" s="2"/>
      <c r="C553" s="2"/>
      <c r="D553" s="2"/>
    </row>
    <row r="554" spans="1:4" ht="17.25" customHeight="1">
      <c r="A554" s="2"/>
      <c r="B554" s="2"/>
      <c r="C554" s="2"/>
      <c r="D554" s="2"/>
    </row>
    <row r="555" spans="1:4" ht="17.25" customHeight="1">
      <c r="A555" s="2"/>
      <c r="B555" s="2"/>
      <c r="C555" s="2"/>
      <c r="D555" s="2"/>
    </row>
    <row r="556" spans="1:4" ht="17.25" customHeight="1">
      <c r="A556" s="2"/>
      <c r="B556" s="2"/>
      <c r="C556" s="2"/>
      <c r="D556" s="2"/>
    </row>
    <row r="557" spans="1:4" ht="17.25" customHeight="1">
      <c r="A557" s="2"/>
      <c r="B557" s="2"/>
      <c r="C557" s="2"/>
      <c r="D557" s="2"/>
    </row>
    <row r="558" spans="1:4" ht="17.25" customHeight="1">
      <c r="A558" s="2"/>
      <c r="B558" s="2"/>
      <c r="C558" s="2"/>
      <c r="D558" s="2"/>
    </row>
    <row r="559" spans="1:4" ht="17.25" customHeight="1">
      <c r="A559" s="2"/>
      <c r="B559" s="2"/>
      <c r="C559" s="2"/>
      <c r="D559" s="2"/>
    </row>
    <row r="560" spans="1:4" ht="17.25" customHeight="1">
      <c r="A560" s="2"/>
      <c r="B560" s="2"/>
      <c r="C560" s="2"/>
      <c r="D560" s="2"/>
    </row>
    <row r="561" spans="1:4" ht="17.25" customHeight="1">
      <c r="A561" s="2"/>
      <c r="B561" s="2"/>
      <c r="C561" s="2"/>
      <c r="D561" s="2"/>
    </row>
    <row r="562" spans="1:4" ht="17.25" customHeight="1">
      <c r="A562" s="2"/>
      <c r="B562" s="2"/>
      <c r="C562" s="2"/>
      <c r="D562" s="2"/>
    </row>
    <row r="563" spans="1:4" ht="17.25" customHeight="1">
      <c r="A563" s="2"/>
      <c r="B563" s="2"/>
      <c r="C563" s="2"/>
      <c r="D563" s="2"/>
    </row>
    <row r="564" spans="1:4" ht="17.25" customHeight="1">
      <c r="A564" s="2"/>
      <c r="B564" s="2"/>
      <c r="C564" s="2"/>
      <c r="D564" s="2"/>
    </row>
    <row r="565" spans="1:4" ht="17.25" customHeight="1">
      <c r="A565" s="2"/>
      <c r="B565" s="2"/>
      <c r="C565" s="2"/>
      <c r="D565" s="2"/>
    </row>
    <row r="566" spans="1:4" ht="17.25" customHeight="1">
      <c r="A566" s="2"/>
      <c r="B566" s="2"/>
      <c r="C566" s="2"/>
      <c r="D566" s="2"/>
    </row>
    <row r="567" spans="1:4" ht="17.25" customHeight="1">
      <c r="A567" s="2"/>
      <c r="B567" s="2"/>
      <c r="C567" s="2"/>
      <c r="D567" s="2"/>
    </row>
    <row r="568" spans="1:4" ht="17.25" customHeight="1">
      <c r="A568" s="2"/>
      <c r="B568" s="2"/>
      <c r="C568" s="2"/>
      <c r="D568" s="2"/>
    </row>
    <row r="569" spans="1:4" ht="17.25" customHeight="1">
      <c r="A569" s="2"/>
      <c r="B569" s="2"/>
      <c r="C569" s="2"/>
      <c r="D569" s="2"/>
    </row>
    <row r="570" spans="1:4" ht="17.25" customHeight="1">
      <c r="A570" s="2"/>
      <c r="B570" s="2"/>
      <c r="C570" s="2"/>
      <c r="D570" s="2"/>
    </row>
    <row r="571" spans="1:4" ht="17.25" customHeight="1">
      <c r="A571" s="2"/>
      <c r="B571" s="2"/>
      <c r="C571" s="2"/>
      <c r="D571" s="2"/>
    </row>
    <row r="572" spans="1:4" ht="17.25" customHeight="1">
      <c r="A572" s="2"/>
      <c r="B572" s="2"/>
      <c r="C572" s="2"/>
      <c r="D572" s="2"/>
    </row>
    <row r="573" spans="1:4" ht="17.25" customHeight="1">
      <c r="A573" s="2"/>
      <c r="B573" s="2"/>
      <c r="C573" s="2"/>
      <c r="D573" s="2"/>
    </row>
    <row r="574" spans="1:4" ht="17.25" customHeight="1">
      <c r="A574" s="2"/>
      <c r="B574" s="2"/>
      <c r="C574" s="2"/>
      <c r="D574" s="2"/>
    </row>
    <row r="575" spans="1:4" ht="17.25" customHeight="1">
      <c r="A575" s="2"/>
      <c r="B575" s="2"/>
      <c r="C575" s="2"/>
      <c r="D575" s="2"/>
    </row>
    <row r="576" spans="1:4" ht="17.25" customHeight="1">
      <c r="A576" s="2"/>
      <c r="B576" s="2"/>
      <c r="C576" s="2"/>
      <c r="D576" s="2"/>
    </row>
    <row r="577" spans="1:4" ht="17.25" customHeight="1">
      <c r="A577" s="2"/>
      <c r="B577" s="2"/>
      <c r="C577" s="2"/>
      <c r="D577" s="2"/>
    </row>
    <row r="578" spans="1:4" ht="17.25" customHeight="1">
      <c r="A578" s="2"/>
      <c r="B578" s="2"/>
      <c r="C578" s="2"/>
      <c r="D578" s="2"/>
    </row>
    <row r="579" spans="1:4" ht="17.25" customHeight="1">
      <c r="A579" s="2"/>
      <c r="B579" s="2"/>
      <c r="C579" s="2"/>
      <c r="D579" s="2"/>
    </row>
    <row r="580" spans="1:4" ht="17.25" customHeight="1">
      <c r="A580" s="2"/>
      <c r="B580" s="2"/>
      <c r="C580" s="2"/>
      <c r="D580" s="2"/>
    </row>
    <row r="581" spans="1:4" ht="17.25" customHeight="1">
      <c r="A581" s="2"/>
      <c r="B581" s="2"/>
      <c r="C581" s="2"/>
      <c r="D581" s="2"/>
    </row>
    <row r="582" spans="1:4" ht="17.25" customHeight="1">
      <c r="A582" s="2"/>
      <c r="B582" s="2"/>
      <c r="C582" s="2"/>
      <c r="D582" s="2"/>
    </row>
    <row r="583" spans="1:4" ht="17.25" customHeight="1">
      <c r="A583" s="2"/>
      <c r="B583" s="2"/>
      <c r="C583" s="2"/>
      <c r="D583" s="2"/>
    </row>
    <row r="584" spans="1:4" ht="17.25" customHeight="1">
      <c r="A584" s="2"/>
      <c r="B584" s="2"/>
      <c r="C584" s="2"/>
      <c r="D584" s="2"/>
    </row>
    <row r="585" spans="1:4" ht="17.25" customHeight="1">
      <c r="A585" s="2"/>
      <c r="B585" s="2"/>
      <c r="C585" s="2"/>
      <c r="D585" s="2"/>
    </row>
    <row r="586" spans="1:4" ht="17.25" customHeight="1">
      <c r="A586" s="2"/>
      <c r="B586" s="2"/>
      <c r="C586" s="2"/>
      <c r="D586" s="2"/>
    </row>
    <row r="587" spans="1:4" ht="17.25" customHeight="1">
      <c r="A587" s="2"/>
      <c r="B587" s="2"/>
      <c r="C587" s="2"/>
      <c r="D587" s="2"/>
    </row>
    <row r="588" spans="1:4" ht="17.25" customHeight="1">
      <c r="A588" s="2"/>
      <c r="B588" s="2"/>
      <c r="C588" s="2"/>
      <c r="D588" s="2"/>
    </row>
    <row r="589" spans="1:4" ht="17.25" customHeight="1">
      <c r="A589" s="2"/>
      <c r="B589" s="2"/>
      <c r="C589" s="2"/>
      <c r="D589" s="2"/>
    </row>
    <row r="590" spans="1:4" ht="17.25" customHeight="1">
      <c r="A590" s="2"/>
      <c r="B590" s="2"/>
      <c r="C590" s="2"/>
      <c r="D590" s="2"/>
    </row>
    <row r="591" spans="1:4" ht="17.25" customHeight="1">
      <c r="A591" s="2"/>
      <c r="B591" s="2"/>
      <c r="C591" s="2"/>
      <c r="D591" s="2"/>
    </row>
    <row r="592" spans="1:4" ht="17.25" customHeight="1">
      <c r="A592" s="2"/>
      <c r="B592" s="2"/>
      <c r="C592" s="2"/>
      <c r="D592" s="2"/>
    </row>
    <row r="593" spans="1:4" ht="17.25" customHeight="1">
      <c r="A593" s="2"/>
      <c r="B593" s="2"/>
      <c r="C593" s="2"/>
      <c r="D593" s="2"/>
    </row>
    <row r="594" spans="1:4" ht="17.25" customHeight="1">
      <c r="A594" s="2"/>
      <c r="B594" s="2"/>
      <c r="C594" s="2"/>
      <c r="D594" s="2"/>
    </row>
    <row r="595" spans="1:4" ht="17.25" customHeight="1">
      <c r="A595" s="2"/>
      <c r="B595" s="2"/>
      <c r="C595" s="2"/>
      <c r="D595" s="2"/>
    </row>
    <row r="596" spans="1:4" ht="17.25" customHeight="1">
      <c r="A596" s="2"/>
      <c r="B596" s="2"/>
      <c r="C596" s="2"/>
      <c r="D596" s="2"/>
    </row>
    <row r="597" spans="1:4" ht="17.25" customHeight="1">
      <c r="A597" s="2"/>
      <c r="B597" s="2"/>
      <c r="C597" s="2"/>
      <c r="D597" s="2"/>
    </row>
    <row r="598" spans="1:4" ht="17.25" customHeight="1">
      <c r="A598" s="2"/>
      <c r="B598" s="2"/>
      <c r="C598" s="2"/>
      <c r="D598" s="2"/>
    </row>
    <row r="599" spans="1:4" ht="17.25" customHeight="1">
      <c r="A599" s="2"/>
      <c r="B599" s="2"/>
      <c r="C599" s="2"/>
      <c r="D599" s="2"/>
    </row>
    <row r="600" spans="1:4" ht="17.25" customHeight="1">
      <c r="A600" s="2"/>
      <c r="B600" s="2"/>
      <c r="C600" s="2"/>
      <c r="D600" s="2"/>
    </row>
    <row r="601" spans="1:4" ht="17.25" customHeight="1">
      <c r="A601" s="2"/>
      <c r="B601" s="2"/>
      <c r="C601" s="2"/>
      <c r="D601" s="2"/>
    </row>
    <row r="602" spans="1:4" ht="17.25" customHeight="1">
      <c r="A602" s="2"/>
      <c r="B602" s="2"/>
      <c r="C602" s="2"/>
      <c r="D602" s="2"/>
    </row>
    <row r="603" spans="1:4" ht="17.25" customHeight="1">
      <c r="A603" s="2"/>
      <c r="B603" s="2"/>
      <c r="C603" s="2"/>
      <c r="D603" s="2"/>
    </row>
    <row r="604" spans="1:4" ht="17.25" customHeight="1">
      <c r="A604" s="2"/>
      <c r="B604" s="2"/>
      <c r="C604" s="2"/>
      <c r="D604" s="2"/>
    </row>
    <row r="605" spans="1:4" ht="17.25" customHeight="1">
      <c r="A605" s="2"/>
      <c r="B605" s="2"/>
      <c r="C605" s="2"/>
      <c r="D605" s="2"/>
    </row>
    <row r="606" spans="1:4" ht="17.25" customHeight="1">
      <c r="A606" s="2"/>
      <c r="B606" s="2"/>
      <c r="C606" s="2"/>
      <c r="D606" s="2"/>
    </row>
    <row r="607" spans="1:4" ht="17.25" customHeight="1">
      <c r="A607" s="2"/>
      <c r="B607" s="2"/>
      <c r="C607" s="2"/>
      <c r="D607" s="2"/>
    </row>
    <row r="608" spans="1:4" ht="17.25" customHeight="1">
      <c r="A608" s="2"/>
      <c r="B608" s="2"/>
      <c r="C608" s="2"/>
      <c r="D608" s="2"/>
    </row>
    <row r="609" spans="1:4" ht="17.25" customHeight="1">
      <c r="A609" s="2"/>
      <c r="B609" s="2"/>
      <c r="C609" s="2"/>
      <c r="D609" s="2"/>
    </row>
    <row r="610" spans="1:4" ht="17.25" customHeight="1">
      <c r="A610" s="2"/>
      <c r="B610" s="2"/>
      <c r="C610" s="2"/>
      <c r="D610" s="2"/>
    </row>
    <row r="611" spans="1:4" ht="17.25" customHeight="1">
      <c r="A611" s="2"/>
      <c r="B611" s="2"/>
      <c r="C611" s="2"/>
      <c r="D611" s="2"/>
    </row>
    <row r="612" spans="1:4" ht="17.25" customHeight="1">
      <c r="A612" s="2"/>
      <c r="B612" s="2"/>
      <c r="C612" s="2"/>
      <c r="D612" s="2"/>
    </row>
    <row r="613" spans="1:4" ht="17.25" customHeight="1">
      <c r="A613" s="2"/>
      <c r="B613" s="2"/>
      <c r="C613" s="2"/>
      <c r="D613" s="2"/>
    </row>
    <row r="614" spans="1:4" ht="17.25" customHeight="1">
      <c r="A614" s="2"/>
      <c r="B614" s="2"/>
      <c r="C614" s="2"/>
      <c r="D614" s="2"/>
    </row>
    <row r="615" spans="1:4" ht="17.25" customHeight="1">
      <c r="A615" s="2"/>
      <c r="B615" s="2"/>
      <c r="C615" s="2"/>
      <c r="D615" s="2"/>
    </row>
    <row r="616" spans="1:4" ht="17.25" customHeight="1">
      <c r="A616" s="2"/>
      <c r="B616" s="2"/>
      <c r="C616" s="2"/>
      <c r="D616" s="2"/>
    </row>
    <row r="617" spans="1:4" ht="17.25" customHeight="1">
      <c r="A617" s="2"/>
      <c r="B617" s="2"/>
      <c r="C617" s="2"/>
      <c r="D617" s="2"/>
    </row>
    <row r="618" spans="1:4" ht="17.25" customHeight="1">
      <c r="A618" s="2"/>
      <c r="B618" s="2"/>
      <c r="C618" s="2"/>
      <c r="D618" s="2"/>
    </row>
    <row r="619" spans="1:4" ht="17.25" customHeight="1">
      <c r="A619" s="2"/>
      <c r="B619" s="2"/>
      <c r="C619" s="2"/>
      <c r="D619" s="2"/>
    </row>
    <row r="620" spans="1:4" ht="17.25" customHeight="1">
      <c r="A620" s="2"/>
      <c r="B620" s="2"/>
      <c r="C620" s="2"/>
      <c r="D620" s="2"/>
    </row>
    <row r="621" spans="1:4" ht="17.25" customHeight="1">
      <c r="A621" s="2"/>
      <c r="B621" s="2"/>
      <c r="C621" s="2"/>
      <c r="D621" s="2"/>
    </row>
    <row r="622" spans="1:4" ht="17.25" customHeight="1">
      <c r="A622" s="2"/>
      <c r="B622" s="2"/>
      <c r="C622" s="2"/>
      <c r="D622" s="2"/>
    </row>
    <row r="623" spans="1:4" ht="17.25" customHeight="1">
      <c r="A623" s="2"/>
      <c r="B623" s="2"/>
      <c r="C623" s="2"/>
      <c r="D623" s="2"/>
    </row>
    <row r="624" spans="1:4" ht="17.25" customHeight="1">
      <c r="A624" s="2"/>
      <c r="B624" s="2"/>
      <c r="C624" s="2"/>
      <c r="D624" s="2"/>
    </row>
    <row r="625" spans="1:4" ht="17.25" customHeight="1">
      <c r="A625" s="2"/>
      <c r="B625" s="2"/>
      <c r="C625" s="2"/>
      <c r="D625" s="2"/>
    </row>
    <row r="626" spans="1:4" ht="17.25" customHeight="1">
      <c r="A626" s="2"/>
      <c r="B626" s="2"/>
      <c r="C626" s="2"/>
      <c r="D626" s="2"/>
    </row>
    <row r="627" spans="1:4" ht="17.25" customHeight="1">
      <c r="A627" s="2"/>
      <c r="B627" s="2"/>
      <c r="C627" s="2"/>
      <c r="D627" s="2"/>
    </row>
    <row r="628" spans="1:4" ht="17.25" customHeight="1">
      <c r="A628" s="2"/>
      <c r="B628" s="2"/>
      <c r="C628" s="2"/>
      <c r="D628" s="2"/>
    </row>
    <row r="629" spans="1:4" ht="17.25" customHeight="1">
      <c r="A629" s="2"/>
      <c r="B629" s="2"/>
      <c r="C629" s="2"/>
      <c r="D629" s="2"/>
    </row>
    <row r="630" spans="1:4" ht="17.25" customHeight="1">
      <c r="A630" s="2"/>
      <c r="B630" s="2"/>
      <c r="C630" s="2"/>
      <c r="D630" s="2"/>
    </row>
    <row r="631" spans="1:4" ht="17.25" customHeight="1">
      <c r="A631" s="2"/>
      <c r="B631" s="2"/>
      <c r="C631" s="2"/>
      <c r="D631" s="2"/>
    </row>
    <row r="632" spans="1:4" ht="17.25" customHeight="1">
      <c r="A632" s="2"/>
      <c r="B632" s="2"/>
      <c r="C632" s="2"/>
      <c r="D632" s="2"/>
    </row>
    <row r="633" spans="1:4" ht="17.25" customHeight="1">
      <c r="A633" s="2"/>
      <c r="B633" s="2"/>
      <c r="C633" s="2"/>
      <c r="D633" s="2"/>
    </row>
    <row r="634" spans="1:4" ht="17.25" customHeight="1">
      <c r="A634" s="2"/>
      <c r="B634" s="2"/>
      <c r="C634" s="2"/>
      <c r="D634" s="2"/>
    </row>
    <row r="635" spans="1:4" ht="17.25" customHeight="1">
      <c r="A635" s="2"/>
      <c r="B635" s="2"/>
      <c r="C635" s="2"/>
      <c r="D635" s="2"/>
    </row>
    <row r="636" spans="1:4" ht="17.25" customHeight="1">
      <c r="A636" s="2"/>
      <c r="B636" s="2"/>
      <c r="C636" s="2"/>
      <c r="D636" s="2"/>
    </row>
    <row r="637" spans="1:4" ht="17.25" customHeight="1">
      <c r="A637" s="2"/>
      <c r="B637" s="2"/>
      <c r="C637" s="2"/>
      <c r="D637" s="2"/>
    </row>
    <row r="638" spans="1:4" ht="17.25" customHeight="1">
      <c r="A638" s="2"/>
      <c r="B638" s="2"/>
      <c r="C638" s="2"/>
      <c r="D638" s="2"/>
    </row>
    <row r="639" spans="1:4" ht="17.25" customHeight="1">
      <c r="A639" s="2"/>
      <c r="B639" s="2"/>
      <c r="C639" s="2"/>
      <c r="D639" s="2"/>
    </row>
    <row r="640" spans="1:4" ht="17.25" customHeight="1">
      <c r="A640" s="2"/>
      <c r="B640" s="2"/>
      <c r="C640" s="2"/>
      <c r="D640" s="2"/>
    </row>
    <row r="641" spans="1:4" ht="17.25" customHeight="1">
      <c r="A641" s="2"/>
      <c r="B641" s="2"/>
      <c r="C641" s="2"/>
      <c r="D641" s="2"/>
    </row>
    <row r="642" spans="1:4" ht="17.25" customHeight="1">
      <c r="A642" s="2"/>
      <c r="B642" s="2"/>
      <c r="C642" s="2"/>
      <c r="D642" s="2"/>
    </row>
    <row r="643" spans="1:4" ht="17.25" customHeight="1">
      <c r="A643" s="2"/>
      <c r="B643" s="2"/>
      <c r="C643" s="2"/>
      <c r="D643" s="2"/>
    </row>
    <row r="644" spans="1:4" ht="17.25" customHeight="1">
      <c r="A644" s="2"/>
      <c r="B644" s="2"/>
      <c r="C644" s="2"/>
      <c r="D644" s="2"/>
    </row>
    <row r="645" spans="1:4" ht="17.25" customHeight="1">
      <c r="A645" s="2"/>
      <c r="B645" s="2"/>
      <c r="C645" s="2"/>
      <c r="D645" s="2"/>
    </row>
    <row r="646" spans="1:4" ht="17.25" customHeight="1">
      <c r="A646" s="2"/>
      <c r="B646" s="2"/>
      <c r="C646" s="2"/>
      <c r="D646" s="2"/>
    </row>
    <row r="647" spans="1:4" ht="17.25" customHeight="1">
      <c r="A647" s="2"/>
      <c r="B647" s="2"/>
      <c r="C647" s="2"/>
      <c r="D647" s="2"/>
    </row>
    <row r="648" spans="1:4" ht="17.25" customHeight="1">
      <c r="A648" s="2"/>
      <c r="B648" s="2"/>
      <c r="C648" s="2"/>
      <c r="D648" s="2"/>
    </row>
    <row r="649" spans="1:4" ht="17.25" customHeight="1">
      <c r="A649" s="2"/>
      <c r="B649" s="2"/>
      <c r="C649" s="2"/>
      <c r="D649" s="2"/>
    </row>
    <row r="650" spans="1:4" ht="17.25" customHeight="1">
      <c r="A650" s="2"/>
      <c r="B650" s="2"/>
      <c r="C650" s="2"/>
      <c r="D650" s="2"/>
    </row>
    <row r="651" spans="1:4" ht="17.25" customHeight="1">
      <c r="A651" s="2"/>
      <c r="B651" s="2"/>
      <c r="C651" s="2"/>
      <c r="D651" s="2"/>
    </row>
    <row r="652" spans="1:4" ht="17.25" customHeight="1">
      <c r="A652" s="2"/>
      <c r="B652" s="2"/>
      <c r="C652" s="2"/>
      <c r="D652" s="2"/>
    </row>
    <row r="653" spans="1:4" ht="17.25" customHeight="1">
      <c r="A653" s="2"/>
      <c r="B653" s="2"/>
      <c r="C653" s="2"/>
      <c r="D653" s="2"/>
    </row>
    <row r="654" spans="1:4" ht="17.25" customHeight="1">
      <c r="A654" s="2"/>
      <c r="B654" s="2"/>
      <c r="C654" s="2"/>
      <c r="D654" s="2"/>
    </row>
    <row r="655" spans="1:4" ht="17.25" customHeight="1">
      <c r="A655" s="2"/>
      <c r="B655" s="2"/>
      <c r="C655" s="2"/>
      <c r="D655" s="2"/>
    </row>
    <row r="656" spans="1:4" ht="17.25" customHeight="1">
      <c r="A656" s="2"/>
      <c r="B656" s="2"/>
      <c r="C656" s="2"/>
      <c r="D656" s="2"/>
    </row>
    <row r="657" spans="1:4" ht="17.25" customHeight="1">
      <c r="A657" s="2"/>
      <c r="B657" s="2"/>
      <c r="C657" s="2"/>
      <c r="D657" s="2"/>
    </row>
    <row r="658" spans="1:4" ht="17.25" customHeight="1">
      <c r="A658" s="2"/>
      <c r="B658" s="2"/>
      <c r="C658" s="2"/>
      <c r="D658" s="2"/>
    </row>
    <row r="659" spans="1:4" ht="17.25" customHeight="1">
      <c r="A659" s="2"/>
      <c r="B659" s="2"/>
      <c r="C659" s="2"/>
      <c r="D659" s="2"/>
    </row>
    <row r="660" spans="1:4" ht="17.25" customHeight="1">
      <c r="A660" s="2"/>
      <c r="B660" s="2"/>
      <c r="C660" s="2"/>
      <c r="D660" s="2"/>
    </row>
    <row r="661" spans="1:4" ht="17.25" customHeight="1">
      <c r="A661" s="2"/>
      <c r="B661" s="2"/>
      <c r="C661" s="2"/>
      <c r="D661" s="2"/>
    </row>
    <row r="662" spans="1:4" ht="17.25" customHeight="1">
      <c r="A662" s="2"/>
      <c r="B662" s="2"/>
      <c r="C662" s="2"/>
      <c r="D662" s="2"/>
    </row>
    <row r="663" spans="1:4" ht="17.25" customHeight="1">
      <c r="A663" s="2"/>
      <c r="B663" s="2"/>
      <c r="C663" s="2"/>
      <c r="D663" s="2"/>
    </row>
    <row r="664" spans="1:4" ht="17.25" customHeight="1">
      <c r="A664" s="2"/>
      <c r="B664" s="2"/>
      <c r="C664" s="2"/>
      <c r="D664" s="2"/>
    </row>
    <row r="665" spans="1:4" ht="17.25" customHeight="1">
      <c r="A665" s="2"/>
      <c r="B665" s="2"/>
      <c r="C665" s="2"/>
      <c r="D665" s="2"/>
    </row>
    <row r="666" spans="1:4" ht="17.25" customHeight="1">
      <c r="A666" s="2"/>
      <c r="B666" s="2"/>
      <c r="C666" s="2"/>
      <c r="D666" s="2"/>
    </row>
    <row r="667" spans="1:4" ht="17.25" customHeight="1">
      <c r="A667" s="2"/>
      <c r="B667" s="2"/>
      <c r="C667" s="2"/>
      <c r="D667" s="2"/>
    </row>
    <row r="668" spans="1:4" ht="17.25" customHeight="1">
      <c r="A668" s="2"/>
      <c r="B668" s="2"/>
      <c r="C668" s="2"/>
      <c r="D668" s="2"/>
    </row>
    <row r="669" spans="1:4" ht="17.25" customHeight="1">
      <c r="A669" s="2"/>
      <c r="B669" s="2"/>
      <c r="C669" s="2"/>
      <c r="D669" s="2"/>
    </row>
    <row r="670" spans="1:4" ht="17.25" customHeight="1">
      <c r="A670" s="2"/>
      <c r="B670" s="2"/>
      <c r="C670" s="2"/>
      <c r="D670" s="2"/>
    </row>
    <row r="671" spans="1:4" ht="17.25" customHeight="1">
      <c r="A671" s="2"/>
      <c r="B671" s="2"/>
      <c r="C671" s="2"/>
      <c r="D671" s="2"/>
    </row>
    <row r="672" spans="1:4" ht="17.25" customHeight="1">
      <c r="A672" s="2"/>
      <c r="B672" s="2"/>
      <c r="C672" s="2"/>
      <c r="D672" s="2"/>
    </row>
    <row r="673" spans="1:4" ht="17.25" customHeight="1">
      <c r="A673" s="2"/>
      <c r="B673" s="2"/>
      <c r="C673" s="2"/>
      <c r="D673" s="2"/>
    </row>
    <row r="674" spans="1:4" ht="17.25" customHeight="1">
      <c r="A674" s="2"/>
      <c r="B674" s="2"/>
      <c r="C674" s="2"/>
      <c r="D674" s="2"/>
    </row>
    <row r="675" spans="1:4" ht="17.25" customHeight="1">
      <c r="A675" s="2"/>
      <c r="B675" s="2"/>
      <c r="C675" s="2"/>
      <c r="D675" s="2"/>
    </row>
    <row r="676" spans="1:4" ht="17.25" customHeight="1">
      <c r="A676" s="2"/>
      <c r="B676" s="2"/>
      <c r="C676" s="2"/>
      <c r="D676" s="2"/>
    </row>
    <row r="677" spans="1:4" ht="17.25" customHeight="1">
      <c r="A677" s="2"/>
      <c r="B677" s="2"/>
      <c r="C677" s="2"/>
      <c r="D677" s="2"/>
    </row>
    <row r="678" spans="1:4" ht="17.25" customHeight="1">
      <c r="A678" s="2"/>
      <c r="B678" s="2"/>
      <c r="C678" s="2"/>
      <c r="D678" s="2"/>
    </row>
    <row r="679" spans="1:4" ht="17.25" customHeight="1">
      <c r="A679" s="2"/>
      <c r="B679" s="2"/>
      <c r="C679" s="2"/>
      <c r="D679" s="2"/>
    </row>
    <row r="680" spans="1:4" ht="17.25" customHeight="1">
      <c r="A680" s="2"/>
      <c r="B680" s="2"/>
      <c r="C680" s="2"/>
      <c r="D680" s="2"/>
    </row>
    <row r="681" spans="1:4" ht="17.25" customHeight="1">
      <c r="A681" s="2"/>
      <c r="B681" s="2"/>
      <c r="C681" s="2"/>
      <c r="D681" s="2"/>
    </row>
    <row r="682" spans="1:4" ht="17.25" customHeight="1">
      <c r="A682" s="2"/>
      <c r="B682" s="2"/>
      <c r="C682" s="2"/>
      <c r="D682" s="2"/>
    </row>
    <row r="683" spans="1:4" ht="17.25" customHeight="1">
      <c r="A683" s="2"/>
      <c r="B683" s="2"/>
      <c r="C683" s="2"/>
      <c r="D683" s="2"/>
    </row>
    <row r="684" spans="1:4" ht="17.25" customHeight="1">
      <c r="A684" s="2"/>
      <c r="B684" s="2"/>
      <c r="C684" s="2"/>
      <c r="D684" s="2"/>
    </row>
    <row r="685" spans="1:4" ht="17.25" customHeight="1">
      <c r="A685" s="2"/>
      <c r="B685" s="2"/>
      <c r="C685" s="2"/>
      <c r="D685" s="2"/>
    </row>
    <row r="686" spans="1:4" ht="17.25" customHeight="1">
      <c r="A686" s="2"/>
      <c r="B686" s="2"/>
      <c r="C686" s="2"/>
      <c r="D686" s="2"/>
    </row>
    <row r="687" spans="1:4" ht="17.25" customHeight="1">
      <c r="A687" s="2"/>
      <c r="B687" s="2"/>
      <c r="C687" s="2"/>
      <c r="D687" s="2"/>
    </row>
    <row r="688" spans="1:4" ht="17.25" customHeight="1">
      <c r="A688" s="2"/>
      <c r="B688" s="2"/>
      <c r="C688" s="2"/>
      <c r="D688" s="2"/>
    </row>
    <row r="689" spans="1:4" ht="17.25" customHeight="1">
      <c r="A689" s="2"/>
      <c r="B689" s="2"/>
      <c r="C689" s="2"/>
      <c r="D689" s="2"/>
    </row>
    <row r="690" spans="1:4" ht="17.25" customHeight="1">
      <c r="A690" s="2"/>
      <c r="B690" s="2"/>
      <c r="C690" s="2"/>
      <c r="D690" s="2"/>
    </row>
    <row r="691" spans="1:4" ht="17.25" customHeight="1">
      <c r="A691" s="2"/>
      <c r="B691" s="2"/>
      <c r="C691" s="2"/>
      <c r="D691" s="2"/>
    </row>
    <row r="692" spans="1:4" ht="17.25" customHeight="1">
      <c r="A692" s="2"/>
      <c r="B692" s="2"/>
      <c r="C692" s="2"/>
      <c r="D692" s="2"/>
    </row>
    <row r="693" spans="1:4" ht="17.25" customHeight="1">
      <c r="A693" s="2"/>
      <c r="B693" s="2"/>
      <c r="C693" s="2"/>
      <c r="D693" s="2"/>
    </row>
    <row r="694" spans="1:4" ht="17.25" customHeight="1">
      <c r="A694" s="2"/>
      <c r="B694" s="2"/>
      <c r="C694" s="2"/>
      <c r="D694" s="2"/>
    </row>
    <row r="695" spans="1:4" ht="17.25" customHeight="1">
      <c r="A695" s="2"/>
      <c r="B695" s="2"/>
      <c r="C695" s="2"/>
      <c r="D695" s="2"/>
    </row>
    <row r="696" spans="1:4" ht="17.25" customHeight="1">
      <c r="A696" s="2"/>
      <c r="B696" s="2"/>
      <c r="C696" s="2"/>
      <c r="D696" s="2"/>
    </row>
    <row r="697" spans="1:4" ht="17.25" customHeight="1">
      <c r="A697" s="2"/>
      <c r="B697" s="2"/>
      <c r="C697" s="2"/>
      <c r="D697" s="2"/>
    </row>
    <row r="698" spans="1:4" ht="17.25" customHeight="1">
      <c r="A698" s="2"/>
      <c r="B698" s="2"/>
      <c r="C698" s="2"/>
      <c r="D698" s="2"/>
    </row>
    <row r="699" spans="1:4" ht="17.25" customHeight="1">
      <c r="A699" s="2"/>
      <c r="B699" s="2"/>
      <c r="C699" s="2"/>
      <c r="D699" s="2"/>
    </row>
    <row r="700" spans="1:4" ht="17.25" customHeight="1">
      <c r="A700" s="2"/>
      <c r="B700" s="2"/>
      <c r="C700" s="2"/>
      <c r="D700" s="2"/>
    </row>
    <row r="701" spans="1:4" ht="17.25" customHeight="1">
      <c r="A701" s="2"/>
      <c r="B701" s="2"/>
      <c r="C701" s="2"/>
      <c r="D701" s="2"/>
    </row>
    <row r="702" spans="1:4" ht="17.25" customHeight="1">
      <c r="A702" s="2"/>
      <c r="B702" s="2"/>
      <c r="C702" s="2"/>
      <c r="D702" s="2"/>
    </row>
    <row r="703" spans="1:4" ht="17.25" customHeight="1">
      <c r="A703" s="2"/>
      <c r="B703" s="2"/>
      <c r="C703" s="2"/>
      <c r="D703" s="2"/>
    </row>
    <row r="704" spans="1:4" ht="17.25" customHeight="1">
      <c r="A704" s="2"/>
      <c r="B704" s="2"/>
      <c r="C704" s="2"/>
      <c r="D704" s="2"/>
    </row>
    <row r="705" spans="1:4" ht="17.25" customHeight="1">
      <c r="A705" s="2"/>
      <c r="B705" s="2"/>
      <c r="C705" s="2"/>
      <c r="D705" s="2"/>
    </row>
    <row r="706" spans="1:4" ht="17.25" customHeight="1">
      <c r="A706" s="2"/>
      <c r="B706" s="2"/>
      <c r="C706" s="2"/>
      <c r="D706" s="2"/>
    </row>
    <row r="707" spans="1:4" ht="17.25" customHeight="1">
      <c r="A707" s="2"/>
      <c r="B707" s="2"/>
      <c r="C707" s="2"/>
      <c r="D707" s="2"/>
    </row>
    <row r="708" spans="1:4" ht="17.25" customHeight="1">
      <c r="A708" s="2"/>
      <c r="B708" s="2"/>
      <c r="C708" s="2"/>
      <c r="D708" s="2"/>
    </row>
    <row r="709" spans="1:4" ht="17.25" customHeight="1">
      <c r="A709" s="2"/>
      <c r="B709" s="2"/>
      <c r="C709" s="2"/>
      <c r="D709" s="2"/>
    </row>
    <row r="710" spans="1:4" ht="17.25" customHeight="1">
      <c r="A710" s="2"/>
      <c r="B710" s="2"/>
      <c r="C710" s="2"/>
      <c r="D710" s="2"/>
    </row>
    <row r="711" spans="1:4" ht="17.25" customHeight="1">
      <c r="A711" s="2"/>
      <c r="B711" s="2"/>
      <c r="C711" s="2"/>
      <c r="D711" s="2"/>
    </row>
    <row r="712" spans="1:4" ht="17.25" customHeight="1">
      <c r="A712" s="2"/>
      <c r="B712" s="2"/>
      <c r="C712" s="2"/>
      <c r="D712" s="2"/>
    </row>
    <row r="713" spans="1:4" ht="17.25" customHeight="1">
      <c r="A713" s="2"/>
      <c r="B713" s="2"/>
      <c r="C713" s="2"/>
      <c r="D713" s="2"/>
    </row>
    <row r="714" spans="1:4" ht="17.25" customHeight="1">
      <c r="A714" s="2"/>
      <c r="B714" s="2"/>
      <c r="C714" s="2"/>
      <c r="D714" s="2"/>
    </row>
    <row r="715" spans="1:4" ht="17.25" customHeight="1">
      <c r="A715" s="2"/>
      <c r="B715" s="2"/>
      <c r="C715" s="2"/>
      <c r="D715" s="2"/>
    </row>
    <row r="716" spans="1:4" ht="17.25" customHeight="1">
      <c r="A716" s="2"/>
      <c r="B716" s="2"/>
      <c r="C716" s="2"/>
      <c r="D716" s="2"/>
    </row>
    <row r="717" spans="1:4" ht="17.25" customHeight="1">
      <c r="A717" s="2"/>
      <c r="B717" s="2"/>
      <c r="C717" s="2"/>
      <c r="D717" s="2"/>
    </row>
    <row r="718" spans="1:4" ht="17.25" customHeight="1">
      <c r="A718" s="2"/>
      <c r="B718" s="2"/>
      <c r="C718" s="2"/>
      <c r="D718" s="2"/>
    </row>
    <row r="719" spans="1:4" ht="17.25" customHeight="1">
      <c r="A719" s="2"/>
      <c r="B719" s="2"/>
      <c r="C719" s="2"/>
      <c r="D719" s="2"/>
    </row>
    <row r="720" spans="1:4" ht="17.25" customHeight="1">
      <c r="A720" s="2"/>
      <c r="B720" s="2"/>
      <c r="C720" s="2"/>
      <c r="D720" s="2"/>
    </row>
    <row r="721" spans="1:4" ht="17.25" customHeight="1">
      <c r="A721" s="2"/>
      <c r="B721" s="2"/>
      <c r="C721" s="2"/>
      <c r="D721" s="2"/>
    </row>
    <row r="722" spans="1:4" ht="17.25" customHeight="1">
      <c r="A722" s="2"/>
      <c r="B722" s="2"/>
      <c r="C722" s="2"/>
      <c r="D722" s="2"/>
    </row>
    <row r="723" spans="1:4" ht="17.25" customHeight="1">
      <c r="A723" s="2"/>
      <c r="B723" s="2"/>
      <c r="C723" s="2"/>
      <c r="D723" s="2"/>
    </row>
    <row r="724" spans="1:4" ht="17.25" customHeight="1">
      <c r="A724" s="2"/>
      <c r="B724" s="2"/>
      <c r="C724" s="2"/>
      <c r="D724" s="2"/>
    </row>
    <row r="725" spans="1:4" ht="17.25" customHeight="1">
      <c r="A725" s="2"/>
      <c r="B725" s="2"/>
      <c r="C725" s="2"/>
      <c r="D725" s="2"/>
    </row>
    <row r="726" spans="1:4" ht="17.25" customHeight="1">
      <c r="A726" s="2"/>
      <c r="B726" s="2"/>
      <c r="C726" s="2"/>
      <c r="D726" s="2"/>
    </row>
    <row r="727" spans="1:4" ht="17.25" customHeight="1">
      <c r="A727" s="2"/>
      <c r="B727" s="2"/>
      <c r="C727" s="2"/>
      <c r="D727" s="2"/>
    </row>
    <row r="728" spans="1:4" ht="17.25" customHeight="1">
      <c r="A728" s="2"/>
      <c r="B728" s="2"/>
      <c r="C728" s="2"/>
      <c r="D728" s="2"/>
    </row>
    <row r="729" spans="1:4" ht="17.25" customHeight="1">
      <c r="A729" s="2"/>
      <c r="B729" s="2"/>
      <c r="C729" s="2"/>
      <c r="D729" s="2"/>
    </row>
    <row r="730" spans="1:4" ht="17.25" customHeight="1">
      <c r="A730" s="2"/>
      <c r="B730" s="2"/>
      <c r="C730" s="2"/>
      <c r="D730" s="2"/>
    </row>
    <row r="731" spans="1:4" ht="17.25" customHeight="1">
      <c r="A731" s="2"/>
      <c r="B731" s="2"/>
      <c r="C731" s="2"/>
      <c r="D731" s="2"/>
    </row>
    <row r="732" spans="1:4" ht="17.25" customHeight="1">
      <c r="A732" s="2"/>
      <c r="B732" s="2"/>
      <c r="C732" s="2"/>
      <c r="D732" s="2"/>
    </row>
    <row r="733" spans="1:4" ht="17.25" customHeight="1">
      <c r="A733" s="2"/>
      <c r="B733" s="2"/>
      <c r="C733" s="2"/>
      <c r="D733" s="2"/>
    </row>
    <row r="734" spans="1:4" ht="17.25" customHeight="1">
      <c r="A734" s="2"/>
      <c r="B734" s="2"/>
      <c r="C734" s="2"/>
      <c r="D734" s="2"/>
    </row>
    <row r="735" spans="1:4" ht="17.25" customHeight="1">
      <c r="A735" s="2"/>
      <c r="B735" s="2"/>
      <c r="C735" s="2"/>
      <c r="D735" s="2"/>
    </row>
    <row r="736" spans="1:4" ht="17.25" customHeight="1">
      <c r="A736" s="2"/>
      <c r="B736" s="2"/>
      <c r="C736" s="2"/>
      <c r="D736" s="2"/>
    </row>
    <row r="737" spans="1:4" ht="17.25" customHeight="1">
      <c r="A737" s="2"/>
      <c r="B737" s="2"/>
      <c r="C737" s="2"/>
      <c r="D737" s="2"/>
    </row>
    <row r="738" spans="1:4" ht="17.25" customHeight="1">
      <c r="A738" s="2"/>
      <c r="B738" s="2"/>
      <c r="C738" s="2"/>
      <c r="D738" s="2"/>
    </row>
    <row r="739" spans="1:4" ht="17.25" customHeight="1">
      <c r="A739" s="2"/>
      <c r="B739" s="2"/>
      <c r="C739" s="2"/>
      <c r="D739" s="2"/>
    </row>
    <row r="740" spans="1:4" ht="17.25" customHeight="1">
      <c r="A740" s="2"/>
      <c r="B740" s="2"/>
      <c r="C740" s="2"/>
      <c r="D740" s="2"/>
    </row>
    <row r="741" spans="1:4" ht="17.25" customHeight="1">
      <c r="A741" s="2"/>
      <c r="B741" s="2"/>
      <c r="C741" s="2"/>
      <c r="D741" s="2"/>
    </row>
    <row r="742" spans="1:4" ht="17.25" customHeight="1">
      <c r="A742" s="2"/>
      <c r="B742" s="2"/>
      <c r="C742" s="2"/>
      <c r="D742" s="2"/>
    </row>
    <row r="743" spans="1:4" ht="17.25" customHeight="1">
      <c r="A743" s="2"/>
      <c r="B743" s="2"/>
      <c r="C743" s="2"/>
      <c r="D743" s="2"/>
    </row>
    <row r="744" spans="1:4" ht="17.25" customHeight="1">
      <c r="A744" s="2"/>
      <c r="B744" s="2"/>
      <c r="C744" s="2"/>
      <c r="D744" s="2"/>
    </row>
    <row r="745" spans="1:4" ht="17.25" customHeight="1">
      <c r="A745" s="2"/>
      <c r="B745" s="2"/>
      <c r="C745" s="2"/>
      <c r="D745" s="2"/>
    </row>
    <row r="746" spans="1:4" ht="17.25" customHeight="1">
      <c r="A746" s="2"/>
      <c r="B746" s="2"/>
      <c r="C746" s="2"/>
      <c r="D746" s="2"/>
    </row>
    <row r="747" spans="1:4" ht="17.25" customHeight="1">
      <c r="A747" s="2"/>
      <c r="B747" s="2"/>
      <c r="C747" s="2"/>
      <c r="D747" s="2"/>
    </row>
    <row r="748" spans="1:4" ht="17.25" customHeight="1">
      <c r="A748" s="2"/>
      <c r="B748" s="2"/>
      <c r="C748" s="2"/>
      <c r="D748" s="2"/>
    </row>
    <row r="749" spans="1:4" ht="17.25" customHeight="1">
      <c r="A749" s="2"/>
      <c r="B749" s="2"/>
      <c r="C749" s="2"/>
      <c r="D749" s="2"/>
    </row>
    <row r="750" spans="1:4" ht="17.25" customHeight="1">
      <c r="A750" s="2"/>
      <c r="B750" s="2"/>
      <c r="C750" s="2"/>
      <c r="D750" s="2"/>
    </row>
    <row r="751" spans="1:4" ht="17.25" customHeight="1">
      <c r="A751" s="2"/>
      <c r="B751" s="2"/>
      <c r="C751" s="2"/>
      <c r="D751" s="2"/>
    </row>
    <row r="752" spans="1:4" ht="17.25" customHeight="1">
      <c r="A752" s="2"/>
      <c r="B752" s="2"/>
      <c r="C752" s="2"/>
      <c r="D752" s="2"/>
    </row>
    <row r="753" spans="1:4" ht="17.25" customHeight="1">
      <c r="A753" s="2"/>
      <c r="B753" s="2"/>
      <c r="C753" s="2"/>
      <c r="D753" s="2"/>
    </row>
    <row r="754" spans="1:4" ht="17.25" customHeight="1">
      <c r="A754" s="2"/>
      <c r="B754" s="2"/>
      <c r="C754" s="2"/>
      <c r="D754" s="2"/>
    </row>
    <row r="755" spans="1:4" ht="17.25" customHeight="1">
      <c r="A755" s="2"/>
      <c r="B755" s="2"/>
      <c r="C755" s="2"/>
      <c r="D755" s="2"/>
    </row>
    <row r="756" spans="1:4" ht="17.25" customHeight="1">
      <c r="A756" s="2"/>
      <c r="B756" s="2"/>
      <c r="C756" s="2"/>
      <c r="D756" s="2"/>
    </row>
    <row r="757" spans="1:4" ht="17.25" customHeight="1">
      <c r="A757" s="2"/>
      <c r="B757" s="2"/>
      <c r="C757" s="2"/>
      <c r="D757" s="2"/>
    </row>
    <row r="758" spans="1:4" ht="17.25" customHeight="1">
      <c r="A758" s="2"/>
      <c r="B758" s="2"/>
      <c r="C758" s="2"/>
      <c r="D758" s="2"/>
    </row>
    <row r="759" spans="1:4" ht="17.25" customHeight="1">
      <c r="A759" s="2"/>
      <c r="B759" s="2"/>
      <c r="C759" s="2"/>
      <c r="D759" s="2"/>
    </row>
    <row r="760" spans="1:4" ht="17.25" customHeight="1">
      <c r="A760" s="2"/>
      <c r="B760" s="2"/>
      <c r="C760" s="2"/>
      <c r="D760" s="2"/>
    </row>
    <row r="761" spans="1:4" ht="17.25" customHeight="1">
      <c r="A761" s="2"/>
      <c r="B761" s="2"/>
      <c r="C761" s="2"/>
      <c r="D761" s="2"/>
    </row>
    <row r="762" spans="1:4" ht="17.25" customHeight="1">
      <c r="A762" s="2"/>
      <c r="B762" s="2"/>
      <c r="C762" s="2"/>
      <c r="D762" s="2"/>
    </row>
    <row r="763" spans="1:4" ht="17.25" customHeight="1">
      <c r="A763" s="2"/>
      <c r="B763" s="2"/>
      <c r="C763" s="2"/>
      <c r="D763" s="2"/>
    </row>
    <row r="764" spans="1:4" ht="17.25" customHeight="1">
      <c r="A764" s="2"/>
      <c r="B764" s="2"/>
      <c r="C764" s="2"/>
      <c r="D764" s="2"/>
    </row>
    <row r="765" spans="1:4" ht="17.25" customHeight="1">
      <c r="A765" s="2"/>
      <c r="B765" s="2"/>
      <c r="C765" s="2"/>
      <c r="D765" s="2"/>
    </row>
    <row r="766" spans="1:4" ht="17.25" customHeight="1">
      <c r="A766" s="2"/>
      <c r="B766" s="2"/>
      <c r="C766" s="2"/>
      <c r="D766" s="2"/>
    </row>
    <row r="767" spans="1:4" ht="17.25" customHeight="1">
      <c r="A767" s="2"/>
      <c r="B767" s="2"/>
      <c r="C767" s="2"/>
      <c r="D767" s="2"/>
    </row>
    <row r="768" spans="1:4" ht="17.25" customHeight="1">
      <c r="A768" s="2"/>
      <c r="B768" s="2"/>
      <c r="C768" s="2"/>
      <c r="D768" s="2"/>
    </row>
    <row r="769" spans="1:4" ht="17.25" customHeight="1">
      <c r="A769" s="2"/>
      <c r="B769" s="2"/>
      <c r="C769" s="2"/>
      <c r="D769" s="2"/>
    </row>
    <row r="770" spans="1:4" ht="17.25" customHeight="1">
      <c r="A770" s="2"/>
      <c r="B770" s="2"/>
      <c r="C770" s="2"/>
      <c r="D770" s="2"/>
    </row>
    <row r="771" spans="1:4" ht="17.25" customHeight="1">
      <c r="A771" s="2"/>
      <c r="B771" s="2"/>
      <c r="C771" s="2"/>
      <c r="D771" s="2"/>
    </row>
    <row r="772" spans="1:4" ht="17.25" customHeight="1">
      <c r="A772" s="2"/>
      <c r="B772" s="2"/>
      <c r="C772" s="2"/>
      <c r="D772" s="2"/>
    </row>
    <row r="773" spans="1:4" ht="17.25" customHeight="1">
      <c r="A773" s="2"/>
      <c r="B773" s="2"/>
      <c r="C773" s="2"/>
      <c r="D773" s="2"/>
    </row>
    <row r="774" spans="1:4" ht="17.25" customHeight="1">
      <c r="A774" s="2"/>
      <c r="B774" s="2"/>
      <c r="C774" s="2"/>
      <c r="D774" s="2"/>
    </row>
    <row r="775" spans="1:4" ht="17.25" customHeight="1">
      <c r="A775" s="2"/>
      <c r="B775" s="2"/>
      <c r="C775" s="2"/>
      <c r="D775" s="2"/>
    </row>
    <row r="776" spans="1:4" ht="17.25" customHeight="1">
      <c r="A776" s="2"/>
      <c r="B776" s="2"/>
      <c r="C776" s="2"/>
      <c r="D776" s="2"/>
    </row>
    <row r="777" spans="1:4" ht="17.25" customHeight="1">
      <c r="A777" s="2"/>
      <c r="B777" s="2"/>
      <c r="C777" s="2"/>
      <c r="D777" s="2"/>
    </row>
    <row r="778" spans="1:4" ht="17.25" customHeight="1">
      <c r="A778" s="2"/>
      <c r="B778" s="2"/>
      <c r="C778" s="2"/>
      <c r="D778" s="2"/>
    </row>
    <row r="779" spans="1:4" ht="17.25" customHeight="1">
      <c r="A779" s="2"/>
      <c r="B779" s="2"/>
      <c r="C779" s="2"/>
      <c r="D779" s="2"/>
    </row>
    <row r="780" spans="1:4" ht="17.25" customHeight="1">
      <c r="A780" s="2"/>
      <c r="B780" s="2"/>
      <c r="C780" s="2"/>
      <c r="D780" s="2"/>
    </row>
    <row r="781" spans="1:4" ht="17.25" customHeight="1">
      <c r="A781" s="2"/>
      <c r="B781" s="2"/>
      <c r="C781" s="2"/>
      <c r="D781" s="2"/>
    </row>
    <row r="782" spans="1:4" ht="17.25" customHeight="1">
      <c r="A782" s="2"/>
      <c r="B782" s="2"/>
      <c r="C782" s="2"/>
      <c r="D782" s="2"/>
    </row>
    <row r="783" spans="1:4" ht="17.25" customHeight="1">
      <c r="A783" s="2"/>
      <c r="B783" s="2"/>
      <c r="C783" s="2"/>
      <c r="D783" s="2"/>
    </row>
    <row r="784" spans="1:4" ht="17.25" customHeight="1">
      <c r="A784" s="2"/>
      <c r="B784" s="2"/>
      <c r="C784" s="2"/>
      <c r="D784" s="2"/>
    </row>
    <row r="785" spans="1:4" ht="17.25" customHeight="1">
      <c r="A785" s="2"/>
      <c r="B785" s="2"/>
      <c r="C785" s="2"/>
      <c r="D785" s="2"/>
    </row>
    <row r="786" spans="1:4" ht="17.25" customHeight="1">
      <c r="A786" s="2"/>
      <c r="B786" s="2"/>
      <c r="C786" s="2"/>
      <c r="D786" s="2"/>
    </row>
    <row r="787" spans="1:4" ht="17.25" customHeight="1">
      <c r="A787" s="2"/>
      <c r="B787" s="2"/>
      <c r="C787" s="2"/>
      <c r="D787" s="2"/>
    </row>
    <row r="788" spans="1:4" ht="17.25" customHeight="1">
      <c r="A788" s="2"/>
      <c r="B788" s="2"/>
      <c r="C788" s="2"/>
      <c r="D788" s="2"/>
    </row>
    <row r="789" spans="1:4" ht="17.25" customHeight="1">
      <c r="A789" s="2"/>
      <c r="B789" s="2"/>
      <c r="C789" s="2"/>
      <c r="D789" s="2"/>
    </row>
    <row r="790" spans="1:4" ht="17.25" customHeight="1">
      <c r="A790" s="2"/>
      <c r="B790" s="2"/>
      <c r="C790" s="2"/>
      <c r="D790" s="2"/>
    </row>
    <row r="791" spans="1:4" ht="17.25" customHeight="1">
      <c r="A791" s="2"/>
      <c r="B791" s="2"/>
      <c r="C791" s="2"/>
      <c r="D791" s="2"/>
    </row>
    <row r="792" spans="1:4" ht="17.25" customHeight="1">
      <c r="A792" s="2"/>
      <c r="B792" s="2"/>
      <c r="C792" s="2"/>
      <c r="D792" s="2"/>
    </row>
    <row r="793" spans="1:4" ht="17.25" customHeight="1">
      <c r="A793" s="2"/>
      <c r="B793" s="2"/>
      <c r="C793" s="2"/>
      <c r="D793" s="2"/>
    </row>
    <row r="794" spans="1:4" ht="17.25" customHeight="1">
      <c r="A794" s="2"/>
      <c r="B794" s="2"/>
      <c r="C794" s="2"/>
      <c r="D794" s="2"/>
    </row>
    <row r="795" spans="1:4" ht="17.25" customHeight="1">
      <c r="A795" s="2"/>
      <c r="B795" s="2"/>
      <c r="C795" s="2"/>
      <c r="D795" s="2"/>
    </row>
    <row r="796" spans="1:4" ht="17.25" customHeight="1">
      <c r="A796" s="2"/>
      <c r="B796" s="2"/>
      <c r="C796" s="2"/>
      <c r="D796" s="2"/>
    </row>
    <row r="797" spans="1:4" ht="17.25" customHeight="1">
      <c r="A797" s="2"/>
      <c r="B797" s="2"/>
      <c r="C797" s="2"/>
      <c r="D797" s="2"/>
    </row>
    <row r="798" spans="1:4" ht="17.25" customHeight="1">
      <c r="A798" s="2"/>
      <c r="B798" s="2"/>
      <c r="C798" s="2"/>
      <c r="D798" s="2"/>
    </row>
    <row r="799" spans="1:4" ht="17.25" customHeight="1">
      <c r="A799" s="2"/>
      <c r="B799" s="2"/>
      <c r="C799" s="2"/>
      <c r="D799" s="2"/>
    </row>
    <row r="800" spans="1:4" ht="17.25" customHeight="1">
      <c r="A800" s="2"/>
      <c r="B800" s="2"/>
      <c r="C800" s="2"/>
      <c r="D800" s="2"/>
    </row>
    <row r="801" spans="1:4" ht="17.25" customHeight="1">
      <c r="A801" s="2"/>
      <c r="B801" s="2"/>
      <c r="C801" s="2"/>
      <c r="D801" s="2"/>
    </row>
    <row r="802" spans="1:4" ht="17.25" customHeight="1">
      <c r="A802" s="2"/>
      <c r="B802" s="2"/>
      <c r="C802" s="2"/>
      <c r="D802" s="2"/>
    </row>
    <row r="803" spans="1:4" ht="17.25" customHeight="1">
      <c r="A803" s="2"/>
      <c r="B803" s="2"/>
      <c r="C803" s="2"/>
      <c r="D803" s="2"/>
    </row>
    <row r="804" spans="1:4" ht="17.25" customHeight="1">
      <c r="A804" s="2"/>
      <c r="B804" s="2"/>
      <c r="C804" s="2"/>
      <c r="D804" s="2"/>
    </row>
    <row r="805" spans="1:4" ht="17.25" customHeight="1">
      <c r="A805" s="2"/>
      <c r="B805" s="2"/>
      <c r="C805" s="2"/>
      <c r="D805" s="2"/>
    </row>
    <row r="806" spans="1:4" ht="17.25" customHeight="1">
      <c r="A806" s="2"/>
      <c r="B806" s="2"/>
      <c r="C806" s="2"/>
      <c r="D806" s="2"/>
    </row>
    <row r="807" spans="1:4" ht="17.25" customHeight="1">
      <c r="A807" s="2"/>
      <c r="B807" s="2"/>
      <c r="C807" s="2"/>
      <c r="D807" s="2"/>
    </row>
    <row r="808" spans="1:4" ht="17.25" customHeight="1">
      <c r="A808" s="2"/>
      <c r="B808" s="2"/>
      <c r="C808" s="2"/>
      <c r="D808" s="2"/>
    </row>
    <row r="809" spans="1:4" ht="17.25" customHeight="1">
      <c r="A809" s="2"/>
      <c r="B809" s="2"/>
      <c r="C809" s="2"/>
      <c r="D809" s="2"/>
    </row>
    <row r="810" spans="1:4" ht="17.25" customHeight="1">
      <c r="A810" s="2"/>
      <c r="B810" s="2"/>
      <c r="C810" s="2"/>
      <c r="D810" s="2"/>
    </row>
    <row r="811" spans="1:4" ht="17.25" customHeight="1">
      <c r="A811" s="2"/>
      <c r="B811" s="2"/>
      <c r="C811" s="2"/>
      <c r="D811" s="2"/>
    </row>
    <row r="812" spans="1:4" ht="17.25" customHeight="1">
      <c r="A812" s="2"/>
      <c r="B812" s="2"/>
      <c r="C812" s="2"/>
      <c r="D812" s="2"/>
    </row>
    <row r="813" spans="1:4" ht="17.25" customHeight="1">
      <c r="A813" s="2"/>
      <c r="B813" s="2"/>
      <c r="C813" s="2"/>
      <c r="D813" s="2"/>
    </row>
    <row r="814" spans="1:4" ht="17.25" customHeight="1">
      <c r="A814" s="2"/>
      <c r="B814" s="2"/>
      <c r="C814" s="2"/>
      <c r="D814" s="2"/>
    </row>
    <row r="815" spans="1:4" ht="17.25" customHeight="1">
      <c r="A815" s="2"/>
      <c r="B815" s="2"/>
      <c r="C815" s="2"/>
      <c r="D815" s="2"/>
    </row>
    <row r="816" spans="1:4" ht="17.25" customHeight="1">
      <c r="A816" s="2"/>
      <c r="B816" s="2"/>
      <c r="C816" s="2"/>
      <c r="D816" s="2"/>
    </row>
    <row r="817" spans="1:4" ht="17.25" customHeight="1">
      <c r="A817" s="2"/>
      <c r="B817" s="2"/>
      <c r="C817" s="2"/>
      <c r="D817" s="2"/>
    </row>
    <row r="818" spans="1:4" ht="17.25" customHeight="1">
      <c r="A818" s="2"/>
      <c r="B818" s="2"/>
      <c r="C818" s="2"/>
      <c r="D818" s="2"/>
    </row>
    <row r="819" spans="1:4" ht="17.25" customHeight="1">
      <c r="A819" s="2"/>
      <c r="B819" s="2"/>
      <c r="C819" s="2"/>
      <c r="D819" s="2"/>
    </row>
    <row r="820" spans="1:4" ht="17.25" customHeight="1">
      <c r="A820" s="2"/>
      <c r="B820" s="2"/>
      <c r="C820" s="2"/>
      <c r="D820" s="2"/>
    </row>
    <row r="821" spans="1:4" ht="17.25" customHeight="1">
      <c r="A821" s="2"/>
      <c r="B821" s="2"/>
      <c r="C821" s="2"/>
      <c r="D821" s="2"/>
    </row>
    <row r="822" spans="1:4" ht="17.25" customHeight="1">
      <c r="A822" s="2"/>
      <c r="B822" s="2"/>
      <c r="C822" s="2"/>
      <c r="D822" s="2"/>
    </row>
    <row r="823" spans="1:4" ht="17.25" customHeight="1">
      <c r="A823" s="2"/>
      <c r="B823" s="2"/>
      <c r="C823" s="2"/>
      <c r="D823" s="2"/>
    </row>
    <row r="824" spans="1:4" ht="17.25" customHeight="1">
      <c r="A824" s="2"/>
      <c r="B824" s="2"/>
      <c r="C824" s="2"/>
      <c r="D824" s="2"/>
    </row>
    <row r="825" spans="1:4" ht="17.25" customHeight="1">
      <c r="A825" s="2"/>
      <c r="B825" s="2"/>
      <c r="C825" s="2"/>
      <c r="D825" s="2"/>
    </row>
    <row r="826" spans="1:4" ht="17.25" customHeight="1">
      <c r="A826" s="2"/>
      <c r="B826" s="2"/>
      <c r="C826" s="2"/>
      <c r="D826" s="2"/>
    </row>
    <row r="827" spans="1:4" ht="17.25" customHeight="1">
      <c r="A827" s="2"/>
      <c r="B827" s="2"/>
      <c r="C827" s="2"/>
      <c r="D827" s="2"/>
    </row>
    <row r="828" spans="1:4" ht="17.25" customHeight="1">
      <c r="A828" s="2"/>
      <c r="B828" s="2"/>
      <c r="C828" s="2"/>
      <c r="D828" s="2"/>
    </row>
    <row r="829" spans="1:4" ht="17.25" customHeight="1">
      <c r="A829" s="2"/>
      <c r="B829" s="2"/>
      <c r="C829" s="2"/>
      <c r="D829" s="2"/>
    </row>
    <row r="830" spans="1:4" ht="17.25" customHeight="1">
      <c r="A830" s="2"/>
      <c r="B830" s="2"/>
      <c r="C830" s="2"/>
      <c r="D830" s="2"/>
    </row>
    <row r="831" spans="1:4" ht="17.25" customHeight="1">
      <c r="A831" s="2"/>
      <c r="B831" s="2"/>
      <c r="C831" s="2"/>
      <c r="D831" s="2"/>
    </row>
    <row r="832" spans="1:4" ht="17.25" customHeight="1">
      <c r="A832" s="2"/>
      <c r="B832" s="2"/>
      <c r="C832" s="2"/>
      <c r="D832" s="2"/>
    </row>
    <row r="833" spans="1:4" ht="17.25" customHeight="1">
      <c r="A833" s="2"/>
      <c r="B833" s="2"/>
      <c r="C833" s="2"/>
      <c r="D833" s="2"/>
    </row>
    <row r="834" spans="1:4" ht="17.25" customHeight="1">
      <c r="A834" s="2"/>
      <c r="B834" s="2"/>
      <c r="C834" s="2"/>
      <c r="D834" s="2"/>
    </row>
    <row r="835" spans="1:4" ht="17.25" customHeight="1">
      <c r="A835" s="2"/>
      <c r="B835" s="2"/>
      <c r="C835" s="2"/>
      <c r="D835" s="2"/>
    </row>
    <row r="836" spans="1:4" ht="17.25" customHeight="1">
      <c r="A836" s="2"/>
      <c r="B836" s="2"/>
      <c r="C836" s="2"/>
      <c r="D836" s="2"/>
    </row>
    <row r="837" spans="1:4" ht="17.25" customHeight="1">
      <c r="A837" s="2"/>
      <c r="B837" s="2"/>
      <c r="C837" s="2"/>
      <c r="D837" s="2"/>
    </row>
    <row r="838" spans="1:4" ht="17.25" customHeight="1">
      <c r="A838" s="2"/>
      <c r="B838" s="2"/>
      <c r="C838" s="2"/>
      <c r="D838" s="2"/>
    </row>
    <row r="839" spans="1:4" ht="17.25" customHeight="1">
      <c r="A839" s="2"/>
      <c r="B839" s="2"/>
      <c r="C839" s="2"/>
      <c r="D839" s="2"/>
    </row>
    <row r="840" spans="1:4" ht="17.25" customHeight="1">
      <c r="A840" s="2"/>
      <c r="B840" s="2"/>
      <c r="C840" s="2"/>
      <c r="D840" s="2"/>
    </row>
    <row r="841" spans="1:4" ht="17.25" customHeight="1">
      <c r="A841" s="2"/>
      <c r="B841" s="2"/>
      <c r="C841" s="2"/>
      <c r="D841" s="2"/>
    </row>
    <row r="842" spans="1:4" ht="17.25" customHeight="1">
      <c r="A842" s="2"/>
      <c r="B842" s="2"/>
      <c r="C842" s="2"/>
      <c r="D842" s="2"/>
    </row>
    <row r="843" spans="1:4" ht="17.25" customHeight="1">
      <c r="A843" s="2"/>
      <c r="B843" s="2"/>
      <c r="C843" s="2"/>
      <c r="D843" s="2"/>
    </row>
    <row r="844" spans="1:4" ht="17.25" customHeight="1">
      <c r="A844" s="2"/>
      <c r="B844" s="2"/>
      <c r="C844" s="2"/>
      <c r="D844" s="2"/>
    </row>
    <row r="845" spans="1:4" ht="17.25" customHeight="1">
      <c r="A845" s="2"/>
      <c r="B845" s="2"/>
      <c r="C845" s="2"/>
      <c r="D845" s="2"/>
    </row>
    <row r="846" spans="1:4" ht="17.25" customHeight="1">
      <c r="A846" s="2"/>
      <c r="B846" s="2"/>
      <c r="C846" s="2"/>
      <c r="D846" s="2"/>
    </row>
    <row r="847" spans="1:4" ht="17.25" customHeight="1">
      <c r="A847" s="2"/>
      <c r="B847" s="2"/>
      <c r="C847" s="2"/>
      <c r="D847" s="2"/>
    </row>
    <row r="848" spans="1:4" ht="17.25" customHeight="1">
      <c r="A848" s="2"/>
      <c r="B848" s="2"/>
      <c r="C848" s="2"/>
      <c r="D848" s="2"/>
    </row>
    <row r="849" spans="1:4" ht="17.25" customHeight="1">
      <c r="A849" s="2"/>
      <c r="B849" s="2"/>
      <c r="C849" s="2"/>
      <c r="D849" s="2"/>
    </row>
    <row r="850" spans="1:4" ht="17.25" customHeight="1">
      <c r="A850" s="2"/>
      <c r="B850" s="2"/>
      <c r="C850" s="2"/>
      <c r="D850" s="2"/>
    </row>
    <row r="851" spans="1:4" ht="17.25" customHeight="1">
      <c r="A851" s="2"/>
      <c r="B851" s="2"/>
      <c r="C851" s="2"/>
      <c r="D851" s="2"/>
    </row>
    <row r="852" spans="1:4" ht="17.25" customHeight="1">
      <c r="A852" s="2"/>
      <c r="B852" s="2"/>
      <c r="C852" s="2"/>
      <c r="D852" s="2"/>
    </row>
    <row r="853" spans="1:4" ht="17.25" customHeight="1">
      <c r="A853" s="2"/>
      <c r="B853" s="2"/>
      <c r="C853" s="2"/>
      <c r="D853" s="2"/>
    </row>
    <row r="854" spans="1:4" ht="17.25" customHeight="1">
      <c r="A854" s="2"/>
      <c r="B854" s="2"/>
      <c r="C854" s="2"/>
      <c r="D854" s="2"/>
    </row>
    <row r="855" spans="1:4" ht="17.25" customHeight="1">
      <c r="A855" s="2"/>
      <c r="B855" s="2"/>
      <c r="C855" s="2"/>
      <c r="D855" s="2"/>
    </row>
    <row r="856" spans="1:4" ht="17.25" customHeight="1">
      <c r="A856" s="2"/>
      <c r="B856" s="2"/>
      <c r="C856" s="2"/>
      <c r="D856" s="2"/>
    </row>
    <row r="857" spans="1:4" ht="17.25" customHeight="1">
      <c r="A857" s="2"/>
      <c r="B857" s="2"/>
      <c r="C857" s="2"/>
      <c r="D857" s="2"/>
    </row>
    <row r="858" spans="1:4" ht="17.25" customHeight="1">
      <c r="A858" s="2"/>
      <c r="B858" s="2"/>
      <c r="C858" s="2"/>
      <c r="D858" s="2"/>
    </row>
    <row r="859" spans="1:4" ht="17.25" customHeight="1">
      <c r="A859" s="2"/>
      <c r="B859" s="2"/>
      <c r="C859" s="2"/>
      <c r="D859" s="2"/>
    </row>
    <row r="860" spans="1:4" ht="17.25" customHeight="1">
      <c r="A860" s="2"/>
      <c r="B860" s="2"/>
      <c r="C860" s="2"/>
      <c r="D860" s="2"/>
    </row>
    <row r="861" spans="1:4" ht="17.25" customHeight="1">
      <c r="A861" s="2"/>
      <c r="B861" s="2"/>
      <c r="C861" s="2"/>
      <c r="D861" s="2"/>
    </row>
    <row r="862" spans="1:4" ht="17.25" customHeight="1">
      <c r="A862" s="2"/>
      <c r="B862" s="2"/>
      <c r="C862" s="2"/>
      <c r="D862" s="2"/>
    </row>
    <row r="863" spans="1:4" ht="17.25" customHeight="1">
      <c r="A863" s="2"/>
      <c r="B863" s="2"/>
      <c r="C863" s="2"/>
      <c r="D863" s="2"/>
    </row>
    <row r="864" spans="1:4" ht="17.25" customHeight="1">
      <c r="A864" s="2"/>
      <c r="B864" s="2"/>
      <c r="C864" s="2"/>
      <c r="D864" s="2"/>
    </row>
    <row r="865" spans="1:4" ht="17.25" customHeight="1">
      <c r="A865" s="2"/>
      <c r="B865" s="2"/>
      <c r="C865" s="2"/>
      <c r="D865" s="2"/>
    </row>
    <row r="866" spans="1:4" ht="17.25" customHeight="1">
      <c r="A866" s="2"/>
      <c r="B866" s="2"/>
      <c r="C866" s="2"/>
      <c r="D866" s="2"/>
    </row>
    <row r="867" spans="1:4" ht="17.25" customHeight="1">
      <c r="A867" s="2"/>
      <c r="B867" s="2"/>
      <c r="C867" s="2"/>
      <c r="D867" s="2"/>
    </row>
    <row r="868" spans="1:4" ht="17.25" customHeight="1">
      <c r="A868" s="2"/>
      <c r="B868" s="2"/>
      <c r="C868" s="2"/>
      <c r="D868" s="2"/>
    </row>
    <row r="869" spans="1:4" ht="17.25" customHeight="1">
      <c r="A869" s="2"/>
      <c r="B869" s="2"/>
      <c r="C869" s="2"/>
      <c r="D869" s="2"/>
    </row>
    <row r="870" spans="1:4" ht="17.25" customHeight="1">
      <c r="A870" s="2"/>
      <c r="B870" s="2"/>
      <c r="C870" s="2"/>
      <c r="D870" s="2"/>
    </row>
    <row r="871" spans="1:4" ht="17.25" customHeight="1">
      <c r="A871" s="2"/>
      <c r="B871" s="2"/>
      <c r="C871" s="2"/>
      <c r="D871" s="2"/>
    </row>
    <row r="872" spans="1:4" ht="17.25" customHeight="1">
      <c r="A872" s="2"/>
      <c r="B872" s="2"/>
      <c r="C872" s="2"/>
      <c r="D872" s="2"/>
    </row>
    <row r="873" spans="1:4" ht="17.25" customHeight="1">
      <c r="A873" s="2"/>
      <c r="B873" s="2"/>
      <c r="C873" s="2"/>
      <c r="D873" s="2"/>
    </row>
    <row r="874" spans="1:4" ht="17.25" customHeight="1">
      <c r="A874" s="2"/>
      <c r="B874" s="2"/>
      <c r="C874" s="2"/>
      <c r="D874" s="2"/>
    </row>
    <row r="875" spans="1:4" ht="17.25" customHeight="1">
      <c r="A875" s="2"/>
      <c r="B875" s="2"/>
      <c r="C875" s="2"/>
      <c r="D875" s="2"/>
    </row>
    <row r="876" spans="1:4" ht="17.25" customHeight="1">
      <c r="A876" s="2"/>
      <c r="B876" s="2"/>
      <c r="C876" s="2"/>
      <c r="D876" s="2"/>
    </row>
    <row r="877" spans="1:4" ht="17.25" customHeight="1">
      <c r="A877" s="2"/>
      <c r="B877" s="2"/>
      <c r="C877" s="2"/>
      <c r="D877" s="2"/>
    </row>
    <row r="878" spans="1:4" ht="17.25" customHeight="1">
      <c r="A878" s="2"/>
      <c r="B878" s="2"/>
      <c r="C878" s="2"/>
      <c r="D878" s="2"/>
    </row>
    <row r="879" spans="1:4" ht="17.25" customHeight="1">
      <c r="A879" s="2"/>
      <c r="B879" s="2"/>
      <c r="C879" s="2"/>
      <c r="D879" s="2"/>
    </row>
    <row r="880" spans="1:4" ht="17.25" customHeight="1">
      <c r="A880" s="2"/>
      <c r="B880" s="2"/>
      <c r="C880" s="2"/>
      <c r="D880" s="2"/>
    </row>
    <row r="881" spans="1:4" ht="17.25" customHeight="1">
      <c r="A881" s="2"/>
      <c r="B881" s="2"/>
      <c r="C881" s="2"/>
      <c r="D881" s="2"/>
    </row>
    <row r="882" spans="1:4" ht="17.25" customHeight="1">
      <c r="A882" s="2"/>
      <c r="B882" s="2"/>
      <c r="C882" s="2"/>
      <c r="D882" s="2"/>
    </row>
    <row r="883" spans="1:4" ht="17.25" customHeight="1">
      <c r="A883" s="2"/>
      <c r="B883" s="2"/>
      <c r="C883" s="2"/>
      <c r="D883" s="2"/>
    </row>
    <row r="884" spans="1:4" ht="17.25" customHeight="1">
      <c r="A884" s="2"/>
      <c r="B884" s="2"/>
      <c r="C884" s="2"/>
      <c r="D884" s="2"/>
    </row>
    <row r="885" spans="1:4" ht="17.25" customHeight="1">
      <c r="A885" s="2"/>
      <c r="B885" s="2"/>
      <c r="C885" s="2"/>
      <c r="D885" s="2"/>
    </row>
    <row r="886" spans="1:4" ht="17.25" customHeight="1">
      <c r="A886" s="2"/>
      <c r="B886" s="2"/>
      <c r="C886" s="2"/>
      <c r="D886" s="2"/>
    </row>
    <row r="887" spans="1:4" ht="17.25" customHeight="1">
      <c r="A887" s="2"/>
      <c r="B887" s="2"/>
      <c r="C887" s="2"/>
      <c r="D887" s="2"/>
    </row>
    <row r="888" spans="1:4" ht="17.25" customHeight="1">
      <c r="A888" s="2"/>
      <c r="B888" s="2"/>
      <c r="C888" s="2"/>
      <c r="D888" s="2"/>
    </row>
    <row r="889" spans="1:4" ht="17.25" customHeight="1">
      <c r="A889" s="2"/>
      <c r="B889" s="2"/>
      <c r="C889" s="2"/>
      <c r="D889" s="2"/>
    </row>
    <row r="890" spans="1:4" ht="17.25" customHeight="1">
      <c r="A890" s="2"/>
      <c r="B890" s="2"/>
      <c r="C890" s="2"/>
      <c r="D890" s="2"/>
    </row>
    <row r="891" spans="1:4" ht="17.25" customHeight="1">
      <c r="A891" s="2"/>
      <c r="B891" s="2"/>
      <c r="C891" s="2"/>
      <c r="D891" s="2"/>
    </row>
    <row r="892" spans="1:4" ht="17.25" customHeight="1">
      <c r="A892" s="2"/>
      <c r="B892" s="2"/>
      <c r="C892" s="2"/>
      <c r="D892" s="2"/>
    </row>
    <row r="893" spans="1:4" ht="17.25" customHeight="1">
      <c r="A893" s="2"/>
      <c r="B893" s="2"/>
      <c r="C893" s="2"/>
      <c r="D893" s="2"/>
    </row>
    <row r="894" spans="1:4" ht="17.25" customHeight="1">
      <c r="A894" s="2"/>
      <c r="B894" s="2"/>
      <c r="C894" s="2"/>
      <c r="D894" s="2"/>
    </row>
    <row r="895" spans="1:4" ht="17.25" customHeight="1">
      <c r="A895" s="2"/>
      <c r="B895" s="2"/>
      <c r="C895" s="2"/>
      <c r="D895" s="2"/>
    </row>
    <row r="896" spans="1:4" ht="17.25" customHeight="1">
      <c r="A896" s="2"/>
      <c r="B896" s="2"/>
      <c r="C896" s="2"/>
      <c r="D896" s="2"/>
    </row>
    <row r="897" spans="1:4" ht="17.25" customHeight="1">
      <c r="A897" s="2"/>
      <c r="B897" s="2"/>
      <c r="C897" s="2"/>
      <c r="D897" s="2"/>
    </row>
    <row r="898" spans="1:4" ht="17.25" customHeight="1">
      <c r="A898" s="2"/>
      <c r="B898" s="2"/>
      <c r="C898" s="2"/>
      <c r="D898" s="2"/>
    </row>
    <row r="899" spans="1:4" ht="17.25" customHeight="1">
      <c r="A899" s="2"/>
      <c r="B899" s="2"/>
      <c r="C899" s="2"/>
      <c r="D899" s="2"/>
    </row>
    <row r="900" spans="1:4" ht="17.25" customHeight="1">
      <c r="A900" s="2"/>
      <c r="B900" s="2"/>
      <c r="C900" s="2"/>
      <c r="D900" s="2"/>
    </row>
    <row r="901" spans="1:4" ht="17.25" customHeight="1">
      <c r="A901" s="2"/>
      <c r="B901" s="2"/>
      <c r="C901" s="2"/>
      <c r="D901" s="2"/>
    </row>
    <row r="902" spans="1:4" ht="17.25" customHeight="1">
      <c r="A902" s="2"/>
      <c r="B902" s="2"/>
      <c r="C902" s="2"/>
      <c r="D902" s="2"/>
    </row>
    <row r="903" spans="1:4" ht="17.25" customHeight="1">
      <c r="A903" s="2"/>
      <c r="B903" s="2"/>
      <c r="C903" s="2"/>
      <c r="D903" s="2"/>
    </row>
    <row r="904" spans="1:4" ht="17.25" customHeight="1">
      <c r="A904" s="2"/>
      <c r="B904" s="2"/>
      <c r="C904" s="2"/>
      <c r="D904" s="2"/>
    </row>
    <row r="905" spans="1:4" ht="17.25" customHeight="1">
      <c r="A905" s="2"/>
      <c r="B905" s="2"/>
      <c r="C905" s="2"/>
      <c r="D905" s="2"/>
    </row>
    <row r="906" spans="1:4" ht="17.25" customHeight="1">
      <c r="A906" s="2"/>
      <c r="B906" s="2"/>
      <c r="C906" s="2"/>
      <c r="D906" s="2"/>
    </row>
    <row r="907" spans="1:4" ht="17.25" customHeight="1">
      <c r="A907" s="2"/>
      <c r="B907" s="2"/>
      <c r="C907" s="2"/>
      <c r="D907" s="2"/>
    </row>
    <row r="908" spans="1:4" ht="17.25" customHeight="1">
      <c r="A908" s="2"/>
      <c r="B908" s="2"/>
      <c r="C908" s="2"/>
      <c r="D908" s="2"/>
    </row>
    <row r="909" spans="1:4" ht="17.25" customHeight="1">
      <c r="A909" s="2"/>
      <c r="B909" s="2"/>
      <c r="C909" s="2"/>
      <c r="D909" s="2"/>
    </row>
    <row r="910" spans="1:4" ht="17.25" customHeight="1">
      <c r="A910" s="2"/>
      <c r="B910" s="2"/>
      <c r="C910" s="2"/>
      <c r="D910" s="2"/>
    </row>
    <row r="911" spans="1:4" ht="17.25" customHeight="1">
      <c r="A911" s="2"/>
      <c r="B911" s="2"/>
      <c r="C911" s="2"/>
      <c r="D911" s="2"/>
    </row>
    <row r="912" spans="1:4" ht="17.25" customHeight="1">
      <c r="A912" s="2"/>
      <c r="B912" s="2"/>
      <c r="C912" s="2"/>
      <c r="D912" s="2"/>
    </row>
    <row r="913" spans="1:4" ht="17.25" customHeight="1">
      <c r="A913" s="2"/>
      <c r="B913" s="2"/>
      <c r="C913" s="2"/>
      <c r="D913" s="2"/>
    </row>
    <row r="914" spans="1:4" ht="17.25" customHeight="1">
      <c r="A914" s="2"/>
      <c r="B914" s="2"/>
      <c r="C914" s="2"/>
      <c r="D914" s="2"/>
    </row>
    <row r="915" spans="1:4" ht="17.25" customHeight="1">
      <c r="A915" s="2"/>
      <c r="B915" s="2"/>
      <c r="C915" s="2"/>
      <c r="D915" s="2"/>
    </row>
    <row r="916" spans="1:4" ht="17.25" customHeight="1">
      <c r="A916" s="2"/>
      <c r="B916" s="2"/>
      <c r="C916" s="2"/>
      <c r="D916" s="2"/>
    </row>
    <row r="917" spans="1:4" ht="17.25" customHeight="1">
      <c r="A917" s="2"/>
      <c r="B917" s="2"/>
      <c r="C917" s="2"/>
      <c r="D917" s="2"/>
    </row>
    <row r="918" spans="1:4" ht="17.25" customHeight="1">
      <c r="A918" s="2"/>
      <c r="B918" s="2"/>
      <c r="C918" s="2"/>
      <c r="D918" s="2"/>
    </row>
    <row r="919" spans="1:4" ht="17.25" customHeight="1">
      <c r="A919" s="2"/>
      <c r="B919" s="2"/>
      <c r="C919" s="2"/>
      <c r="D919" s="2"/>
    </row>
    <row r="920" spans="1:4" ht="17.25" customHeight="1">
      <c r="A920" s="2"/>
      <c r="B920" s="2"/>
      <c r="C920" s="2"/>
      <c r="D920" s="2"/>
    </row>
    <row r="921" spans="1:4" ht="17.25" customHeight="1">
      <c r="A921" s="2"/>
      <c r="B921" s="2"/>
      <c r="C921" s="2"/>
      <c r="D921" s="2"/>
    </row>
    <row r="922" spans="1:4" ht="17.25" customHeight="1">
      <c r="A922" s="2"/>
      <c r="B922" s="2"/>
      <c r="C922" s="2"/>
      <c r="D922" s="2"/>
    </row>
    <row r="923" spans="1:4" ht="17.25" customHeight="1">
      <c r="A923" s="2"/>
      <c r="B923" s="2"/>
      <c r="C923" s="2"/>
      <c r="D923" s="2"/>
    </row>
    <row r="924" spans="1:4" ht="17.25" customHeight="1">
      <c r="A924" s="2"/>
      <c r="B924" s="2"/>
      <c r="C924" s="2"/>
      <c r="D924" s="2"/>
    </row>
    <row r="925" spans="1:4" ht="17.25" customHeight="1">
      <c r="A925" s="2"/>
      <c r="B925" s="2"/>
      <c r="C925" s="2"/>
      <c r="D925" s="2"/>
    </row>
    <row r="926" spans="1:4" ht="17.25" customHeight="1">
      <c r="A926" s="2"/>
      <c r="B926" s="2"/>
      <c r="C926" s="2"/>
      <c r="D926" s="2"/>
    </row>
    <row r="927" spans="1:4" ht="17.25" customHeight="1">
      <c r="A927" s="2"/>
      <c r="B927" s="2"/>
      <c r="C927" s="2"/>
      <c r="D927" s="2"/>
    </row>
    <row r="928" spans="1:4" ht="17.25" customHeight="1">
      <c r="A928" s="2"/>
      <c r="B928" s="2"/>
      <c r="C928" s="2"/>
      <c r="D928" s="2"/>
    </row>
    <row r="929" spans="1:4" ht="17.25" customHeight="1">
      <c r="A929" s="2"/>
      <c r="B929" s="2"/>
      <c r="C929" s="2"/>
      <c r="D929" s="2"/>
    </row>
    <row r="930" spans="1:4" ht="17.25" customHeight="1">
      <c r="A930" s="2"/>
      <c r="B930" s="2"/>
      <c r="C930" s="2"/>
      <c r="D930" s="2"/>
    </row>
    <row r="931" spans="1:4" ht="17.25" customHeight="1">
      <c r="A931" s="2"/>
      <c r="B931" s="2"/>
      <c r="C931" s="2"/>
      <c r="D931" s="2"/>
    </row>
    <row r="932" spans="1:4" ht="17.25" customHeight="1">
      <c r="A932" s="2"/>
      <c r="B932" s="2"/>
      <c r="C932" s="2"/>
      <c r="D932" s="2"/>
    </row>
    <row r="933" spans="1:4" ht="17.25" customHeight="1">
      <c r="A933" s="2"/>
      <c r="B933" s="2"/>
      <c r="C933" s="2"/>
      <c r="D933" s="2"/>
    </row>
    <row r="934" spans="1:4" ht="17.25" customHeight="1">
      <c r="A934" s="2"/>
      <c r="B934" s="2"/>
      <c r="C934" s="2"/>
      <c r="D934" s="2"/>
    </row>
    <row r="935" spans="1:4" ht="17.25" customHeight="1">
      <c r="A935" s="2"/>
      <c r="B935" s="2"/>
      <c r="C935" s="2"/>
      <c r="D935" s="2"/>
    </row>
    <row r="936" spans="1:4" ht="17.25" customHeight="1">
      <c r="A936" s="2"/>
      <c r="B936" s="2"/>
      <c r="C936" s="2"/>
      <c r="D936" s="2"/>
    </row>
    <row r="937" spans="1:4" ht="17.25" customHeight="1">
      <c r="A937" s="2"/>
      <c r="B937" s="2"/>
      <c r="C937" s="2"/>
      <c r="D937" s="2"/>
    </row>
    <row r="938" spans="1:4" ht="17.25" customHeight="1">
      <c r="A938" s="2"/>
      <c r="B938" s="2"/>
      <c r="C938" s="2"/>
      <c r="D938" s="2"/>
    </row>
    <row r="939" spans="1:4" ht="17.25" customHeight="1">
      <c r="A939" s="2"/>
      <c r="B939" s="2"/>
      <c r="C939" s="2"/>
      <c r="D939" s="2"/>
    </row>
    <row r="940" spans="1:4" ht="17.25" customHeight="1">
      <c r="A940" s="2"/>
      <c r="B940" s="2"/>
      <c r="C940" s="2"/>
      <c r="D940" s="2"/>
    </row>
    <row r="941" spans="1:4" ht="17.25" customHeight="1">
      <c r="A941" s="2"/>
      <c r="B941" s="2"/>
      <c r="C941" s="2"/>
      <c r="D941" s="2"/>
    </row>
    <row r="942" spans="1:4" ht="17.25" customHeight="1">
      <c r="A942" s="2"/>
      <c r="B942" s="2"/>
      <c r="C942" s="2"/>
      <c r="D942" s="2"/>
    </row>
    <row r="943" spans="1:4" ht="17.25" customHeight="1">
      <c r="A943" s="2"/>
      <c r="B943" s="2"/>
      <c r="C943" s="2"/>
      <c r="D943" s="2"/>
    </row>
    <row r="944" spans="1:4" ht="17.25" customHeight="1">
      <c r="A944" s="2"/>
      <c r="B944" s="2"/>
      <c r="C944" s="2"/>
      <c r="D944" s="2"/>
    </row>
    <row r="945" spans="1:4" ht="17.25" customHeight="1">
      <c r="A945" s="2"/>
      <c r="B945" s="2"/>
      <c r="C945" s="2"/>
      <c r="D945" s="2"/>
    </row>
    <row r="946" spans="1:4" ht="17.25" customHeight="1">
      <c r="A946" s="2"/>
      <c r="B946" s="2"/>
      <c r="C946" s="2"/>
      <c r="D946" s="2"/>
    </row>
    <row r="947" spans="1:4" ht="17.25" customHeight="1">
      <c r="A947" s="2"/>
      <c r="B947" s="2"/>
      <c r="C947" s="2"/>
      <c r="D947" s="2"/>
    </row>
    <row r="948" spans="1:4" ht="17.25" customHeight="1">
      <c r="A948" s="2"/>
      <c r="B948" s="2"/>
      <c r="C948" s="2"/>
      <c r="D948" s="2"/>
    </row>
    <row r="949" spans="1:4" ht="17.25" customHeight="1">
      <c r="A949" s="2"/>
      <c r="B949" s="2"/>
      <c r="C949" s="2"/>
      <c r="D949" s="2"/>
    </row>
    <row r="950" spans="1:4" ht="17.25" customHeight="1">
      <c r="A950" s="2"/>
      <c r="B950" s="2"/>
      <c r="C950" s="2"/>
      <c r="D950" s="2"/>
    </row>
    <row r="951" spans="1:4" ht="17.25" customHeight="1">
      <c r="A951" s="2"/>
      <c r="B951" s="2"/>
      <c r="C951" s="2"/>
      <c r="D951" s="2"/>
    </row>
    <row r="952" spans="1:4" ht="17.25" customHeight="1">
      <c r="A952" s="2"/>
      <c r="B952" s="2"/>
      <c r="C952" s="2"/>
      <c r="D952" s="2"/>
    </row>
    <row r="953" spans="1:4" ht="17.25" customHeight="1">
      <c r="A953" s="2"/>
      <c r="B953" s="2"/>
      <c r="C953" s="2"/>
      <c r="D953" s="2"/>
    </row>
    <row r="954" spans="1:4" ht="17.25" customHeight="1">
      <c r="A954" s="2"/>
      <c r="B954" s="2"/>
      <c r="C954" s="2"/>
      <c r="D954" s="2"/>
    </row>
    <row r="955" spans="1:4" ht="17.25" customHeight="1">
      <c r="A955" s="2"/>
      <c r="B955" s="2"/>
      <c r="C955" s="2"/>
      <c r="D955" s="2"/>
    </row>
    <row r="956" spans="1:4" ht="17.25" customHeight="1">
      <c r="A956" s="2"/>
      <c r="B956" s="2"/>
      <c r="C956" s="2"/>
      <c r="D956" s="2"/>
    </row>
    <row r="957" spans="1:4" ht="17.25" customHeight="1">
      <c r="A957" s="2"/>
      <c r="B957" s="2"/>
      <c r="C957" s="2"/>
      <c r="D957" s="2"/>
    </row>
    <row r="958" spans="1:4" ht="17.25" customHeight="1">
      <c r="A958" s="2"/>
      <c r="B958" s="2"/>
      <c r="C958" s="2"/>
      <c r="D958" s="2"/>
    </row>
    <row r="959" spans="1:4" ht="17.25" customHeight="1">
      <c r="A959" s="2"/>
      <c r="B959" s="2"/>
      <c r="C959" s="2"/>
      <c r="D959" s="2"/>
    </row>
    <row r="960" spans="1:4" ht="17.25" customHeight="1">
      <c r="A960" s="2"/>
      <c r="B960" s="2"/>
      <c r="C960" s="2"/>
      <c r="D960" s="2"/>
    </row>
    <row r="961" spans="1:4" ht="17.25" customHeight="1">
      <c r="A961" s="2"/>
      <c r="B961" s="2"/>
      <c r="C961" s="2"/>
      <c r="D961" s="2"/>
    </row>
    <row r="962" spans="1:4" ht="17.25" customHeight="1">
      <c r="A962" s="2"/>
      <c r="B962" s="2"/>
      <c r="C962" s="2"/>
      <c r="D962" s="2"/>
    </row>
    <row r="963" spans="1:4" ht="17.25" customHeight="1">
      <c r="A963" s="2"/>
      <c r="B963" s="2"/>
      <c r="C963" s="2"/>
      <c r="D963" s="2"/>
    </row>
    <row r="964" spans="1:4" ht="17.25" customHeight="1">
      <c r="A964" s="2"/>
      <c r="B964" s="2"/>
      <c r="C964" s="2"/>
      <c r="D964" s="2"/>
    </row>
    <row r="965" spans="1:4" ht="17.25" customHeight="1">
      <c r="A965" s="2"/>
      <c r="B965" s="2"/>
      <c r="C965" s="2"/>
      <c r="D965" s="2"/>
    </row>
    <row r="966" spans="1:4" ht="17.25" customHeight="1">
      <c r="A966" s="2"/>
      <c r="B966" s="2"/>
      <c r="C966" s="2"/>
      <c r="D966" s="2"/>
    </row>
    <row r="967" spans="1:4" ht="17.25" customHeight="1">
      <c r="A967" s="2"/>
      <c r="B967" s="2"/>
      <c r="C967" s="2"/>
      <c r="D967" s="2"/>
    </row>
    <row r="968" spans="1:4" ht="17.25" customHeight="1">
      <c r="A968" s="2"/>
      <c r="B968" s="2"/>
      <c r="C968" s="2"/>
      <c r="D968" s="2"/>
    </row>
    <row r="969" spans="1:4" ht="17.25" customHeight="1">
      <c r="A969" s="2"/>
      <c r="B969" s="2"/>
      <c r="C969" s="2"/>
      <c r="D969" s="2"/>
    </row>
    <row r="970" spans="1:4" ht="17.25" customHeight="1">
      <c r="A970" s="2"/>
      <c r="B970" s="2"/>
      <c r="C970" s="2"/>
      <c r="D970" s="2"/>
    </row>
    <row r="971" spans="1:4" ht="17.25" customHeight="1">
      <c r="A971" s="2"/>
      <c r="B971" s="2"/>
      <c r="C971" s="2"/>
      <c r="D971" s="2"/>
    </row>
    <row r="972" spans="1:4" ht="17.25" customHeight="1">
      <c r="A972" s="2"/>
      <c r="B972" s="2"/>
      <c r="C972" s="2"/>
      <c r="D972" s="2"/>
    </row>
    <row r="973" spans="1:4" ht="17.25" customHeight="1">
      <c r="A973" s="2"/>
      <c r="B973" s="2"/>
      <c r="C973" s="2"/>
      <c r="D973" s="2"/>
    </row>
    <row r="974" spans="1:4" ht="17.25" customHeight="1">
      <c r="A974" s="2"/>
      <c r="B974" s="2"/>
      <c r="C974" s="2"/>
      <c r="D974" s="2"/>
    </row>
    <row r="975" spans="1:4" ht="17.25" customHeight="1">
      <c r="A975" s="2"/>
      <c r="B975" s="2"/>
      <c r="C975" s="2"/>
      <c r="D975" s="2"/>
    </row>
    <row r="976" spans="1:4" ht="17.25" customHeight="1">
      <c r="A976" s="2"/>
      <c r="B976" s="2"/>
      <c r="C976" s="2"/>
      <c r="D976" s="2"/>
    </row>
    <row r="977" spans="1:4" ht="17.25" customHeight="1">
      <c r="A977" s="2"/>
      <c r="B977" s="2"/>
      <c r="C977" s="2"/>
      <c r="D977" s="2"/>
    </row>
    <row r="978" spans="1:4" ht="17.25" customHeight="1">
      <c r="A978" s="2"/>
      <c r="B978" s="2"/>
      <c r="C978" s="2"/>
      <c r="D978" s="2"/>
    </row>
    <row r="979" spans="1:4" ht="17.25" customHeight="1">
      <c r="A979" s="2"/>
      <c r="B979" s="2"/>
      <c r="C979" s="2"/>
      <c r="D979" s="2"/>
    </row>
    <row r="980" spans="1:4" ht="17.25" customHeight="1">
      <c r="A980" s="2"/>
      <c r="B980" s="2"/>
      <c r="C980" s="2"/>
      <c r="D980" s="2"/>
    </row>
    <row r="981" spans="1:4" ht="17.25" customHeight="1">
      <c r="A981" s="2"/>
      <c r="B981" s="2"/>
      <c r="C981" s="2"/>
      <c r="D981" s="2"/>
    </row>
    <row r="982" spans="1:4" ht="17.25" customHeight="1">
      <c r="A982" s="2"/>
      <c r="B982" s="2"/>
      <c r="C982" s="2"/>
      <c r="D982" s="2"/>
    </row>
    <row r="983" spans="1:4" ht="17.25" customHeight="1">
      <c r="A983" s="2"/>
      <c r="B983" s="2"/>
      <c r="C983" s="2"/>
      <c r="D983" s="2"/>
    </row>
    <row r="984" spans="1:4" ht="17.25" customHeight="1">
      <c r="A984" s="2"/>
      <c r="B984" s="2"/>
      <c r="C984" s="2"/>
      <c r="D984" s="2"/>
    </row>
    <row r="985" spans="1:4" ht="17.25" customHeight="1">
      <c r="A985" s="2"/>
      <c r="B985" s="2"/>
      <c r="C985" s="2"/>
      <c r="D985" s="2"/>
    </row>
    <row r="986" spans="1:4" ht="17.25" customHeight="1">
      <c r="A986" s="2"/>
      <c r="B986" s="2"/>
      <c r="C986" s="2"/>
      <c r="D986" s="2"/>
    </row>
    <row r="987" spans="1:4" ht="17.25" customHeight="1">
      <c r="A987" s="2"/>
      <c r="B987" s="2"/>
      <c r="C987" s="2"/>
      <c r="D987" s="2"/>
    </row>
    <row r="988" spans="1:4" ht="17.25" customHeight="1">
      <c r="A988" s="2"/>
      <c r="B988" s="2"/>
      <c r="C988" s="2"/>
      <c r="D988" s="2"/>
    </row>
    <row r="989" spans="1:4" ht="17.25" customHeight="1">
      <c r="A989" s="2"/>
      <c r="B989" s="2"/>
      <c r="C989" s="2"/>
      <c r="D989" s="2"/>
    </row>
    <row r="990" spans="1:4" ht="17.25" customHeight="1">
      <c r="A990" s="2"/>
      <c r="B990" s="2"/>
      <c r="C990" s="2"/>
      <c r="D990" s="2"/>
    </row>
    <row r="991" spans="1:4" ht="17.25" customHeight="1">
      <c r="A991" s="2"/>
      <c r="B991" s="2"/>
      <c r="C991" s="2"/>
      <c r="D991" s="2"/>
    </row>
    <row r="992" spans="1:4" ht="17.25" customHeight="1">
      <c r="A992" s="2"/>
      <c r="B992" s="2"/>
      <c r="C992" s="2"/>
      <c r="D992" s="2"/>
    </row>
    <row r="993" spans="1:4" ht="17.25" customHeight="1">
      <c r="A993" s="2"/>
      <c r="B993" s="2"/>
      <c r="C993" s="2"/>
      <c r="D993" s="2"/>
    </row>
    <row r="994" spans="1:4" ht="17.25" customHeight="1">
      <c r="A994" s="2"/>
      <c r="B994" s="2"/>
      <c r="C994" s="2"/>
      <c r="D994" s="2"/>
    </row>
    <row r="995" spans="1:4" ht="17.25" customHeight="1">
      <c r="A995" s="2"/>
      <c r="B995" s="2"/>
      <c r="C995" s="2"/>
      <c r="D995" s="2"/>
    </row>
    <row r="996" spans="1:4" ht="17.25" customHeight="1">
      <c r="A996" s="2"/>
      <c r="B996" s="2"/>
      <c r="C996" s="2"/>
      <c r="D996" s="2"/>
    </row>
    <row r="997" spans="1:4" ht="17.25" customHeight="1">
      <c r="A997" s="2"/>
      <c r="B997" s="2"/>
      <c r="C997" s="2"/>
      <c r="D997" s="2"/>
    </row>
    <row r="998" spans="1:4" ht="17.25" customHeight="1">
      <c r="A998" s="2"/>
      <c r="B998" s="2"/>
      <c r="C998" s="2"/>
      <c r="D998" s="2"/>
    </row>
    <row r="999" spans="1:4" ht="17.25" customHeight="1">
      <c r="A999" s="2"/>
      <c r="B999" s="2"/>
      <c r="C999" s="2"/>
      <c r="D999" s="2"/>
    </row>
    <row r="1000" spans="1:4" ht="17.25" customHeight="1">
      <c r="A1000" s="2"/>
      <c r="B1000" s="2"/>
      <c r="C1000" s="2"/>
      <c r="D1000" s="2"/>
    </row>
  </sheetData>
  <autoFilter ref="A3:D126" xr:uid="{00000000-0009-0000-0000-000001000000}"/>
  <mergeCells count="1">
    <mergeCell ref="A1:V1"/>
  </mergeCells>
  <phoneticPr fontId="10" type="noConversion"/>
  <printOptions horizontalCentered="1"/>
  <pageMargins left="0.16821396816750911" right="6.7285587267003635E-2" top="2.5232095225126365E-2" bottom="0.7480314960629921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/>
  <cols>
    <col min="1" max="1" width="8.3984375" customWidth="1"/>
    <col min="2" max="2" width="10" customWidth="1"/>
    <col min="3" max="3" width="28.3984375" customWidth="1"/>
    <col min="4" max="4" width="11" customWidth="1"/>
    <col min="5" max="5" width="8.86328125" customWidth="1"/>
    <col min="6" max="6" width="15.73046875" customWidth="1"/>
    <col min="7" max="8" width="10.59765625" customWidth="1"/>
    <col min="9" max="9" width="20.59765625" customWidth="1"/>
    <col min="10" max="12" width="10.59765625" customWidth="1"/>
    <col min="13" max="13" width="20.59765625" customWidth="1"/>
    <col min="14" max="16" width="10.59765625" customWidth="1"/>
    <col min="17" max="17" width="20.59765625" customWidth="1"/>
    <col min="18" max="18" width="8.73046875" customWidth="1"/>
    <col min="19" max="19" width="10.59765625" customWidth="1"/>
    <col min="20" max="26" width="8.73046875" customWidth="1"/>
  </cols>
  <sheetData>
    <row r="1" spans="1:19" ht="39" customHeight="1">
      <c r="A1" s="142" t="s">
        <v>180</v>
      </c>
      <c r="B1" s="141"/>
      <c r="C1" s="141"/>
      <c r="D1" s="141"/>
      <c r="E1" s="141"/>
      <c r="F1" s="14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.5" customHeight="1"/>
    <row r="3" spans="1:19" ht="23.25" customHeight="1">
      <c r="A3" s="107" t="s">
        <v>0</v>
      </c>
      <c r="B3" s="107" t="s">
        <v>1</v>
      </c>
      <c r="C3" s="107" t="s">
        <v>2</v>
      </c>
      <c r="D3" s="107" t="s">
        <v>3</v>
      </c>
      <c r="E3" s="107" t="s">
        <v>4</v>
      </c>
      <c r="F3" s="108" t="s">
        <v>5</v>
      </c>
    </row>
    <row r="4" spans="1:19" ht="18" customHeight="1">
      <c r="A4" s="109">
        <v>1</v>
      </c>
      <c r="B4" s="110" t="s">
        <v>181</v>
      </c>
      <c r="C4" s="111" t="s">
        <v>182</v>
      </c>
      <c r="D4" s="111" t="s">
        <v>3</v>
      </c>
      <c r="E4" s="111" t="s">
        <v>27</v>
      </c>
      <c r="F4" s="112" t="s">
        <v>183</v>
      </c>
    </row>
    <row r="5" spans="1:19" ht="18" customHeight="1">
      <c r="A5" s="109">
        <v>2</v>
      </c>
      <c r="B5" s="110" t="s">
        <v>181</v>
      </c>
      <c r="C5" s="111" t="s">
        <v>182</v>
      </c>
      <c r="D5" s="111" t="s">
        <v>3</v>
      </c>
      <c r="E5" s="111" t="s">
        <v>27</v>
      </c>
      <c r="F5" s="112" t="s">
        <v>184</v>
      </c>
    </row>
    <row r="6" spans="1:19" ht="18" customHeight="1">
      <c r="A6" s="109">
        <v>3</v>
      </c>
      <c r="B6" s="110" t="s">
        <v>181</v>
      </c>
      <c r="C6" s="111" t="s">
        <v>182</v>
      </c>
      <c r="D6" s="111" t="s">
        <v>3</v>
      </c>
      <c r="E6" s="111" t="s">
        <v>27</v>
      </c>
      <c r="F6" s="112" t="s">
        <v>185</v>
      </c>
    </row>
    <row r="7" spans="1:19" ht="18" customHeight="1">
      <c r="A7" s="109">
        <v>4</v>
      </c>
      <c r="B7" s="110" t="s">
        <v>181</v>
      </c>
      <c r="C7" s="111" t="s">
        <v>182</v>
      </c>
      <c r="D7" s="111" t="s">
        <v>3</v>
      </c>
      <c r="E7" s="111" t="s">
        <v>27</v>
      </c>
      <c r="F7" s="112" t="s">
        <v>186</v>
      </c>
    </row>
    <row r="8" spans="1:19" ht="18" customHeight="1">
      <c r="A8" s="109">
        <v>5</v>
      </c>
      <c r="B8" s="110" t="s">
        <v>181</v>
      </c>
      <c r="C8" s="113" t="s">
        <v>182</v>
      </c>
      <c r="D8" s="113" t="s">
        <v>3</v>
      </c>
      <c r="E8" s="111" t="s">
        <v>27</v>
      </c>
      <c r="F8" s="112" t="s">
        <v>187</v>
      </c>
    </row>
    <row r="9" spans="1:19" ht="18" customHeight="1">
      <c r="A9" s="109">
        <v>6</v>
      </c>
      <c r="B9" s="110" t="s">
        <v>181</v>
      </c>
      <c r="C9" s="114" t="s">
        <v>188</v>
      </c>
      <c r="D9" s="114" t="s">
        <v>3</v>
      </c>
      <c r="E9" s="114" t="s">
        <v>27</v>
      </c>
      <c r="F9" s="115" t="s">
        <v>189</v>
      </c>
    </row>
    <row r="10" spans="1:19" ht="18" customHeight="1">
      <c r="A10" s="109">
        <v>7</v>
      </c>
      <c r="B10" s="110" t="s">
        <v>181</v>
      </c>
      <c r="C10" s="114" t="s">
        <v>188</v>
      </c>
      <c r="D10" s="114" t="s">
        <v>3</v>
      </c>
      <c r="E10" s="114" t="s">
        <v>27</v>
      </c>
      <c r="F10" s="115" t="s">
        <v>190</v>
      </c>
    </row>
    <row r="11" spans="1:19" ht="18" customHeight="1">
      <c r="A11" s="109">
        <v>8</v>
      </c>
      <c r="B11" s="110" t="s">
        <v>181</v>
      </c>
      <c r="C11" s="114" t="s">
        <v>188</v>
      </c>
      <c r="D11" s="114" t="s">
        <v>3</v>
      </c>
      <c r="E11" s="114" t="s">
        <v>27</v>
      </c>
      <c r="F11" s="115" t="s">
        <v>191</v>
      </c>
    </row>
    <row r="12" spans="1:19" ht="18" customHeight="1">
      <c r="A12" s="109">
        <v>9</v>
      </c>
      <c r="B12" s="110" t="s">
        <v>181</v>
      </c>
      <c r="C12" s="114" t="s">
        <v>188</v>
      </c>
      <c r="D12" s="114" t="s">
        <v>3</v>
      </c>
      <c r="E12" s="114" t="s">
        <v>27</v>
      </c>
      <c r="F12" s="115" t="s">
        <v>192</v>
      </c>
    </row>
    <row r="13" spans="1:19" ht="18" customHeight="1">
      <c r="A13" s="109">
        <v>10</v>
      </c>
      <c r="B13" s="110" t="s">
        <v>181</v>
      </c>
      <c r="C13" s="114" t="s">
        <v>193</v>
      </c>
      <c r="D13" s="114" t="s">
        <v>3</v>
      </c>
      <c r="E13" s="114" t="s">
        <v>27</v>
      </c>
      <c r="F13" s="115" t="s">
        <v>194</v>
      </c>
    </row>
    <row r="14" spans="1:19" ht="18" customHeight="1">
      <c r="A14" s="109">
        <v>11</v>
      </c>
      <c r="B14" s="110" t="s">
        <v>181</v>
      </c>
      <c r="C14" s="114" t="s">
        <v>193</v>
      </c>
      <c r="D14" s="114" t="s">
        <v>3</v>
      </c>
      <c r="E14" s="114" t="s">
        <v>27</v>
      </c>
      <c r="F14" s="115" t="s">
        <v>195</v>
      </c>
    </row>
    <row r="15" spans="1:19" ht="18" customHeight="1">
      <c r="A15" s="109">
        <v>12</v>
      </c>
      <c r="B15" s="110" t="s">
        <v>181</v>
      </c>
      <c r="C15" s="114" t="s">
        <v>193</v>
      </c>
      <c r="D15" s="114" t="s">
        <v>3</v>
      </c>
      <c r="E15" s="114" t="s">
        <v>27</v>
      </c>
      <c r="F15" s="115" t="s">
        <v>196</v>
      </c>
    </row>
    <row r="16" spans="1:19" ht="18" customHeight="1">
      <c r="A16" s="109">
        <v>13</v>
      </c>
      <c r="B16" s="110" t="s">
        <v>181</v>
      </c>
      <c r="C16" s="114" t="s">
        <v>193</v>
      </c>
      <c r="D16" s="114" t="s">
        <v>3</v>
      </c>
      <c r="E16" s="114" t="s">
        <v>27</v>
      </c>
      <c r="F16" s="115" t="s">
        <v>197</v>
      </c>
    </row>
    <row r="17" spans="1:6" ht="18" customHeight="1">
      <c r="A17" s="109">
        <v>14</v>
      </c>
      <c r="B17" s="110" t="s">
        <v>181</v>
      </c>
      <c r="C17" s="114" t="s">
        <v>198</v>
      </c>
      <c r="D17" s="114" t="s">
        <v>3</v>
      </c>
      <c r="E17" s="114" t="s">
        <v>27</v>
      </c>
      <c r="F17" s="115" t="s">
        <v>199</v>
      </c>
    </row>
    <row r="18" spans="1:6" ht="18" customHeight="1">
      <c r="A18" s="109">
        <v>15</v>
      </c>
      <c r="B18" s="110" t="s">
        <v>181</v>
      </c>
      <c r="C18" s="114" t="s">
        <v>198</v>
      </c>
      <c r="D18" s="114" t="s">
        <v>3</v>
      </c>
      <c r="E18" s="114" t="s">
        <v>27</v>
      </c>
      <c r="F18" s="115" t="s">
        <v>200</v>
      </c>
    </row>
    <row r="19" spans="1:6" ht="18" customHeight="1">
      <c r="A19" s="109">
        <v>16</v>
      </c>
      <c r="B19" s="110" t="s">
        <v>181</v>
      </c>
      <c r="C19" s="114" t="s">
        <v>198</v>
      </c>
      <c r="D19" s="114" t="s">
        <v>3</v>
      </c>
      <c r="E19" s="114" t="s">
        <v>27</v>
      </c>
      <c r="F19" s="115" t="s">
        <v>172</v>
      </c>
    </row>
    <row r="20" spans="1:6" ht="18" customHeight="1">
      <c r="A20" s="109">
        <v>17</v>
      </c>
      <c r="B20" s="110" t="s">
        <v>181</v>
      </c>
      <c r="C20" s="114" t="s">
        <v>198</v>
      </c>
      <c r="D20" s="114" t="s">
        <v>3</v>
      </c>
      <c r="E20" s="114" t="s">
        <v>27</v>
      </c>
      <c r="F20" s="115" t="s">
        <v>201</v>
      </c>
    </row>
    <row r="21" spans="1:6" ht="18" customHeight="1">
      <c r="A21" s="109">
        <v>18</v>
      </c>
      <c r="B21" s="110" t="s">
        <v>181</v>
      </c>
      <c r="C21" s="113" t="s">
        <v>202</v>
      </c>
      <c r="D21" s="114" t="s">
        <v>3</v>
      </c>
      <c r="E21" s="114" t="s">
        <v>27</v>
      </c>
      <c r="F21" s="115" t="s">
        <v>145</v>
      </c>
    </row>
    <row r="22" spans="1:6" ht="18" customHeight="1">
      <c r="A22" s="109">
        <v>19</v>
      </c>
      <c r="B22" s="110" t="s">
        <v>181</v>
      </c>
      <c r="C22" s="113" t="s">
        <v>202</v>
      </c>
      <c r="D22" s="114" t="s">
        <v>3</v>
      </c>
      <c r="E22" s="114" t="s">
        <v>27</v>
      </c>
      <c r="F22" s="115" t="s">
        <v>203</v>
      </c>
    </row>
    <row r="23" spans="1:6" ht="18" customHeight="1">
      <c r="A23" s="109">
        <v>20</v>
      </c>
      <c r="B23" s="110" t="s">
        <v>181</v>
      </c>
      <c r="C23" s="113" t="s">
        <v>202</v>
      </c>
      <c r="D23" s="114" t="s">
        <v>3</v>
      </c>
      <c r="E23" s="114" t="s">
        <v>27</v>
      </c>
      <c r="F23" s="115" t="s">
        <v>204</v>
      </c>
    </row>
    <row r="24" spans="1:6" ht="18" customHeight="1">
      <c r="A24" s="109">
        <v>21</v>
      </c>
      <c r="B24" s="110" t="s">
        <v>181</v>
      </c>
      <c r="C24" s="113" t="s">
        <v>202</v>
      </c>
      <c r="D24" s="114" t="s">
        <v>3</v>
      </c>
      <c r="E24" s="114" t="s">
        <v>27</v>
      </c>
      <c r="F24" s="115" t="s">
        <v>205</v>
      </c>
    </row>
    <row r="25" spans="1:6" ht="18" customHeight="1">
      <c r="A25" s="109">
        <v>22</v>
      </c>
      <c r="B25" s="110" t="s">
        <v>181</v>
      </c>
      <c r="C25" s="113" t="s">
        <v>202</v>
      </c>
      <c r="D25" s="114" t="s">
        <v>3</v>
      </c>
      <c r="E25" s="114" t="s">
        <v>27</v>
      </c>
      <c r="F25" s="115" t="s">
        <v>206</v>
      </c>
    </row>
    <row r="26" spans="1:6" ht="18" customHeight="1">
      <c r="A26" s="109">
        <v>23</v>
      </c>
      <c r="B26" s="110" t="s">
        <v>181</v>
      </c>
      <c r="C26" s="114" t="s">
        <v>207</v>
      </c>
      <c r="D26" s="114" t="s">
        <v>3</v>
      </c>
      <c r="E26" s="114" t="s">
        <v>27</v>
      </c>
      <c r="F26" s="115" t="s">
        <v>208</v>
      </c>
    </row>
    <row r="27" spans="1:6" ht="18" customHeight="1">
      <c r="A27" s="109">
        <v>24</v>
      </c>
      <c r="B27" s="110" t="s">
        <v>181</v>
      </c>
      <c r="C27" s="114" t="s">
        <v>207</v>
      </c>
      <c r="D27" s="114" t="s">
        <v>3</v>
      </c>
      <c r="E27" s="114" t="s">
        <v>27</v>
      </c>
      <c r="F27" s="115" t="s">
        <v>209</v>
      </c>
    </row>
    <row r="28" spans="1:6" ht="18" customHeight="1">
      <c r="A28" s="109">
        <v>25</v>
      </c>
      <c r="B28" s="110" t="s">
        <v>181</v>
      </c>
      <c r="C28" s="114" t="s">
        <v>207</v>
      </c>
      <c r="D28" s="114" t="s">
        <v>3</v>
      </c>
      <c r="E28" s="114" t="s">
        <v>27</v>
      </c>
      <c r="F28" s="115" t="s">
        <v>210</v>
      </c>
    </row>
    <row r="29" spans="1:6" ht="18" customHeight="1">
      <c r="A29" s="109">
        <v>26</v>
      </c>
      <c r="B29" s="110" t="s">
        <v>181</v>
      </c>
      <c r="C29" s="114" t="s">
        <v>207</v>
      </c>
      <c r="D29" s="114" t="s">
        <v>3</v>
      </c>
      <c r="E29" s="114" t="s">
        <v>27</v>
      </c>
      <c r="F29" s="115" t="s">
        <v>211</v>
      </c>
    </row>
    <row r="30" spans="1:6" ht="18" customHeight="1">
      <c r="A30" s="109">
        <v>27</v>
      </c>
      <c r="B30" s="110" t="s">
        <v>181</v>
      </c>
      <c r="C30" s="114" t="s">
        <v>212</v>
      </c>
      <c r="D30" s="114" t="s">
        <v>3</v>
      </c>
      <c r="E30" s="114" t="s">
        <v>27</v>
      </c>
      <c r="F30" s="115" t="s">
        <v>213</v>
      </c>
    </row>
    <row r="31" spans="1:6" ht="18" customHeight="1">
      <c r="A31" s="109">
        <v>28</v>
      </c>
      <c r="B31" s="110" t="s">
        <v>181</v>
      </c>
      <c r="C31" s="114" t="s">
        <v>212</v>
      </c>
      <c r="D31" s="114" t="s">
        <v>3</v>
      </c>
      <c r="E31" s="114" t="s">
        <v>27</v>
      </c>
      <c r="F31" s="115" t="s">
        <v>214</v>
      </c>
    </row>
    <row r="32" spans="1:6" ht="18" customHeight="1">
      <c r="A32" s="109">
        <v>29</v>
      </c>
      <c r="B32" s="110" t="s">
        <v>181</v>
      </c>
      <c r="C32" s="114" t="s">
        <v>212</v>
      </c>
      <c r="D32" s="114" t="s">
        <v>3</v>
      </c>
      <c r="E32" s="114" t="s">
        <v>27</v>
      </c>
      <c r="F32" s="115" t="s">
        <v>215</v>
      </c>
    </row>
    <row r="33" spans="1:6" ht="18" customHeight="1">
      <c r="A33" s="109">
        <v>30</v>
      </c>
      <c r="B33" s="116" t="s">
        <v>181</v>
      </c>
      <c r="C33" s="117" t="s">
        <v>212</v>
      </c>
      <c r="D33" s="117" t="s">
        <v>3</v>
      </c>
      <c r="E33" s="117" t="s">
        <v>27</v>
      </c>
      <c r="F33" s="118" t="s">
        <v>216</v>
      </c>
    </row>
    <row r="34" spans="1:6" ht="18" customHeight="1">
      <c r="A34" s="119">
        <v>31</v>
      </c>
      <c r="B34" s="120" t="s">
        <v>181</v>
      </c>
      <c r="C34" s="120" t="s">
        <v>212</v>
      </c>
      <c r="D34" s="120" t="s">
        <v>3</v>
      </c>
      <c r="E34" s="120" t="s">
        <v>27</v>
      </c>
      <c r="F34" s="121" t="s">
        <v>217</v>
      </c>
    </row>
    <row r="35" spans="1:6" ht="18" customHeight="1">
      <c r="A35" s="122">
        <v>32</v>
      </c>
      <c r="B35" s="110" t="s">
        <v>218</v>
      </c>
      <c r="C35" s="114" t="s">
        <v>219</v>
      </c>
      <c r="D35" s="114" t="s">
        <v>3</v>
      </c>
      <c r="E35" s="114" t="s">
        <v>27</v>
      </c>
      <c r="F35" s="115" t="s">
        <v>220</v>
      </c>
    </row>
    <row r="36" spans="1:6" ht="18" customHeight="1">
      <c r="A36" s="109">
        <v>33</v>
      </c>
      <c r="B36" s="110" t="s">
        <v>218</v>
      </c>
      <c r="C36" s="114" t="s">
        <v>219</v>
      </c>
      <c r="D36" s="114" t="s">
        <v>3</v>
      </c>
      <c r="E36" s="114" t="s">
        <v>27</v>
      </c>
      <c r="F36" s="115" t="s">
        <v>221</v>
      </c>
    </row>
    <row r="37" spans="1:6" ht="18" customHeight="1">
      <c r="A37" s="109">
        <v>34</v>
      </c>
      <c r="B37" s="110" t="s">
        <v>218</v>
      </c>
      <c r="C37" s="114" t="s">
        <v>219</v>
      </c>
      <c r="D37" s="114" t="s">
        <v>3</v>
      </c>
      <c r="E37" s="114" t="s">
        <v>27</v>
      </c>
      <c r="F37" s="115" t="s">
        <v>222</v>
      </c>
    </row>
    <row r="38" spans="1:6" ht="18" customHeight="1">
      <c r="A38" s="109">
        <v>35</v>
      </c>
      <c r="B38" s="110" t="s">
        <v>218</v>
      </c>
      <c r="C38" s="114" t="s">
        <v>219</v>
      </c>
      <c r="D38" s="114" t="s">
        <v>3</v>
      </c>
      <c r="E38" s="114" t="s">
        <v>27</v>
      </c>
      <c r="F38" s="115" t="s">
        <v>223</v>
      </c>
    </row>
    <row r="39" spans="1:6" ht="18" customHeight="1">
      <c r="A39" s="109">
        <v>36</v>
      </c>
      <c r="B39" s="110" t="s">
        <v>218</v>
      </c>
      <c r="C39" s="114" t="s">
        <v>193</v>
      </c>
      <c r="D39" s="114" t="s">
        <v>3</v>
      </c>
      <c r="E39" s="114" t="s">
        <v>27</v>
      </c>
      <c r="F39" s="115" t="s">
        <v>224</v>
      </c>
    </row>
    <row r="40" spans="1:6" ht="18" customHeight="1">
      <c r="A40" s="109">
        <v>37</v>
      </c>
      <c r="B40" s="110" t="s">
        <v>218</v>
      </c>
      <c r="C40" s="114" t="s">
        <v>193</v>
      </c>
      <c r="D40" s="114" t="s">
        <v>3</v>
      </c>
      <c r="E40" s="114" t="s">
        <v>27</v>
      </c>
      <c r="F40" s="115" t="s">
        <v>225</v>
      </c>
    </row>
    <row r="41" spans="1:6" ht="18" customHeight="1">
      <c r="A41" s="109">
        <v>38</v>
      </c>
      <c r="B41" s="110" t="s">
        <v>218</v>
      </c>
      <c r="C41" s="114" t="s">
        <v>193</v>
      </c>
      <c r="D41" s="114" t="s">
        <v>3</v>
      </c>
      <c r="E41" s="114" t="s">
        <v>27</v>
      </c>
      <c r="F41" s="115" t="s">
        <v>226</v>
      </c>
    </row>
    <row r="42" spans="1:6" ht="18" customHeight="1">
      <c r="A42" s="109">
        <v>39</v>
      </c>
      <c r="B42" s="110" t="s">
        <v>218</v>
      </c>
      <c r="C42" s="114" t="s">
        <v>193</v>
      </c>
      <c r="D42" s="114" t="s">
        <v>3</v>
      </c>
      <c r="E42" s="114" t="s">
        <v>27</v>
      </c>
      <c r="F42" s="115" t="s">
        <v>227</v>
      </c>
    </row>
    <row r="43" spans="1:6" ht="18" customHeight="1">
      <c r="A43" s="109">
        <v>40</v>
      </c>
      <c r="B43" s="110" t="s">
        <v>218</v>
      </c>
      <c r="C43" s="114" t="s">
        <v>193</v>
      </c>
      <c r="D43" s="114" t="s">
        <v>3</v>
      </c>
      <c r="E43" s="114" t="s">
        <v>27</v>
      </c>
      <c r="F43" s="115" t="s">
        <v>228</v>
      </c>
    </row>
    <row r="44" spans="1:6" ht="18" customHeight="1">
      <c r="A44" s="109">
        <v>41</v>
      </c>
      <c r="B44" s="110" t="s">
        <v>218</v>
      </c>
      <c r="C44" s="114" t="s">
        <v>198</v>
      </c>
      <c r="D44" s="114" t="s">
        <v>3</v>
      </c>
      <c r="E44" s="114" t="s">
        <v>27</v>
      </c>
      <c r="F44" s="115" t="s">
        <v>229</v>
      </c>
    </row>
    <row r="45" spans="1:6" ht="18" customHeight="1">
      <c r="A45" s="109">
        <v>42</v>
      </c>
      <c r="B45" s="110" t="s">
        <v>218</v>
      </c>
      <c r="C45" s="114" t="s">
        <v>198</v>
      </c>
      <c r="D45" s="114" t="s">
        <v>3</v>
      </c>
      <c r="E45" s="114" t="s">
        <v>27</v>
      </c>
      <c r="F45" s="115" t="s">
        <v>230</v>
      </c>
    </row>
    <row r="46" spans="1:6" ht="18" customHeight="1">
      <c r="A46" s="109">
        <v>43</v>
      </c>
      <c r="B46" s="110" t="s">
        <v>218</v>
      </c>
      <c r="C46" s="114" t="s">
        <v>198</v>
      </c>
      <c r="D46" s="114" t="s">
        <v>3</v>
      </c>
      <c r="E46" s="114" t="s">
        <v>27</v>
      </c>
      <c r="F46" s="115" t="s">
        <v>231</v>
      </c>
    </row>
    <row r="47" spans="1:6" ht="18" customHeight="1">
      <c r="A47" s="109">
        <v>44</v>
      </c>
      <c r="B47" s="110" t="s">
        <v>218</v>
      </c>
      <c r="C47" s="114" t="s">
        <v>198</v>
      </c>
      <c r="D47" s="114" t="s">
        <v>3</v>
      </c>
      <c r="E47" s="114" t="s">
        <v>27</v>
      </c>
      <c r="F47" s="115" t="s">
        <v>232</v>
      </c>
    </row>
    <row r="48" spans="1:6" ht="18" customHeight="1">
      <c r="A48" s="109">
        <v>45</v>
      </c>
      <c r="B48" s="110" t="s">
        <v>218</v>
      </c>
      <c r="C48" s="114" t="s">
        <v>198</v>
      </c>
      <c r="D48" s="114" t="s">
        <v>3</v>
      </c>
      <c r="E48" s="114" t="s">
        <v>27</v>
      </c>
      <c r="F48" s="115" t="s">
        <v>233</v>
      </c>
    </row>
    <row r="49" spans="1:6" ht="18" customHeight="1">
      <c r="A49" s="109">
        <v>46</v>
      </c>
      <c r="B49" s="110" t="s">
        <v>218</v>
      </c>
      <c r="C49" s="113" t="s">
        <v>202</v>
      </c>
      <c r="D49" s="114" t="s">
        <v>3</v>
      </c>
      <c r="E49" s="114" t="s">
        <v>27</v>
      </c>
      <c r="F49" s="115" t="s">
        <v>234</v>
      </c>
    </row>
    <row r="50" spans="1:6" ht="18" customHeight="1">
      <c r="A50" s="109">
        <v>47</v>
      </c>
      <c r="B50" s="110" t="s">
        <v>218</v>
      </c>
      <c r="C50" s="113" t="s">
        <v>202</v>
      </c>
      <c r="D50" s="114" t="s">
        <v>3</v>
      </c>
      <c r="E50" s="114" t="s">
        <v>27</v>
      </c>
      <c r="F50" s="115" t="s">
        <v>235</v>
      </c>
    </row>
    <row r="51" spans="1:6" ht="18" customHeight="1">
      <c r="A51" s="109">
        <v>48</v>
      </c>
      <c r="B51" s="110" t="s">
        <v>218</v>
      </c>
      <c r="C51" s="113" t="s">
        <v>202</v>
      </c>
      <c r="D51" s="114" t="s">
        <v>3</v>
      </c>
      <c r="E51" s="114" t="s">
        <v>27</v>
      </c>
      <c r="F51" s="115" t="s">
        <v>236</v>
      </c>
    </row>
    <row r="52" spans="1:6" ht="18" customHeight="1">
      <c r="A52" s="109">
        <v>49</v>
      </c>
      <c r="B52" s="110" t="s">
        <v>218</v>
      </c>
      <c r="C52" s="113" t="s">
        <v>202</v>
      </c>
      <c r="D52" s="114" t="s">
        <v>3</v>
      </c>
      <c r="E52" s="114" t="s">
        <v>27</v>
      </c>
      <c r="F52" s="115" t="s">
        <v>237</v>
      </c>
    </row>
    <row r="53" spans="1:6" ht="18" customHeight="1">
      <c r="A53" s="109">
        <v>50</v>
      </c>
      <c r="B53" s="110" t="s">
        <v>218</v>
      </c>
      <c r="C53" s="114" t="s">
        <v>207</v>
      </c>
      <c r="D53" s="114" t="s">
        <v>3</v>
      </c>
      <c r="E53" s="114" t="s">
        <v>27</v>
      </c>
      <c r="F53" s="115" t="s">
        <v>238</v>
      </c>
    </row>
    <row r="54" spans="1:6" ht="18" customHeight="1">
      <c r="A54" s="109">
        <v>51</v>
      </c>
      <c r="B54" s="110" t="s">
        <v>218</v>
      </c>
      <c r="C54" s="114" t="s">
        <v>207</v>
      </c>
      <c r="D54" s="114" t="s">
        <v>3</v>
      </c>
      <c r="E54" s="114" t="s">
        <v>27</v>
      </c>
      <c r="F54" s="115" t="s">
        <v>239</v>
      </c>
    </row>
    <row r="55" spans="1:6" ht="18" customHeight="1">
      <c r="A55" s="109">
        <v>52</v>
      </c>
      <c r="B55" s="110" t="s">
        <v>218</v>
      </c>
      <c r="C55" s="114" t="s">
        <v>207</v>
      </c>
      <c r="D55" s="114" t="s">
        <v>3</v>
      </c>
      <c r="E55" s="114" t="s">
        <v>27</v>
      </c>
      <c r="F55" s="115" t="s">
        <v>240</v>
      </c>
    </row>
    <row r="56" spans="1:6" ht="18" customHeight="1">
      <c r="A56" s="109">
        <v>53</v>
      </c>
      <c r="B56" s="110" t="s">
        <v>218</v>
      </c>
      <c r="C56" s="114" t="s">
        <v>207</v>
      </c>
      <c r="D56" s="114" t="s">
        <v>3</v>
      </c>
      <c r="E56" s="114" t="s">
        <v>27</v>
      </c>
      <c r="F56" s="115" t="s">
        <v>241</v>
      </c>
    </row>
    <row r="57" spans="1:6" ht="18" customHeight="1">
      <c r="A57" s="109">
        <v>54</v>
      </c>
      <c r="B57" s="110" t="s">
        <v>218</v>
      </c>
      <c r="C57" s="114" t="s">
        <v>212</v>
      </c>
      <c r="D57" s="114" t="s">
        <v>3</v>
      </c>
      <c r="E57" s="114" t="s">
        <v>27</v>
      </c>
      <c r="F57" s="115" t="s">
        <v>242</v>
      </c>
    </row>
    <row r="58" spans="1:6" ht="18" customHeight="1">
      <c r="A58" s="109">
        <v>55</v>
      </c>
      <c r="B58" s="110" t="s">
        <v>218</v>
      </c>
      <c r="C58" s="114" t="s">
        <v>212</v>
      </c>
      <c r="D58" s="114" t="s">
        <v>3</v>
      </c>
      <c r="E58" s="114" t="s">
        <v>27</v>
      </c>
      <c r="F58" s="115" t="s">
        <v>243</v>
      </c>
    </row>
    <row r="59" spans="1:6" ht="18" customHeight="1">
      <c r="A59" s="109">
        <v>56</v>
      </c>
      <c r="B59" s="110" t="s">
        <v>218</v>
      </c>
      <c r="C59" s="114" t="s">
        <v>212</v>
      </c>
      <c r="D59" s="114" t="s">
        <v>3</v>
      </c>
      <c r="E59" s="114" t="s">
        <v>27</v>
      </c>
      <c r="F59" s="115" t="s">
        <v>244</v>
      </c>
    </row>
    <row r="60" spans="1:6" ht="18" customHeight="1">
      <c r="A60" s="109">
        <v>57</v>
      </c>
      <c r="B60" s="110" t="s">
        <v>218</v>
      </c>
      <c r="C60" s="114" t="s">
        <v>212</v>
      </c>
      <c r="D60" s="114" t="s">
        <v>3</v>
      </c>
      <c r="E60" s="114" t="s">
        <v>27</v>
      </c>
      <c r="F60" s="115" t="s">
        <v>245</v>
      </c>
    </row>
    <row r="61" spans="1:6" ht="18" customHeight="1">
      <c r="A61" s="109">
        <v>58</v>
      </c>
      <c r="B61" s="110" t="s">
        <v>218</v>
      </c>
      <c r="C61" s="114" t="s">
        <v>212</v>
      </c>
      <c r="D61" s="114" t="s">
        <v>3</v>
      </c>
      <c r="E61" s="114" t="s">
        <v>27</v>
      </c>
      <c r="F61" s="115" t="s">
        <v>246</v>
      </c>
    </row>
    <row r="62" spans="1:6" ht="18" customHeight="1">
      <c r="A62" s="109">
        <v>59</v>
      </c>
      <c r="B62" s="110" t="s">
        <v>218</v>
      </c>
      <c r="C62" s="123" t="s">
        <v>247</v>
      </c>
      <c r="D62" s="123" t="s">
        <v>3</v>
      </c>
      <c r="E62" s="123" t="s">
        <v>27</v>
      </c>
      <c r="F62" s="124" t="s">
        <v>248</v>
      </c>
    </row>
    <row r="63" spans="1:6" ht="18" customHeight="1">
      <c r="A63" s="109">
        <v>60</v>
      </c>
      <c r="B63" s="110" t="s">
        <v>218</v>
      </c>
      <c r="C63" s="123" t="s">
        <v>247</v>
      </c>
      <c r="D63" s="123" t="s">
        <v>3</v>
      </c>
      <c r="E63" s="123" t="s">
        <v>27</v>
      </c>
      <c r="F63" s="124" t="s">
        <v>249</v>
      </c>
    </row>
    <row r="64" spans="1:6" ht="18" customHeight="1">
      <c r="A64" s="119">
        <v>61</v>
      </c>
      <c r="B64" s="125" t="s">
        <v>218</v>
      </c>
      <c r="C64" s="126" t="s">
        <v>247</v>
      </c>
      <c r="D64" s="126" t="s">
        <v>3</v>
      </c>
      <c r="E64" s="126" t="s">
        <v>27</v>
      </c>
      <c r="F64" s="127" t="s">
        <v>250</v>
      </c>
    </row>
    <row r="65" spans="1:6" ht="18" customHeight="1">
      <c r="A65" s="122">
        <v>62</v>
      </c>
      <c r="B65" s="110" t="s">
        <v>251</v>
      </c>
      <c r="C65" s="114" t="s">
        <v>252</v>
      </c>
      <c r="D65" s="114" t="s">
        <v>3</v>
      </c>
      <c r="E65" s="114" t="s">
        <v>27</v>
      </c>
      <c r="F65" s="115" t="s">
        <v>253</v>
      </c>
    </row>
    <row r="66" spans="1:6" ht="18" customHeight="1">
      <c r="A66" s="109">
        <v>63</v>
      </c>
      <c r="B66" s="110" t="s">
        <v>251</v>
      </c>
      <c r="C66" s="111" t="s">
        <v>254</v>
      </c>
      <c r="D66" s="111" t="s">
        <v>3</v>
      </c>
      <c r="E66" s="111" t="s">
        <v>27</v>
      </c>
      <c r="F66" s="112" t="s">
        <v>255</v>
      </c>
    </row>
    <row r="67" spans="1:6" ht="18" customHeight="1">
      <c r="A67" s="109">
        <v>64</v>
      </c>
      <c r="B67" s="110" t="s">
        <v>251</v>
      </c>
      <c r="C67" s="111" t="s">
        <v>254</v>
      </c>
      <c r="D67" s="111" t="s">
        <v>3</v>
      </c>
      <c r="E67" s="111" t="s">
        <v>27</v>
      </c>
      <c r="F67" s="112" t="s">
        <v>256</v>
      </c>
    </row>
    <row r="68" spans="1:6" ht="18" customHeight="1">
      <c r="A68" s="109">
        <v>65</v>
      </c>
      <c r="B68" s="110" t="s">
        <v>251</v>
      </c>
      <c r="C68" s="111" t="s">
        <v>254</v>
      </c>
      <c r="D68" s="111" t="s">
        <v>3</v>
      </c>
      <c r="E68" s="111" t="s">
        <v>27</v>
      </c>
      <c r="F68" s="112" t="s">
        <v>257</v>
      </c>
    </row>
    <row r="69" spans="1:6" ht="18" customHeight="1">
      <c r="A69" s="109">
        <v>66</v>
      </c>
      <c r="B69" s="110" t="s">
        <v>251</v>
      </c>
      <c r="C69" s="111" t="s">
        <v>254</v>
      </c>
      <c r="D69" s="111" t="s">
        <v>3</v>
      </c>
      <c r="E69" s="111" t="s">
        <v>27</v>
      </c>
      <c r="F69" s="112" t="s">
        <v>258</v>
      </c>
    </row>
    <row r="70" spans="1:6" ht="18" customHeight="1">
      <c r="A70" s="109">
        <v>67</v>
      </c>
      <c r="B70" s="110" t="s">
        <v>251</v>
      </c>
      <c r="C70" s="114" t="s">
        <v>219</v>
      </c>
      <c r="D70" s="114" t="s">
        <v>3</v>
      </c>
      <c r="E70" s="114" t="s">
        <v>27</v>
      </c>
      <c r="F70" s="115" t="s">
        <v>259</v>
      </c>
    </row>
    <row r="71" spans="1:6" ht="18" customHeight="1">
      <c r="A71" s="109">
        <v>68</v>
      </c>
      <c r="B71" s="110" t="s">
        <v>251</v>
      </c>
      <c r="C71" s="114" t="s">
        <v>219</v>
      </c>
      <c r="D71" s="114" t="s">
        <v>3</v>
      </c>
      <c r="E71" s="114" t="s">
        <v>27</v>
      </c>
      <c r="F71" s="115" t="s">
        <v>260</v>
      </c>
    </row>
    <row r="72" spans="1:6" ht="18" customHeight="1">
      <c r="A72" s="109">
        <v>69</v>
      </c>
      <c r="B72" s="110" t="s">
        <v>251</v>
      </c>
      <c r="C72" s="114" t="s">
        <v>219</v>
      </c>
      <c r="D72" s="114" t="s">
        <v>3</v>
      </c>
      <c r="E72" s="114" t="s">
        <v>27</v>
      </c>
      <c r="F72" s="115" t="s">
        <v>261</v>
      </c>
    </row>
    <row r="73" spans="1:6" ht="18" customHeight="1">
      <c r="A73" s="109">
        <v>70</v>
      </c>
      <c r="B73" s="110" t="s">
        <v>251</v>
      </c>
      <c r="C73" s="114" t="s">
        <v>262</v>
      </c>
      <c r="D73" s="114" t="s">
        <v>3</v>
      </c>
      <c r="E73" s="114" t="s">
        <v>27</v>
      </c>
      <c r="F73" s="115" t="s">
        <v>263</v>
      </c>
    </row>
    <row r="74" spans="1:6" ht="18" customHeight="1">
      <c r="A74" s="109">
        <v>71</v>
      </c>
      <c r="B74" s="110" t="s">
        <v>251</v>
      </c>
      <c r="C74" s="114" t="s">
        <v>262</v>
      </c>
      <c r="D74" s="114" t="s">
        <v>3</v>
      </c>
      <c r="E74" s="114" t="s">
        <v>27</v>
      </c>
      <c r="F74" s="115" t="s">
        <v>264</v>
      </c>
    </row>
    <row r="75" spans="1:6" ht="18" customHeight="1">
      <c r="A75" s="109">
        <v>72</v>
      </c>
      <c r="B75" s="110" t="s">
        <v>251</v>
      </c>
      <c r="C75" s="114" t="s">
        <v>262</v>
      </c>
      <c r="D75" s="114" t="s">
        <v>3</v>
      </c>
      <c r="E75" s="114" t="s">
        <v>27</v>
      </c>
      <c r="F75" s="115" t="s">
        <v>265</v>
      </c>
    </row>
    <row r="76" spans="1:6" ht="18" customHeight="1">
      <c r="A76" s="109">
        <v>73</v>
      </c>
      <c r="B76" s="110" t="s">
        <v>251</v>
      </c>
      <c r="C76" s="113" t="s">
        <v>202</v>
      </c>
      <c r="D76" s="114" t="s">
        <v>3</v>
      </c>
      <c r="E76" s="114" t="s">
        <v>27</v>
      </c>
      <c r="F76" s="115" t="s">
        <v>266</v>
      </c>
    </row>
    <row r="77" spans="1:6" ht="18" customHeight="1">
      <c r="A77" s="109">
        <v>74</v>
      </c>
      <c r="B77" s="110" t="s">
        <v>251</v>
      </c>
      <c r="C77" s="113" t="s">
        <v>202</v>
      </c>
      <c r="D77" s="114" t="s">
        <v>3</v>
      </c>
      <c r="E77" s="114" t="s">
        <v>27</v>
      </c>
      <c r="F77" s="115" t="s">
        <v>267</v>
      </c>
    </row>
    <row r="78" spans="1:6" ht="18" customHeight="1">
      <c r="A78" s="109">
        <v>75</v>
      </c>
      <c r="B78" s="110" t="s">
        <v>251</v>
      </c>
      <c r="C78" s="113" t="s">
        <v>202</v>
      </c>
      <c r="D78" s="114" t="s">
        <v>3</v>
      </c>
      <c r="E78" s="114" t="s">
        <v>27</v>
      </c>
      <c r="F78" s="115" t="s">
        <v>192</v>
      </c>
    </row>
    <row r="79" spans="1:6" ht="18" customHeight="1">
      <c r="A79" s="109">
        <v>76</v>
      </c>
      <c r="B79" s="110" t="s">
        <v>251</v>
      </c>
      <c r="C79" s="114" t="s">
        <v>207</v>
      </c>
      <c r="D79" s="114" t="s">
        <v>3</v>
      </c>
      <c r="E79" s="114" t="s">
        <v>27</v>
      </c>
      <c r="F79" s="115" t="s">
        <v>268</v>
      </c>
    </row>
    <row r="80" spans="1:6" ht="18" customHeight="1">
      <c r="A80" s="109">
        <v>77</v>
      </c>
      <c r="B80" s="110" t="s">
        <v>251</v>
      </c>
      <c r="C80" s="114" t="s">
        <v>207</v>
      </c>
      <c r="D80" s="114" t="s">
        <v>3</v>
      </c>
      <c r="E80" s="114" t="s">
        <v>27</v>
      </c>
      <c r="F80" s="115" t="s">
        <v>48</v>
      </c>
    </row>
    <row r="81" spans="1:6" ht="18" customHeight="1">
      <c r="A81" s="109">
        <v>78</v>
      </c>
      <c r="B81" s="110" t="s">
        <v>251</v>
      </c>
      <c r="C81" s="114" t="s">
        <v>207</v>
      </c>
      <c r="D81" s="114" t="s">
        <v>3</v>
      </c>
      <c r="E81" s="114" t="s">
        <v>27</v>
      </c>
      <c r="F81" s="115" t="s">
        <v>176</v>
      </c>
    </row>
    <row r="82" spans="1:6" ht="18" customHeight="1">
      <c r="A82" s="109">
        <v>79</v>
      </c>
      <c r="B82" s="110" t="s">
        <v>251</v>
      </c>
      <c r="C82" s="114" t="s">
        <v>207</v>
      </c>
      <c r="D82" s="114" t="s">
        <v>3</v>
      </c>
      <c r="E82" s="114" t="s">
        <v>27</v>
      </c>
      <c r="F82" s="115" t="s">
        <v>269</v>
      </c>
    </row>
    <row r="83" spans="1:6" ht="18" customHeight="1">
      <c r="A83" s="109">
        <v>80</v>
      </c>
      <c r="B83" s="110" t="s">
        <v>251</v>
      </c>
      <c r="C83" s="123" t="s">
        <v>207</v>
      </c>
      <c r="D83" s="123" t="s">
        <v>3</v>
      </c>
      <c r="E83" s="123" t="s">
        <v>27</v>
      </c>
      <c r="F83" s="124" t="s">
        <v>270</v>
      </c>
    </row>
    <row r="84" spans="1:6" ht="18" customHeight="1">
      <c r="A84" s="109">
        <v>81</v>
      </c>
      <c r="B84" s="110" t="s">
        <v>251</v>
      </c>
      <c r="C84" s="123" t="s">
        <v>207</v>
      </c>
      <c r="D84" s="123" t="s">
        <v>3</v>
      </c>
      <c r="E84" s="123" t="s">
        <v>27</v>
      </c>
      <c r="F84" s="124" t="s">
        <v>271</v>
      </c>
    </row>
    <row r="85" spans="1:6" ht="18" customHeight="1">
      <c r="A85" s="109">
        <v>82</v>
      </c>
      <c r="B85" s="110" t="s">
        <v>251</v>
      </c>
      <c r="C85" s="123" t="s">
        <v>207</v>
      </c>
      <c r="D85" s="123" t="s">
        <v>3</v>
      </c>
      <c r="E85" s="123" t="s">
        <v>27</v>
      </c>
      <c r="F85" s="124" t="s">
        <v>272</v>
      </c>
    </row>
    <row r="86" spans="1:6" ht="18" customHeight="1">
      <c r="A86" s="109">
        <v>83</v>
      </c>
      <c r="B86" s="110" t="s">
        <v>251</v>
      </c>
      <c r="C86" s="123" t="s">
        <v>207</v>
      </c>
      <c r="D86" s="123" t="s">
        <v>3</v>
      </c>
      <c r="E86" s="123" t="s">
        <v>27</v>
      </c>
      <c r="F86" s="124" t="s">
        <v>273</v>
      </c>
    </row>
    <row r="87" spans="1:6" ht="18" customHeight="1">
      <c r="A87" s="109">
        <v>84</v>
      </c>
      <c r="B87" s="110" t="s">
        <v>251</v>
      </c>
      <c r="C87" s="114" t="s">
        <v>212</v>
      </c>
      <c r="D87" s="114" t="s">
        <v>3</v>
      </c>
      <c r="E87" s="114" t="s">
        <v>27</v>
      </c>
      <c r="F87" s="115" t="s">
        <v>274</v>
      </c>
    </row>
    <row r="88" spans="1:6" ht="18" customHeight="1">
      <c r="A88" s="109">
        <v>85</v>
      </c>
      <c r="B88" s="110" t="s">
        <v>251</v>
      </c>
      <c r="C88" s="114" t="s">
        <v>212</v>
      </c>
      <c r="D88" s="114" t="s">
        <v>3</v>
      </c>
      <c r="E88" s="114" t="s">
        <v>27</v>
      </c>
      <c r="F88" s="115" t="s">
        <v>275</v>
      </c>
    </row>
    <row r="89" spans="1:6" ht="18" customHeight="1">
      <c r="A89" s="109">
        <v>86</v>
      </c>
      <c r="B89" s="110" t="s">
        <v>251</v>
      </c>
      <c r="C89" s="114" t="s">
        <v>212</v>
      </c>
      <c r="D89" s="114" t="s">
        <v>3</v>
      </c>
      <c r="E89" s="114" t="s">
        <v>27</v>
      </c>
      <c r="F89" s="115" t="s">
        <v>276</v>
      </c>
    </row>
    <row r="90" spans="1:6" ht="18" customHeight="1">
      <c r="A90" s="109">
        <v>87</v>
      </c>
      <c r="B90" s="110" t="s">
        <v>251</v>
      </c>
      <c r="C90" s="114" t="s">
        <v>212</v>
      </c>
      <c r="D90" s="114" t="s">
        <v>3</v>
      </c>
      <c r="E90" s="114" t="s">
        <v>27</v>
      </c>
      <c r="F90" s="115" t="s">
        <v>277</v>
      </c>
    </row>
    <row r="91" spans="1:6" ht="18" customHeight="1">
      <c r="A91" s="109">
        <v>88</v>
      </c>
      <c r="B91" s="110" t="s">
        <v>251</v>
      </c>
      <c r="C91" s="114" t="s">
        <v>212</v>
      </c>
      <c r="D91" s="114" t="s">
        <v>3</v>
      </c>
      <c r="E91" s="114" t="s">
        <v>27</v>
      </c>
      <c r="F91" s="115" t="s">
        <v>278</v>
      </c>
    </row>
    <row r="92" spans="1:6" ht="18" customHeight="1">
      <c r="A92" s="109">
        <v>89</v>
      </c>
      <c r="B92" s="110" t="s">
        <v>251</v>
      </c>
      <c r="C92" s="114" t="s">
        <v>212</v>
      </c>
      <c r="D92" s="114" t="s">
        <v>3</v>
      </c>
      <c r="E92" s="114" t="s">
        <v>27</v>
      </c>
      <c r="F92" s="115" t="s">
        <v>279</v>
      </c>
    </row>
    <row r="93" spans="1:6" ht="18" customHeight="1">
      <c r="A93" s="109">
        <v>90</v>
      </c>
      <c r="B93" s="110" t="s">
        <v>251</v>
      </c>
      <c r="C93" s="114" t="s">
        <v>212</v>
      </c>
      <c r="D93" s="114" t="s">
        <v>3</v>
      </c>
      <c r="E93" s="114" t="s">
        <v>27</v>
      </c>
      <c r="F93" s="115" t="s">
        <v>280</v>
      </c>
    </row>
    <row r="94" spans="1:6" ht="18" customHeight="1">
      <c r="A94" s="109">
        <v>91</v>
      </c>
      <c r="B94" s="116" t="s">
        <v>251</v>
      </c>
      <c r="C94" s="117" t="s">
        <v>212</v>
      </c>
      <c r="D94" s="117" t="s">
        <v>3</v>
      </c>
      <c r="E94" s="117" t="s">
        <v>27</v>
      </c>
      <c r="F94" s="118" t="s">
        <v>281</v>
      </c>
    </row>
    <row r="95" spans="1:6" ht="18" customHeight="1">
      <c r="A95" s="109">
        <v>92</v>
      </c>
      <c r="B95" s="116" t="s">
        <v>251</v>
      </c>
      <c r="C95" s="114" t="s">
        <v>212</v>
      </c>
      <c r="D95" s="114" t="s">
        <v>3</v>
      </c>
      <c r="E95" s="114" t="s">
        <v>27</v>
      </c>
      <c r="F95" s="115" t="s">
        <v>282</v>
      </c>
    </row>
    <row r="96" spans="1:6" ht="18" customHeight="1">
      <c r="A96" s="128">
        <v>93</v>
      </c>
      <c r="B96" s="120" t="s">
        <v>251</v>
      </c>
      <c r="C96" s="120" t="s">
        <v>212</v>
      </c>
      <c r="D96" s="120" t="s">
        <v>3</v>
      </c>
      <c r="E96" s="120" t="s">
        <v>27</v>
      </c>
      <c r="F96" s="121" t="s">
        <v>283</v>
      </c>
    </row>
    <row r="97" spans="1:6" ht="18" customHeight="1">
      <c r="A97" s="129">
        <v>94</v>
      </c>
      <c r="B97" s="110" t="s">
        <v>284</v>
      </c>
      <c r="C97" s="111" t="s">
        <v>254</v>
      </c>
      <c r="D97" s="111" t="s">
        <v>3</v>
      </c>
      <c r="E97" s="111" t="s">
        <v>27</v>
      </c>
      <c r="F97" s="112" t="s">
        <v>285</v>
      </c>
    </row>
    <row r="98" spans="1:6" ht="18" customHeight="1">
      <c r="A98" s="109">
        <v>95</v>
      </c>
      <c r="B98" s="110" t="s">
        <v>284</v>
      </c>
      <c r="C98" s="111" t="s">
        <v>254</v>
      </c>
      <c r="D98" s="111" t="s">
        <v>3</v>
      </c>
      <c r="E98" s="111" t="s">
        <v>27</v>
      </c>
      <c r="F98" s="112" t="s">
        <v>286</v>
      </c>
    </row>
    <row r="99" spans="1:6" ht="18" customHeight="1">
      <c r="A99" s="109">
        <v>96</v>
      </c>
      <c r="B99" s="110" t="s">
        <v>284</v>
      </c>
      <c r="C99" s="111" t="s">
        <v>254</v>
      </c>
      <c r="D99" s="111" t="s">
        <v>3</v>
      </c>
      <c r="E99" s="111" t="s">
        <v>27</v>
      </c>
      <c r="F99" s="112" t="s">
        <v>287</v>
      </c>
    </row>
    <row r="100" spans="1:6" ht="18" customHeight="1">
      <c r="A100" s="109">
        <v>97</v>
      </c>
      <c r="B100" s="110" t="s">
        <v>284</v>
      </c>
      <c r="C100" s="114" t="s">
        <v>288</v>
      </c>
      <c r="D100" s="114" t="s">
        <v>3</v>
      </c>
      <c r="E100" s="114" t="s">
        <v>27</v>
      </c>
      <c r="F100" s="115" t="s">
        <v>289</v>
      </c>
    </row>
    <row r="101" spans="1:6" ht="18" customHeight="1">
      <c r="A101" s="109">
        <v>98</v>
      </c>
      <c r="B101" s="110" t="s">
        <v>284</v>
      </c>
      <c r="C101" s="114" t="s">
        <v>288</v>
      </c>
      <c r="D101" s="114" t="s">
        <v>3</v>
      </c>
      <c r="E101" s="114" t="s">
        <v>27</v>
      </c>
      <c r="F101" s="115" t="s">
        <v>290</v>
      </c>
    </row>
    <row r="102" spans="1:6" ht="18" customHeight="1">
      <c r="A102" s="109">
        <v>99</v>
      </c>
      <c r="B102" s="110" t="s">
        <v>284</v>
      </c>
      <c r="C102" s="114" t="s">
        <v>288</v>
      </c>
      <c r="D102" s="114" t="s">
        <v>3</v>
      </c>
      <c r="E102" s="114" t="s">
        <v>27</v>
      </c>
      <c r="F102" s="115" t="s">
        <v>291</v>
      </c>
    </row>
    <row r="103" spans="1:6" ht="18" customHeight="1">
      <c r="A103" s="109">
        <v>100</v>
      </c>
      <c r="B103" s="110" t="s">
        <v>284</v>
      </c>
      <c r="C103" s="114" t="s">
        <v>288</v>
      </c>
      <c r="D103" s="114" t="s">
        <v>3</v>
      </c>
      <c r="E103" s="114" t="s">
        <v>27</v>
      </c>
      <c r="F103" s="115" t="s">
        <v>292</v>
      </c>
    </row>
    <row r="104" spans="1:6" ht="18" customHeight="1">
      <c r="A104" s="109">
        <v>101</v>
      </c>
      <c r="B104" s="110" t="s">
        <v>284</v>
      </c>
      <c r="C104" s="114" t="s">
        <v>293</v>
      </c>
      <c r="D104" s="114" t="s">
        <v>3</v>
      </c>
      <c r="E104" s="114" t="s">
        <v>27</v>
      </c>
      <c r="F104" s="115" t="s">
        <v>294</v>
      </c>
    </row>
    <row r="105" spans="1:6" ht="18" customHeight="1">
      <c r="A105" s="109">
        <v>102</v>
      </c>
      <c r="B105" s="110" t="s">
        <v>284</v>
      </c>
      <c r="C105" s="114" t="s">
        <v>293</v>
      </c>
      <c r="D105" s="114" t="s">
        <v>3</v>
      </c>
      <c r="E105" s="114" t="s">
        <v>27</v>
      </c>
      <c r="F105" s="115" t="s">
        <v>295</v>
      </c>
    </row>
    <row r="106" spans="1:6" ht="18" customHeight="1">
      <c r="A106" s="109">
        <v>103</v>
      </c>
      <c r="B106" s="110" t="s">
        <v>284</v>
      </c>
      <c r="C106" s="114" t="s">
        <v>293</v>
      </c>
      <c r="D106" s="114" t="s">
        <v>3</v>
      </c>
      <c r="E106" s="114" t="s">
        <v>27</v>
      </c>
      <c r="F106" s="115" t="s">
        <v>296</v>
      </c>
    </row>
    <row r="107" spans="1:6" ht="18" customHeight="1">
      <c r="A107" s="109">
        <v>104</v>
      </c>
      <c r="B107" s="110" t="s">
        <v>284</v>
      </c>
      <c r="C107" s="113" t="s">
        <v>297</v>
      </c>
      <c r="D107" s="113" t="s">
        <v>3</v>
      </c>
      <c r="E107" s="111" t="s">
        <v>27</v>
      </c>
      <c r="F107" s="112" t="s">
        <v>298</v>
      </c>
    </row>
    <row r="108" spans="1:6" ht="18" customHeight="1">
      <c r="A108" s="109">
        <v>105</v>
      </c>
      <c r="B108" s="110" t="s">
        <v>284</v>
      </c>
      <c r="C108" s="113" t="s">
        <v>297</v>
      </c>
      <c r="D108" s="113" t="s">
        <v>3</v>
      </c>
      <c r="E108" s="111" t="s">
        <v>27</v>
      </c>
      <c r="F108" s="112" t="s">
        <v>299</v>
      </c>
    </row>
    <row r="109" spans="1:6" ht="18" customHeight="1">
      <c r="A109" s="109">
        <v>106</v>
      </c>
      <c r="B109" s="110" t="s">
        <v>284</v>
      </c>
      <c r="C109" s="113" t="s">
        <v>297</v>
      </c>
      <c r="D109" s="113" t="s">
        <v>3</v>
      </c>
      <c r="E109" s="111" t="s">
        <v>27</v>
      </c>
      <c r="F109" s="112" t="s">
        <v>300</v>
      </c>
    </row>
    <row r="110" spans="1:6" ht="18" customHeight="1">
      <c r="A110" s="109">
        <v>107</v>
      </c>
      <c r="B110" s="110" t="s">
        <v>284</v>
      </c>
      <c r="C110" s="114" t="s">
        <v>198</v>
      </c>
      <c r="D110" s="114" t="s">
        <v>3</v>
      </c>
      <c r="E110" s="114" t="s">
        <v>27</v>
      </c>
      <c r="F110" s="115" t="s">
        <v>301</v>
      </c>
    </row>
    <row r="111" spans="1:6" ht="18" customHeight="1">
      <c r="A111" s="109">
        <v>108</v>
      </c>
      <c r="B111" s="110" t="s">
        <v>284</v>
      </c>
      <c r="C111" s="114" t="s">
        <v>198</v>
      </c>
      <c r="D111" s="114" t="s">
        <v>3</v>
      </c>
      <c r="E111" s="114" t="s">
        <v>27</v>
      </c>
      <c r="F111" s="115" t="s">
        <v>302</v>
      </c>
    </row>
    <row r="112" spans="1:6" ht="18" customHeight="1">
      <c r="A112" s="109">
        <v>109</v>
      </c>
      <c r="B112" s="110" t="s">
        <v>284</v>
      </c>
      <c r="C112" s="114" t="s">
        <v>198</v>
      </c>
      <c r="D112" s="114" t="s">
        <v>3</v>
      </c>
      <c r="E112" s="114" t="s">
        <v>27</v>
      </c>
      <c r="F112" s="115" t="s">
        <v>303</v>
      </c>
    </row>
    <row r="113" spans="1:6" ht="18" customHeight="1">
      <c r="A113" s="109">
        <v>110</v>
      </c>
      <c r="B113" s="110" t="s">
        <v>284</v>
      </c>
      <c r="C113" s="114" t="s">
        <v>198</v>
      </c>
      <c r="D113" s="114" t="s">
        <v>3</v>
      </c>
      <c r="E113" s="114" t="s">
        <v>27</v>
      </c>
      <c r="F113" s="115" t="s">
        <v>304</v>
      </c>
    </row>
    <row r="114" spans="1:6" ht="18" customHeight="1">
      <c r="A114" s="109">
        <v>111</v>
      </c>
      <c r="B114" s="110" t="s">
        <v>284</v>
      </c>
      <c r="C114" s="114" t="s">
        <v>198</v>
      </c>
      <c r="D114" s="114" t="s">
        <v>3</v>
      </c>
      <c r="E114" s="114" t="s">
        <v>27</v>
      </c>
      <c r="F114" s="115" t="s">
        <v>305</v>
      </c>
    </row>
    <row r="115" spans="1:6" ht="18" customHeight="1">
      <c r="A115" s="109">
        <v>112</v>
      </c>
      <c r="B115" s="110" t="s">
        <v>284</v>
      </c>
      <c r="C115" s="130" t="s">
        <v>306</v>
      </c>
      <c r="D115" s="114" t="s">
        <v>3</v>
      </c>
      <c r="E115" s="114" t="s">
        <v>27</v>
      </c>
      <c r="F115" s="115" t="s">
        <v>307</v>
      </c>
    </row>
    <row r="116" spans="1:6" ht="18" customHeight="1">
      <c r="A116" s="109">
        <v>113</v>
      </c>
      <c r="B116" s="110" t="s">
        <v>284</v>
      </c>
      <c r="C116" s="114" t="s">
        <v>308</v>
      </c>
      <c r="D116" s="114" t="s">
        <v>3</v>
      </c>
      <c r="E116" s="114" t="s">
        <v>27</v>
      </c>
      <c r="F116" s="115" t="s">
        <v>309</v>
      </c>
    </row>
    <row r="117" spans="1:6" ht="18" customHeight="1">
      <c r="A117" s="109">
        <v>114</v>
      </c>
      <c r="B117" s="110" t="s">
        <v>284</v>
      </c>
      <c r="C117" s="114" t="s">
        <v>310</v>
      </c>
      <c r="D117" s="114" t="s">
        <v>3</v>
      </c>
      <c r="E117" s="114" t="s">
        <v>27</v>
      </c>
      <c r="F117" s="115" t="s">
        <v>311</v>
      </c>
    </row>
    <row r="118" spans="1:6" ht="18" customHeight="1">
      <c r="A118" s="109">
        <v>115</v>
      </c>
      <c r="B118" s="110" t="s">
        <v>284</v>
      </c>
      <c r="C118" s="114" t="s">
        <v>310</v>
      </c>
      <c r="D118" s="114" t="s">
        <v>3</v>
      </c>
      <c r="E118" s="114" t="s">
        <v>27</v>
      </c>
      <c r="F118" s="115" t="s">
        <v>312</v>
      </c>
    </row>
    <row r="119" spans="1:6" ht="18" customHeight="1">
      <c r="A119" s="109">
        <v>116</v>
      </c>
      <c r="B119" s="110" t="s">
        <v>284</v>
      </c>
      <c r="C119" s="113" t="s">
        <v>202</v>
      </c>
      <c r="D119" s="114" t="s">
        <v>3</v>
      </c>
      <c r="E119" s="114" t="s">
        <v>27</v>
      </c>
      <c r="F119" s="115" t="s">
        <v>313</v>
      </c>
    </row>
    <row r="120" spans="1:6" ht="18" customHeight="1">
      <c r="A120" s="109">
        <v>117</v>
      </c>
      <c r="B120" s="110" t="s">
        <v>284</v>
      </c>
      <c r="C120" s="113" t="s">
        <v>202</v>
      </c>
      <c r="D120" s="114" t="s">
        <v>3</v>
      </c>
      <c r="E120" s="114" t="s">
        <v>27</v>
      </c>
      <c r="F120" s="115" t="s">
        <v>314</v>
      </c>
    </row>
    <row r="121" spans="1:6" ht="18" customHeight="1">
      <c r="A121" s="109">
        <v>118</v>
      </c>
      <c r="B121" s="110" t="s">
        <v>284</v>
      </c>
      <c r="C121" s="113" t="s">
        <v>202</v>
      </c>
      <c r="D121" s="114" t="s">
        <v>3</v>
      </c>
      <c r="E121" s="114" t="s">
        <v>27</v>
      </c>
      <c r="F121" s="115" t="s">
        <v>315</v>
      </c>
    </row>
    <row r="122" spans="1:6" ht="18" customHeight="1">
      <c r="A122" s="109">
        <v>119</v>
      </c>
      <c r="B122" s="110" t="s">
        <v>284</v>
      </c>
      <c r="C122" s="113" t="s">
        <v>202</v>
      </c>
      <c r="D122" s="114" t="s">
        <v>3</v>
      </c>
      <c r="E122" s="114" t="s">
        <v>27</v>
      </c>
      <c r="F122" s="115" t="s">
        <v>276</v>
      </c>
    </row>
    <row r="123" spans="1:6" ht="18" customHeight="1">
      <c r="A123" s="109">
        <v>120</v>
      </c>
      <c r="B123" s="110" t="s">
        <v>284</v>
      </c>
      <c r="C123" s="113" t="s">
        <v>202</v>
      </c>
      <c r="D123" s="114" t="s">
        <v>3</v>
      </c>
      <c r="E123" s="114" t="s">
        <v>27</v>
      </c>
      <c r="F123" s="115" t="s">
        <v>316</v>
      </c>
    </row>
    <row r="124" spans="1:6" ht="18" customHeight="1">
      <c r="A124" s="109">
        <v>121</v>
      </c>
      <c r="B124" s="110" t="s">
        <v>284</v>
      </c>
      <c r="C124" s="123" t="s">
        <v>207</v>
      </c>
      <c r="D124" s="123" t="s">
        <v>3</v>
      </c>
      <c r="E124" s="123" t="s">
        <v>27</v>
      </c>
      <c r="F124" s="124" t="s">
        <v>317</v>
      </c>
    </row>
    <row r="125" spans="1:6" ht="18" customHeight="1">
      <c r="A125" s="109">
        <v>122</v>
      </c>
      <c r="B125" s="110" t="s">
        <v>284</v>
      </c>
      <c r="C125" s="123" t="s">
        <v>207</v>
      </c>
      <c r="D125" s="123" t="s">
        <v>3</v>
      </c>
      <c r="E125" s="123" t="s">
        <v>27</v>
      </c>
      <c r="F125" s="124" t="s">
        <v>318</v>
      </c>
    </row>
    <row r="126" spans="1:6" ht="18" customHeight="1">
      <c r="A126" s="109">
        <v>123</v>
      </c>
      <c r="B126" s="116" t="s">
        <v>284</v>
      </c>
      <c r="C126" s="123" t="s">
        <v>207</v>
      </c>
      <c r="D126" s="123" t="s">
        <v>3</v>
      </c>
      <c r="E126" s="123" t="s">
        <v>27</v>
      </c>
      <c r="F126" s="124" t="s">
        <v>319</v>
      </c>
    </row>
    <row r="127" spans="1:6" ht="18" customHeight="1">
      <c r="A127" s="109">
        <v>124</v>
      </c>
      <c r="B127" s="114" t="s">
        <v>284</v>
      </c>
      <c r="C127" s="123" t="s">
        <v>207</v>
      </c>
      <c r="D127" s="123" t="s">
        <v>3</v>
      </c>
      <c r="E127" s="123" t="s">
        <v>27</v>
      </c>
      <c r="F127" s="124" t="s">
        <v>320</v>
      </c>
    </row>
    <row r="128" spans="1:6" ht="18" customHeight="1">
      <c r="A128" s="128">
        <v>125</v>
      </c>
      <c r="B128" s="131" t="s">
        <v>284</v>
      </c>
      <c r="C128" s="126" t="s">
        <v>207</v>
      </c>
      <c r="D128" s="126" t="s">
        <v>3</v>
      </c>
      <c r="E128" s="126" t="s">
        <v>27</v>
      </c>
      <c r="F128" s="127" t="s">
        <v>321</v>
      </c>
    </row>
    <row r="129" spans="1:6" ht="18" customHeight="1">
      <c r="A129" s="129">
        <v>126</v>
      </c>
      <c r="B129" s="110" t="s">
        <v>322</v>
      </c>
      <c r="C129" s="114" t="s">
        <v>288</v>
      </c>
      <c r="D129" s="114" t="s">
        <v>3</v>
      </c>
      <c r="E129" s="114" t="s">
        <v>27</v>
      </c>
      <c r="F129" s="115" t="s">
        <v>323</v>
      </c>
    </row>
    <row r="130" spans="1:6" ht="18" customHeight="1">
      <c r="A130" s="109">
        <v>127</v>
      </c>
      <c r="B130" s="110" t="s">
        <v>322</v>
      </c>
      <c r="C130" s="114" t="s">
        <v>288</v>
      </c>
      <c r="D130" s="114" t="s">
        <v>3</v>
      </c>
      <c r="E130" s="114" t="s">
        <v>27</v>
      </c>
      <c r="F130" s="115" t="s">
        <v>324</v>
      </c>
    </row>
    <row r="131" spans="1:6" ht="18" customHeight="1">
      <c r="A131" s="109">
        <v>128</v>
      </c>
      <c r="B131" s="110" t="s">
        <v>322</v>
      </c>
      <c r="C131" s="114" t="s">
        <v>288</v>
      </c>
      <c r="D131" s="114" t="s">
        <v>3</v>
      </c>
      <c r="E131" s="114" t="s">
        <v>27</v>
      </c>
      <c r="F131" s="115" t="s">
        <v>325</v>
      </c>
    </row>
    <row r="132" spans="1:6" ht="18" customHeight="1">
      <c r="A132" s="109">
        <v>129</v>
      </c>
      <c r="B132" s="110" t="s">
        <v>322</v>
      </c>
      <c r="C132" s="114" t="s">
        <v>288</v>
      </c>
      <c r="D132" s="114" t="s">
        <v>3</v>
      </c>
      <c r="E132" s="114" t="s">
        <v>27</v>
      </c>
      <c r="F132" s="115" t="s">
        <v>326</v>
      </c>
    </row>
    <row r="133" spans="1:6" ht="18" customHeight="1">
      <c r="A133" s="109">
        <v>130</v>
      </c>
      <c r="B133" s="110" t="s">
        <v>322</v>
      </c>
      <c r="C133" s="114" t="s">
        <v>288</v>
      </c>
      <c r="D133" s="114" t="s">
        <v>3</v>
      </c>
      <c r="E133" s="114" t="s">
        <v>27</v>
      </c>
      <c r="F133" s="115" t="s">
        <v>327</v>
      </c>
    </row>
    <row r="134" spans="1:6" ht="18" customHeight="1">
      <c r="A134" s="109">
        <v>131</v>
      </c>
      <c r="B134" s="110" t="s">
        <v>322</v>
      </c>
      <c r="C134" s="111" t="s">
        <v>182</v>
      </c>
      <c r="D134" s="111" t="s">
        <v>3</v>
      </c>
      <c r="E134" s="111" t="s">
        <v>27</v>
      </c>
      <c r="F134" s="112" t="s">
        <v>328</v>
      </c>
    </row>
    <row r="135" spans="1:6" ht="18" customHeight="1">
      <c r="A135" s="109">
        <v>132</v>
      </c>
      <c r="B135" s="110" t="s">
        <v>322</v>
      </c>
      <c r="C135" s="111" t="s">
        <v>182</v>
      </c>
      <c r="D135" s="111" t="s">
        <v>3</v>
      </c>
      <c r="E135" s="111" t="s">
        <v>27</v>
      </c>
      <c r="F135" s="112" t="s">
        <v>329</v>
      </c>
    </row>
    <row r="136" spans="1:6" ht="18" customHeight="1">
      <c r="A136" s="109">
        <v>133</v>
      </c>
      <c r="B136" s="110" t="s">
        <v>322</v>
      </c>
      <c r="C136" s="111" t="s">
        <v>182</v>
      </c>
      <c r="D136" s="111" t="s">
        <v>3</v>
      </c>
      <c r="E136" s="111" t="s">
        <v>27</v>
      </c>
      <c r="F136" s="112" t="s">
        <v>36</v>
      </c>
    </row>
    <row r="137" spans="1:6" ht="18" customHeight="1">
      <c r="A137" s="109">
        <v>134</v>
      </c>
      <c r="B137" s="110" t="s">
        <v>322</v>
      </c>
      <c r="C137" s="111" t="s">
        <v>182</v>
      </c>
      <c r="D137" s="111" t="s">
        <v>3</v>
      </c>
      <c r="E137" s="111" t="s">
        <v>27</v>
      </c>
      <c r="F137" s="112" t="s">
        <v>330</v>
      </c>
    </row>
    <row r="138" spans="1:6" ht="18" customHeight="1">
      <c r="A138" s="109">
        <v>135</v>
      </c>
      <c r="B138" s="110" t="s">
        <v>322</v>
      </c>
      <c r="C138" s="123" t="s">
        <v>193</v>
      </c>
      <c r="D138" s="123" t="s">
        <v>3</v>
      </c>
      <c r="E138" s="123" t="s">
        <v>27</v>
      </c>
      <c r="F138" s="124" t="s">
        <v>331</v>
      </c>
    </row>
    <row r="139" spans="1:6" ht="18" customHeight="1">
      <c r="A139" s="109">
        <v>136</v>
      </c>
      <c r="B139" s="110" t="s">
        <v>322</v>
      </c>
      <c r="C139" s="114" t="s">
        <v>193</v>
      </c>
      <c r="D139" s="114" t="s">
        <v>3</v>
      </c>
      <c r="E139" s="114" t="s">
        <v>27</v>
      </c>
      <c r="F139" s="115" t="s">
        <v>332</v>
      </c>
    </row>
    <row r="140" spans="1:6" ht="18" customHeight="1">
      <c r="A140" s="109">
        <v>137</v>
      </c>
      <c r="B140" s="110" t="s">
        <v>322</v>
      </c>
      <c r="C140" s="114" t="s">
        <v>193</v>
      </c>
      <c r="D140" s="114" t="s">
        <v>3</v>
      </c>
      <c r="E140" s="114" t="s">
        <v>27</v>
      </c>
      <c r="F140" s="115" t="s">
        <v>333</v>
      </c>
    </row>
    <row r="141" spans="1:6" ht="18" customHeight="1">
      <c r="A141" s="109">
        <v>138</v>
      </c>
      <c r="B141" s="110" t="s">
        <v>322</v>
      </c>
      <c r="C141" s="114" t="s">
        <v>193</v>
      </c>
      <c r="D141" s="114" t="s">
        <v>3</v>
      </c>
      <c r="E141" s="114" t="s">
        <v>27</v>
      </c>
      <c r="F141" s="115" t="s">
        <v>253</v>
      </c>
    </row>
    <row r="142" spans="1:6" ht="18" customHeight="1">
      <c r="A142" s="109">
        <v>139</v>
      </c>
      <c r="B142" s="110" t="s">
        <v>322</v>
      </c>
      <c r="C142" s="114" t="s">
        <v>193</v>
      </c>
      <c r="D142" s="114" t="s">
        <v>3</v>
      </c>
      <c r="E142" s="114" t="s">
        <v>27</v>
      </c>
      <c r="F142" s="115" t="s">
        <v>334</v>
      </c>
    </row>
    <row r="143" spans="1:6" ht="18" customHeight="1">
      <c r="A143" s="109">
        <v>140</v>
      </c>
      <c r="B143" s="110" t="s">
        <v>322</v>
      </c>
      <c r="C143" s="114" t="s">
        <v>335</v>
      </c>
      <c r="D143" s="114" t="s">
        <v>3</v>
      </c>
      <c r="E143" s="114" t="s">
        <v>27</v>
      </c>
      <c r="F143" s="115" t="s">
        <v>336</v>
      </c>
    </row>
    <row r="144" spans="1:6" ht="18" customHeight="1">
      <c r="A144" s="109">
        <v>141</v>
      </c>
      <c r="B144" s="110" t="s">
        <v>322</v>
      </c>
      <c r="C144" s="114" t="s">
        <v>335</v>
      </c>
      <c r="D144" s="114" t="s">
        <v>3</v>
      </c>
      <c r="E144" s="114" t="s">
        <v>27</v>
      </c>
      <c r="F144" s="115" t="s">
        <v>337</v>
      </c>
    </row>
    <row r="145" spans="1:6" ht="18" customHeight="1">
      <c r="A145" s="109">
        <v>142</v>
      </c>
      <c r="B145" s="110" t="s">
        <v>322</v>
      </c>
      <c r="C145" s="114" t="s">
        <v>335</v>
      </c>
      <c r="D145" s="114" t="s">
        <v>3</v>
      </c>
      <c r="E145" s="114" t="s">
        <v>27</v>
      </c>
      <c r="F145" s="115" t="s">
        <v>338</v>
      </c>
    </row>
    <row r="146" spans="1:6" ht="18" customHeight="1">
      <c r="A146" s="109">
        <v>143</v>
      </c>
      <c r="B146" s="110" t="s">
        <v>322</v>
      </c>
      <c r="C146" s="113" t="s">
        <v>202</v>
      </c>
      <c r="D146" s="114" t="s">
        <v>3</v>
      </c>
      <c r="E146" s="114" t="s">
        <v>27</v>
      </c>
      <c r="F146" s="115" t="s">
        <v>339</v>
      </c>
    </row>
    <row r="147" spans="1:6" ht="18" customHeight="1">
      <c r="A147" s="109">
        <v>144</v>
      </c>
      <c r="B147" s="110" t="s">
        <v>322</v>
      </c>
      <c r="C147" s="113" t="s">
        <v>202</v>
      </c>
      <c r="D147" s="114" t="s">
        <v>3</v>
      </c>
      <c r="E147" s="114" t="s">
        <v>27</v>
      </c>
      <c r="F147" s="115" t="s">
        <v>340</v>
      </c>
    </row>
    <row r="148" spans="1:6" ht="18" customHeight="1">
      <c r="A148" s="109">
        <v>145</v>
      </c>
      <c r="B148" s="110" t="s">
        <v>322</v>
      </c>
      <c r="C148" s="113" t="s">
        <v>202</v>
      </c>
      <c r="D148" s="114" t="s">
        <v>3</v>
      </c>
      <c r="E148" s="114" t="s">
        <v>27</v>
      </c>
      <c r="F148" s="115" t="s">
        <v>175</v>
      </c>
    </row>
    <row r="149" spans="1:6" ht="18" customHeight="1">
      <c r="A149" s="109">
        <v>146</v>
      </c>
      <c r="B149" s="110" t="s">
        <v>322</v>
      </c>
      <c r="C149" s="113" t="s">
        <v>202</v>
      </c>
      <c r="D149" s="114" t="s">
        <v>3</v>
      </c>
      <c r="E149" s="114" t="s">
        <v>27</v>
      </c>
      <c r="F149" s="115" t="s">
        <v>313</v>
      </c>
    </row>
    <row r="150" spans="1:6" ht="18" customHeight="1">
      <c r="A150" s="109">
        <v>147</v>
      </c>
      <c r="B150" s="110" t="s">
        <v>322</v>
      </c>
      <c r="C150" s="114" t="s">
        <v>207</v>
      </c>
      <c r="D150" s="114" t="s">
        <v>3</v>
      </c>
      <c r="E150" s="114" t="s">
        <v>27</v>
      </c>
      <c r="F150" s="115" t="s">
        <v>341</v>
      </c>
    </row>
    <row r="151" spans="1:6" ht="18" customHeight="1">
      <c r="A151" s="109">
        <v>148</v>
      </c>
      <c r="B151" s="110" t="s">
        <v>322</v>
      </c>
      <c r="C151" s="114" t="s">
        <v>207</v>
      </c>
      <c r="D151" s="114" t="s">
        <v>3</v>
      </c>
      <c r="E151" s="114" t="s">
        <v>27</v>
      </c>
      <c r="F151" s="115" t="s">
        <v>342</v>
      </c>
    </row>
    <row r="152" spans="1:6" ht="18" customHeight="1">
      <c r="A152" s="109">
        <v>149</v>
      </c>
      <c r="B152" s="110" t="s">
        <v>322</v>
      </c>
      <c r="C152" s="117" t="s">
        <v>207</v>
      </c>
      <c r="D152" s="117" t="s">
        <v>3</v>
      </c>
      <c r="E152" s="117" t="s">
        <v>27</v>
      </c>
      <c r="F152" s="118" t="s">
        <v>343</v>
      </c>
    </row>
    <row r="153" spans="1:6" ht="18" customHeight="1">
      <c r="A153" s="109">
        <v>150</v>
      </c>
      <c r="B153" s="110" t="s">
        <v>322</v>
      </c>
      <c r="C153" s="123" t="s">
        <v>207</v>
      </c>
      <c r="D153" s="123" t="s">
        <v>3</v>
      </c>
      <c r="E153" s="123" t="s">
        <v>27</v>
      </c>
      <c r="F153" s="124" t="s">
        <v>344</v>
      </c>
    </row>
    <row r="154" spans="1:6" ht="18" customHeight="1">
      <c r="A154" s="109">
        <v>151</v>
      </c>
      <c r="B154" s="110" t="s">
        <v>322</v>
      </c>
      <c r="C154" s="114" t="s">
        <v>212</v>
      </c>
      <c r="D154" s="114" t="s">
        <v>3</v>
      </c>
      <c r="E154" s="114" t="s">
        <v>27</v>
      </c>
      <c r="F154" s="115" t="s">
        <v>345</v>
      </c>
    </row>
    <row r="155" spans="1:6" ht="18" customHeight="1">
      <c r="A155" s="109">
        <v>152</v>
      </c>
      <c r="B155" s="110" t="s">
        <v>322</v>
      </c>
      <c r="C155" s="114" t="s">
        <v>212</v>
      </c>
      <c r="D155" s="114" t="s">
        <v>3</v>
      </c>
      <c r="E155" s="114" t="s">
        <v>27</v>
      </c>
      <c r="F155" s="115" t="s">
        <v>346</v>
      </c>
    </row>
    <row r="156" spans="1:6" ht="18" customHeight="1">
      <c r="A156" s="109">
        <v>153</v>
      </c>
      <c r="B156" s="110" t="s">
        <v>322</v>
      </c>
      <c r="C156" s="114" t="s">
        <v>212</v>
      </c>
      <c r="D156" s="114" t="s">
        <v>3</v>
      </c>
      <c r="E156" s="114" t="s">
        <v>27</v>
      </c>
      <c r="F156" s="115" t="s">
        <v>347</v>
      </c>
    </row>
    <row r="157" spans="1:6" ht="18" customHeight="1">
      <c r="A157" s="109">
        <v>154</v>
      </c>
      <c r="B157" s="110" t="s">
        <v>322</v>
      </c>
      <c r="C157" s="114" t="s">
        <v>212</v>
      </c>
      <c r="D157" s="114" t="s">
        <v>3</v>
      </c>
      <c r="E157" s="114" t="s">
        <v>27</v>
      </c>
      <c r="F157" s="115" t="s">
        <v>348</v>
      </c>
    </row>
    <row r="158" spans="1:6" ht="18" customHeight="1">
      <c r="A158" s="109">
        <v>155</v>
      </c>
      <c r="B158" s="116" t="s">
        <v>322</v>
      </c>
      <c r="C158" s="114" t="s">
        <v>212</v>
      </c>
      <c r="D158" s="114" t="s">
        <v>3</v>
      </c>
      <c r="E158" s="114" t="s">
        <v>27</v>
      </c>
      <c r="F158" s="115" t="s">
        <v>349</v>
      </c>
    </row>
    <row r="159" spans="1:6" ht="18" customHeight="1">
      <c r="A159" s="109">
        <v>156</v>
      </c>
      <c r="B159" s="114" t="s">
        <v>322</v>
      </c>
      <c r="C159" s="123" t="s">
        <v>247</v>
      </c>
      <c r="D159" s="123" t="s">
        <v>3</v>
      </c>
      <c r="E159" s="123" t="s">
        <v>27</v>
      </c>
      <c r="F159" s="124" t="s">
        <v>350</v>
      </c>
    </row>
    <row r="160" spans="1:6" ht="18" customHeight="1">
      <c r="A160" s="119">
        <v>157</v>
      </c>
      <c r="B160" s="125" t="s">
        <v>322</v>
      </c>
      <c r="C160" s="126" t="s">
        <v>247</v>
      </c>
      <c r="D160" s="126" t="s">
        <v>3</v>
      </c>
      <c r="E160" s="126" t="s">
        <v>27</v>
      </c>
      <c r="F160" s="127" t="s">
        <v>351</v>
      </c>
    </row>
    <row r="161" spans="1:6" ht="18" customHeight="1">
      <c r="A161" s="122">
        <v>158</v>
      </c>
      <c r="B161" s="110" t="s">
        <v>352</v>
      </c>
      <c r="C161" s="111" t="s">
        <v>254</v>
      </c>
      <c r="D161" s="111" t="s">
        <v>3</v>
      </c>
      <c r="E161" s="111" t="s">
        <v>29</v>
      </c>
      <c r="F161" s="112" t="s">
        <v>353</v>
      </c>
    </row>
    <row r="162" spans="1:6" ht="18" customHeight="1">
      <c r="A162" s="109">
        <v>159</v>
      </c>
      <c r="B162" s="110" t="s">
        <v>352</v>
      </c>
      <c r="C162" s="111" t="s">
        <v>254</v>
      </c>
      <c r="D162" s="111" t="s">
        <v>3</v>
      </c>
      <c r="E162" s="111" t="s">
        <v>29</v>
      </c>
      <c r="F162" s="112" t="s">
        <v>160</v>
      </c>
    </row>
    <row r="163" spans="1:6" ht="18" customHeight="1">
      <c r="A163" s="109">
        <v>160</v>
      </c>
      <c r="B163" s="110" t="s">
        <v>352</v>
      </c>
      <c r="C163" s="111" t="s">
        <v>354</v>
      </c>
      <c r="D163" s="111" t="s">
        <v>3</v>
      </c>
      <c r="E163" s="111" t="s">
        <v>29</v>
      </c>
      <c r="F163" s="112" t="s">
        <v>355</v>
      </c>
    </row>
    <row r="164" spans="1:6" ht="18" customHeight="1">
      <c r="A164" s="109">
        <v>161</v>
      </c>
      <c r="B164" s="110" t="s">
        <v>352</v>
      </c>
      <c r="C164" s="111" t="s">
        <v>354</v>
      </c>
      <c r="D164" s="111" t="s">
        <v>3</v>
      </c>
      <c r="E164" s="111" t="s">
        <v>29</v>
      </c>
      <c r="F164" s="112" t="s">
        <v>356</v>
      </c>
    </row>
    <row r="165" spans="1:6" ht="18" customHeight="1">
      <c r="A165" s="109">
        <v>162</v>
      </c>
      <c r="B165" s="110" t="s">
        <v>352</v>
      </c>
      <c r="C165" s="113" t="s">
        <v>182</v>
      </c>
      <c r="D165" s="113" t="s">
        <v>3</v>
      </c>
      <c r="E165" s="111" t="s">
        <v>29</v>
      </c>
      <c r="F165" s="112" t="s">
        <v>357</v>
      </c>
    </row>
    <row r="166" spans="1:6" ht="18" customHeight="1">
      <c r="A166" s="109">
        <v>163</v>
      </c>
      <c r="B166" s="110" t="s">
        <v>352</v>
      </c>
      <c r="C166" s="114" t="s">
        <v>358</v>
      </c>
      <c r="D166" s="114" t="s">
        <v>3</v>
      </c>
      <c r="E166" s="114" t="s">
        <v>29</v>
      </c>
      <c r="F166" s="115" t="s">
        <v>359</v>
      </c>
    </row>
    <row r="167" spans="1:6" ht="18" customHeight="1">
      <c r="A167" s="109">
        <v>164</v>
      </c>
      <c r="B167" s="110" t="s">
        <v>352</v>
      </c>
      <c r="C167" s="114" t="s">
        <v>219</v>
      </c>
      <c r="D167" s="114" t="s">
        <v>3</v>
      </c>
      <c r="E167" s="114" t="s">
        <v>29</v>
      </c>
      <c r="F167" s="115" t="s">
        <v>360</v>
      </c>
    </row>
    <row r="168" spans="1:6" ht="18" customHeight="1">
      <c r="A168" s="109">
        <v>165</v>
      </c>
      <c r="B168" s="110" t="s">
        <v>352</v>
      </c>
      <c r="C168" s="113" t="s">
        <v>297</v>
      </c>
      <c r="D168" s="113" t="s">
        <v>3</v>
      </c>
      <c r="E168" s="111" t="s">
        <v>29</v>
      </c>
      <c r="F168" s="112" t="s">
        <v>361</v>
      </c>
    </row>
    <row r="169" spans="1:6" ht="18" customHeight="1">
      <c r="A169" s="109">
        <v>166</v>
      </c>
      <c r="B169" s="110" t="s">
        <v>352</v>
      </c>
      <c r="C169" s="114" t="s">
        <v>308</v>
      </c>
      <c r="D169" s="114" t="s">
        <v>3</v>
      </c>
      <c r="E169" s="114" t="s">
        <v>29</v>
      </c>
      <c r="F169" s="115" t="s">
        <v>362</v>
      </c>
    </row>
    <row r="170" spans="1:6" ht="18" customHeight="1">
      <c r="A170" s="109">
        <v>167</v>
      </c>
      <c r="B170" s="110" t="s">
        <v>352</v>
      </c>
      <c r="C170" s="114" t="s">
        <v>363</v>
      </c>
      <c r="D170" s="114" t="s">
        <v>3</v>
      </c>
      <c r="E170" s="114" t="s">
        <v>29</v>
      </c>
      <c r="F170" s="115" t="s">
        <v>364</v>
      </c>
    </row>
    <row r="171" spans="1:6" ht="18" customHeight="1">
      <c r="A171" s="109">
        <v>168</v>
      </c>
      <c r="B171" s="110" t="s">
        <v>352</v>
      </c>
      <c r="C171" s="114" t="s">
        <v>363</v>
      </c>
      <c r="D171" s="114" t="s">
        <v>3</v>
      </c>
      <c r="E171" s="114" t="s">
        <v>29</v>
      </c>
      <c r="F171" s="115" t="s">
        <v>365</v>
      </c>
    </row>
    <row r="172" spans="1:6" ht="18" customHeight="1">
      <c r="A172" s="109">
        <v>169</v>
      </c>
      <c r="B172" s="110" t="s">
        <v>352</v>
      </c>
      <c r="C172" s="114" t="s">
        <v>363</v>
      </c>
      <c r="D172" s="114" t="s">
        <v>3</v>
      </c>
      <c r="E172" s="114" t="s">
        <v>29</v>
      </c>
      <c r="F172" s="115" t="s">
        <v>366</v>
      </c>
    </row>
    <row r="173" spans="1:6" ht="18" customHeight="1">
      <c r="A173" s="109">
        <v>170</v>
      </c>
      <c r="B173" s="110" t="s">
        <v>352</v>
      </c>
      <c r="C173" s="114" t="s">
        <v>363</v>
      </c>
      <c r="D173" s="114" t="s">
        <v>3</v>
      </c>
      <c r="E173" s="114" t="s">
        <v>29</v>
      </c>
      <c r="F173" s="115" t="s">
        <v>367</v>
      </c>
    </row>
    <row r="174" spans="1:6" ht="18" customHeight="1">
      <c r="A174" s="109">
        <v>171</v>
      </c>
      <c r="B174" s="110" t="s">
        <v>352</v>
      </c>
      <c r="C174" s="114" t="s">
        <v>363</v>
      </c>
      <c r="D174" s="114" t="s">
        <v>3</v>
      </c>
      <c r="E174" s="114" t="s">
        <v>29</v>
      </c>
      <c r="F174" s="115" t="s">
        <v>88</v>
      </c>
    </row>
    <row r="175" spans="1:6" ht="18" customHeight="1">
      <c r="A175" s="109">
        <v>172</v>
      </c>
      <c r="B175" s="110" t="s">
        <v>352</v>
      </c>
      <c r="C175" s="114" t="s">
        <v>363</v>
      </c>
      <c r="D175" s="114" t="s">
        <v>3</v>
      </c>
      <c r="E175" s="114" t="s">
        <v>29</v>
      </c>
      <c r="F175" s="115" t="s">
        <v>368</v>
      </c>
    </row>
    <row r="176" spans="1:6" ht="18" customHeight="1">
      <c r="A176" s="109">
        <v>173</v>
      </c>
      <c r="B176" s="110" t="s">
        <v>352</v>
      </c>
      <c r="C176" s="114" t="s">
        <v>363</v>
      </c>
      <c r="D176" s="114" t="s">
        <v>3</v>
      </c>
      <c r="E176" s="114" t="s">
        <v>29</v>
      </c>
      <c r="F176" s="115" t="s">
        <v>369</v>
      </c>
    </row>
    <row r="177" spans="1:6" ht="18" customHeight="1">
      <c r="A177" s="109">
        <v>174</v>
      </c>
      <c r="B177" s="110" t="s">
        <v>352</v>
      </c>
      <c r="C177" s="114" t="s">
        <v>363</v>
      </c>
      <c r="D177" s="114" t="s">
        <v>3</v>
      </c>
      <c r="E177" s="114" t="s">
        <v>29</v>
      </c>
      <c r="F177" s="115" t="s">
        <v>370</v>
      </c>
    </row>
    <row r="178" spans="1:6" ht="18" customHeight="1">
      <c r="A178" s="109">
        <v>175</v>
      </c>
      <c r="B178" s="110" t="s">
        <v>352</v>
      </c>
      <c r="C178" s="114" t="s">
        <v>363</v>
      </c>
      <c r="D178" s="114" t="s">
        <v>3</v>
      </c>
      <c r="E178" s="114" t="s">
        <v>29</v>
      </c>
      <c r="F178" s="115" t="s">
        <v>371</v>
      </c>
    </row>
    <row r="179" spans="1:6" ht="18" customHeight="1">
      <c r="A179" s="109">
        <v>176</v>
      </c>
      <c r="B179" s="110" t="s">
        <v>352</v>
      </c>
      <c r="C179" s="114" t="s">
        <v>363</v>
      </c>
      <c r="D179" s="114" t="s">
        <v>3</v>
      </c>
      <c r="E179" s="114" t="s">
        <v>29</v>
      </c>
      <c r="F179" s="115" t="s">
        <v>372</v>
      </c>
    </row>
    <row r="180" spans="1:6" ht="16.5" customHeight="1">
      <c r="A180" s="109">
        <v>177</v>
      </c>
      <c r="B180" s="110" t="s">
        <v>352</v>
      </c>
      <c r="C180" s="114" t="s">
        <v>363</v>
      </c>
      <c r="D180" s="114" t="s">
        <v>3</v>
      </c>
      <c r="E180" s="114" t="s">
        <v>29</v>
      </c>
      <c r="F180" s="115" t="s">
        <v>373</v>
      </c>
    </row>
    <row r="181" spans="1:6" ht="16.5" customHeight="1">
      <c r="A181" s="109">
        <v>178</v>
      </c>
      <c r="B181" s="110" t="s">
        <v>352</v>
      </c>
      <c r="C181" s="114" t="s">
        <v>374</v>
      </c>
      <c r="D181" s="114" t="s">
        <v>3</v>
      </c>
      <c r="E181" s="114" t="s">
        <v>29</v>
      </c>
      <c r="F181" s="115" t="s">
        <v>375</v>
      </c>
    </row>
    <row r="182" spans="1:6" ht="16.5" customHeight="1">
      <c r="A182" s="109">
        <v>179</v>
      </c>
      <c r="B182" s="110" t="s">
        <v>352</v>
      </c>
      <c r="C182" s="114" t="s">
        <v>374</v>
      </c>
      <c r="D182" s="114" t="s">
        <v>3</v>
      </c>
      <c r="E182" s="114" t="s">
        <v>29</v>
      </c>
      <c r="F182" s="115" t="s">
        <v>376</v>
      </c>
    </row>
    <row r="183" spans="1:6" ht="16.5" customHeight="1">
      <c r="A183" s="109">
        <v>180</v>
      </c>
      <c r="B183" s="110" t="s">
        <v>352</v>
      </c>
      <c r="C183" s="114" t="s">
        <v>374</v>
      </c>
      <c r="D183" s="114" t="s">
        <v>3</v>
      </c>
      <c r="E183" s="114" t="s">
        <v>29</v>
      </c>
      <c r="F183" s="115" t="s">
        <v>357</v>
      </c>
    </row>
    <row r="184" spans="1:6" ht="16.5" customHeight="1">
      <c r="A184" s="109">
        <v>181</v>
      </c>
      <c r="B184" s="110" t="s">
        <v>352</v>
      </c>
      <c r="C184" s="114" t="s">
        <v>374</v>
      </c>
      <c r="D184" s="114" t="s">
        <v>3</v>
      </c>
      <c r="E184" s="114" t="s">
        <v>29</v>
      </c>
      <c r="F184" s="115" t="s">
        <v>377</v>
      </c>
    </row>
    <row r="185" spans="1:6" ht="16.5" customHeight="1">
      <c r="A185" s="109">
        <v>182</v>
      </c>
      <c r="B185" s="110" t="s">
        <v>352</v>
      </c>
      <c r="C185" s="114" t="s">
        <v>374</v>
      </c>
      <c r="D185" s="114" t="s">
        <v>3</v>
      </c>
      <c r="E185" s="114" t="s">
        <v>29</v>
      </c>
      <c r="F185" s="115" t="s">
        <v>378</v>
      </c>
    </row>
    <row r="186" spans="1:6" ht="16.5" customHeight="1">
      <c r="A186" s="109">
        <v>183</v>
      </c>
      <c r="B186" s="110" t="s">
        <v>352</v>
      </c>
      <c r="C186" s="114" t="s">
        <v>374</v>
      </c>
      <c r="D186" s="114" t="s">
        <v>3</v>
      </c>
      <c r="E186" s="114" t="s">
        <v>29</v>
      </c>
      <c r="F186" s="115" t="s">
        <v>379</v>
      </c>
    </row>
    <row r="187" spans="1:6" ht="16.5" customHeight="1">
      <c r="A187" s="109">
        <v>184</v>
      </c>
      <c r="B187" s="110" t="s">
        <v>352</v>
      </c>
      <c r="C187" s="114" t="s">
        <v>374</v>
      </c>
      <c r="D187" s="114" t="s">
        <v>3</v>
      </c>
      <c r="E187" s="114" t="s">
        <v>29</v>
      </c>
      <c r="F187" s="115" t="s">
        <v>380</v>
      </c>
    </row>
    <row r="188" spans="1:6" ht="16.5" customHeight="1">
      <c r="A188" s="109">
        <v>185</v>
      </c>
      <c r="B188" s="110" t="s">
        <v>352</v>
      </c>
      <c r="C188" s="114" t="s">
        <v>374</v>
      </c>
      <c r="D188" s="114" t="s">
        <v>3</v>
      </c>
      <c r="E188" s="114" t="s">
        <v>29</v>
      </c>
      <c r="F188" s="115" t="s">
        <v>381</v>
      </c>
    </row>
    <row r="189" spans="1:6" ht="16.5" customHeight="1">
      <c r="A189" s="109">
        <v>186</v>
      </c>
      <c r="B189" s="110" t="s">
        <v>352</v>
      </c>
      <c r="C189" s="114" t="s">
        <v>374</v>
      </c>
      <c r="D189" s="114" t="s">
        <v>3</v>
      </c>
      <c r="E189" s="114" t="s">
        <v>29</v>
      </c>
      <c r="F189" s="115" t="s">
        <v>382</v>
      </c>
    </row>
    <row r="190" spans="1:6" ht="16.5" customHeight="1">
      <c r="A190" s="109">
        <v>187</v>
      </c>
      <c r="B190" s="110" t="s">
        <v>352</v>
      </c>
      <c r="C190" s="114" t="s">
        <v>374</v>
      </c>
      <c r="D190" s="114" t="s">
        <v>3</v>
      </c>
      <c r="E190" s="114" t="s">
        <v>29</v>
      </c>
      <c r="F190" s="115" t="s">
        <v>383</v>
      </c>
    </row>
    <row r="191" spans="1:6" ht="16.5" customHeight="1">
      <c r="A191" s="109">
        <v>188</v>
      </c>
      <c r="B191" s="110" t="s">
        <v>352</v>
      </c>
      <c r="C191" s="114" t="s">
        <v>374</v>
      </c>
      <c r="D191" s="114" t="s">
        <v>3</v>
      </c>
      <c r="E191" s="114" t="s">
        <v>29</v>
      </c>
      <c r="F191" s="115" t="s">
        <v>384</v>
      </c>
    </row>
    <row r="192" spans="1:6" ht="16.5" customHeight="1">
      <c r="A192" s="128">
        <v>189</v>
      </c>
      <c r="B192" s="125" t="s">
        <v>352</v>
      </c>
      <c r="C192" s="120" t="s">
        <v>374</v>
      </c>
      <c r="D192" s="120" t="s">
        <v>3</v>
      </c>
      <c r="E192" s="120" t="s">
        <v>29</v>
      </c>
      <c r="F192" s="121" t="s">
        <v>385</v>
      </c>
    </row>
    <row r="193" spans="1:6" ht="16.5" customHeight="1">
      <c r="A193" s="129">
        <v>190</v>
      </c>
      <c r="B193" s="110" t="s">
        <v>386</v>
      </c>
      <c r="C193" s="114" t="s">
        <v>363</v>
      </c>
      <c r="D193" s="114" t="s">
        <v>3</v>
      </c>
      <c r="E193" s="114" t="s">
        <v>29</v>
      </c>
      <c r="F193" s="115" t="s">
        <v>387</v>
      </c>
    </row>
    <row r="194" spans="1:6" ht="16.5" customHeight="1">
      <c r="A194" s="109">
        <v>191</v>
      </c>
      <c r="B194" s="110" t="s">
        <v>386</v>
      </c>
      <c r="C194" s="114" t="s">
        <v>363</v>
      </c>
      <c r="D194" s="114" t="s">
        <v>3</v>
      </c>
      <c r="E194" s="114" t="s">
        <v>29</v>
      </c>
      <c r="F194" s="115" t="s">
        <v>388</v>
      </c>
    </row>
    <row r="195" spans="1:6" ht="16.5" customHeight="1">
      <c r="A195" s="109">
        <v>192</v>
      </c>
      <c r="B195" s="110" t="s">
        <v>386</v>
      </c>
      <c r="C195" s="114" t="s">
        <v>363</v>
      </c>
      <c r="D195" s="114" t="s">
        <v>3</v>
      </c>
      <c r="E195" s="114" t="s">
        <v>29</v>
      </c>
      <c r="F195" s="115" t="s">
        <v>389</v>
      </c>
    </row>
    <row r="196" spans="1:6" ht="16.5" customHeight="1">
      <c r="A196" s="109">
        <v>193</v>
      </c>
      <c r="B196" s="110" t="s">
        <v>386</v>
      </c>
      <c r="C196" s="114" t="s">
        <v>363</v>
      </c>
      <c r="D196" s="114" t="s">
        <v>3</v>
      </c>
      <c r="E196" s="114" t="s">
        <v>29</v>
      </c>
      <c r="F196" s="115" t="s">
        <v>390</v>
      </c>
    </row>
    <row r="197" spans="1:6" ht="16.5" customHeight="1">
      <c r="A197" s="109">
        <v>194</v>
      </c>
      <c r="B197" s="110" t="s">
        <v>386</v>
      </c>
      <c r="C197" s="114" t="s">
        <v>363</v>
      </c>
      <c r="D197" s="114" t="s">
        <v>3</v>
      </c>
      <c r="E197" s="114" t="s">
        <v>29</v>
      </c>
      <c r="F197" s="115" t="s">
        <v>391</v>
      </c>
    </row>
    <row r="198" spans="1:6" ht="16.5" customHeight="1">
      <c r="A198" s="109">
        <v>195</v>
      </c>
      <c r="B198" s="110" t="s">
        <v>386</v>
      </c>
      <c r="C198" s="114" t="s">
        <v>363</v>
      </c>
      <c r="D198" s="114" t="s">
        <v>3</v>
      </c>
      <c r="E198" s="114" t="s">
        <v>29</v>
      </c>
      <c r="F198" s="115" t="s">
        <v>392</v>
      </c>
    </row>
    <row r="199" spans="1:6" ht="16.5" customHeight="1">
      <c r="A199" s="109">
        <v>196</v>
      </c>
      <c r="B199" s="110" t="s">
        <v>386</v>
      </c>
      <c r="C199" s="114" t="s">
        <v>363</v>
      </c>
      <c r="D199" s="114" t="s">
        <v>3</v>
      </c>
      <c r="E199" s="114" t="s">
        <v>29</v>
      </c>
      <c r="F199" s="115" t="s">
        <v>393</v>
      </c>
    </row>
    <row r="200" spans="1:6" ht="16.5" customHeight="1">
      <c r="A200" s="109">
        <v>197</v>
      </c>
      <c r="B200" s="110" t="s">
        <v>386</v>
      </c>
      <c r="C200" s="114" t="s">
        <v>363</v>
      </c>
      <c r="D200" s="114" t="s">
        <v>3</v>
      </c>
      <c r="E200" s="114" t="s">
        <v>29</v>
      </c>
      <c r="F200" s="115" t="s">
        <v>394</v>
      </c>
    </row>
    <row r="201" spans="1:6" ht="16.5" customHeight="1">
      <c r="A201" s="109">
        <v>198</v>
      </c>
      <c r="B201" s="110" t="s">
        <v>386</v>
      </c>
      <c r="C201" s="114" t="s">
        <v>363</v>
      </c>
      <c r="D201" s="114" t="s">
        <v>3</v>
      </c>
      <c r="E201" s="114" t="s">
        <v>29</v>
      </c>
      <c r="F201" s="115" t="s">
        <v>395</v>
      </c>
    </row>
    <row r="202" spans="1:6" ht="16.5" customHeight="1">
      <c r="A202" s="109">
        <v>199</v>
      </c>
      <c r="B202" s="110" t="s">
        <v>386</v>
      </c>
      <c r="C202" s="114" t="s">
        <v>363</v>
      </c>
      <c r="D202" s="114" t="s">
        <v>3</v>
      </c>
      <c r="E202" s="114" t="s">
        <v>29</v>
      </c>
      <c r="F202" s="115" t="s">
        <v>396</v>
      </c>
    </row>
    <row r="203" spans="1:6" ht="16.5" customHeight="1">
      <c r="A203" s="109">
        <v>200</v>
      </c>
      <c r="B203" s="110" t="s">
        <v>386</v>
      </c>
      <c r="C203" s="113" t="s">
        <v>397</v>
      </c>
      <c r="D203" s="114" t="s">
        <v>3</v>
      </c>
      <c r="E203" s="114" t="s">
        <v>29</v>
      </c>
      <c r="F203" s="115" t="s">
        <v>398</v>
      </c>
    </row>
    <row r="204" spans="1:6" ht="16.5" customHeight="1">
      <c r="A204" s="109">
        <v>201</v>
      </c>
      <c r="B204" s="110" t="s">
        <v>386</v>
      </c>
      <c r="C204" s="113" t="s">
        <v>397</v>
      </c>
      <c r="D204" s="114" t="s">
        <v>3</v>
      </c>
      <c r="E204" s="114" t="s">
        <v>29</v>
      </c>
      <c r="F204" s="115" t="s">
        <v>399</v>
      </c>
    </row>
    <row r="205" spans="1:6" ht="16.5" customHeight="1">
      <c r="A205" s="109">
        <v>202</v>
      </c>
      <c r="B205" s="110" t="s">
        <v>386</v>
      </c>
      <c r="C205" s="113" t="s">
        <v>397</v>
      </c>
      <c r="D205" s="114" t="s">
        <v>3</v>
      </c>
      <c r="E205" s="114" t="s">
        <v>29</v>
      </c>
      <c r="F205" s="115" t="s">
        <v>400</v>
      </c>
    </row>
    <row r="206" spans="1:6" ht="16.5" customHeight="1">
      <c r="A206" s="109">
        <v>203</v>
      </c>
      <c r="B206" s="110" t="s">
        <v>386</v>
      </c>
      <c r="C206" s="113" t="s">
        <v>397</v>
      </c>
      <c r="D206" s="114" t="s">
        <v>3</v>
      </c>
      <c r="E206" s="114" t="s">
        <v>29</v>
      </c>
      <c r="F206" s="115" t="s">
        <v>401</v>
      </c>
    </row>
    <row r="207" spans="1:6" ht="16.5" customHeight="1">
      <c r="A207" s="109">
        <v>204</v>
      </c>
      <c r="B207" s="110" t="s">
        <v>386</v>
      </c>
      <c r="C207" s="113" t="s">
        <v>397</v>
      </c>
      <c r="D207" s="114" t="s">
        <v>3</v>
      </c>
      <c r="E207" s="114" t="s">
        <v>29</v>
      </c>
      <c r="F207" s="115" t="s">
        <v>50</v>
      </c>
    </row>
    <row r="208" spans="1:6" ht="16.5" customHeight="1">
      <c r="A208" s="109">
        <v>205</v>
      </c>
      <c r="B208" s="110" t="s">
        <v>386</v>
      </c>
      <c r="C208" s="114" t="s">
        <v>402</v>
      </c>
      <c r="D208" s="114" t="s">
        <v>3</v>
      </c>
      <c r="E208" s="114" t="s">
        <v>29</v>
      </c>
      <c r="F208" s="115" t="s">
        <v>403</v>
      </c>
    </row>
    <row r="209" spans="1:6" ht="16.5" customHeight="1">
      <c r="A209" s="109">
        <v>206</v>
      </c>
      <c r="B209" s="110" t="s">
        <v>386</v>
      </c>
      <c r="C209" s="114" t="s">
        <v>402</v>
      </c>
      <c r="D209" s="114" t="s">
        <v>3</v>
      </c>
      <c r="E209" s="114" t="s">
        <v>29</v>
      </c>
      <c r="F209" s="115" t="s">
        <v>404</v>
      </c>
    </row>
    <row r="210" spans="1:6" ht="16.5" customHeight="1">
      <c r="A210" s="109">
        <v>207</v>
      </c>
      <c r="B210" s="110" t="s">
        <v>386</v>
      </c>
      <c r="C210" s="114" t="s">
        <v>402</v>
      </c>
      <c r="D210" s="114" t="s">
        <v>3</v>
      </c>
      <c r="E210" s="114" t="s">
        <v>29</v>
      </c>
      <c r="F210" s="115" t="s">
        <v>405</v>
      </c>
    </row>
    <row r="211" spans="1:6" ht="16.5" customHeight="1">
      <c r="A211" s="109">
        <v>208</v>
      </c>
      <c r="B211" s="110" t="s">
        <v>386</v>
      </c>
      <c r="C211" s="114" t="s">
        <v>402</v>
      </c>
      <c r="D211" s="114" t="s">
        <v>3</v>
      </c>
      <c r="E211" s="114" t="s">
        <v>29</v>
      </c>
      <c r="F211" s="115" t="s">
        <v>406</v>
      </c>
    </row>
    <row r="212" spans="1:6" ht="16.5" customHeight="1">
      <c r="A212" s="109">
        <v>209</v>
      </c>
      <c r="B212" s="110" t="s">
        <v>386</v>
      </c>
      <c r="C212" s="114" t="s">
        <v>402</v>
      </c>
      <c r="D212" s="114" t="s">
        <v>3</v>
      </c>
      <c r="E212" s="114" t="s">
        <v>29</v>
      </c>
      <c r="F212" s="115" t="s">
        <v>407</v>
      </c>
    </row>
    <row r="213" spans="1:6" ht="16.5" customHeight="1">
      <c r="A213" s="109">
        <v>210</v>
      </c>
      <c r="B213" s="110" t="s">
        <v>386</v>
      </c>
      <c r="C213" s="114" t="s">
        <v>402</v>
      </c>
      <c r="D213" s="114" t="s">
        <v>3</v>
      </c>
      <c r="E213" s="114" t="s">
        <v>29</v>
      </c>
      <c r="F213" s="115" t="s">
        <v>408</v>
      </c>
    </row>
    <row r="214" spans="1:6" ht="16.5" customHeight="1">
      <c r="A214" s="109">
        <v>211</v>
      </c>
      <c r="B214" s="110" t="s">
        <v>386</v>
      </c>
      <c r="C214" s="114" t="s">
        <v>402</v>
      </c>
      <c r="D214" s="114" t="s">
        <v>3</v>
      </c>
      <c r="E214" s="114" t="s">
        <v>29</v>
      </c>
      <c r="F214" s="115" t="s">
        <v>409</v>
      </c>
    </row>
    <row r="215" spans="1:6" ht="16.5" customHeight="1">
      <c r="A215" s="109">
        <v>212</v>
      </c>
      <c r="B215" s="110" t="s">
        <v>386</v>
      </c>
      <c r="C215" s="114" t="s">
        <v>402</v>
      </c>
      <c r="D215" s="114" t="s">
        <v>3</v>
      </c>
      <c r="E215" s="114" t="s">
        <v>29</v>
      </c>
      <c r="F215" s="115" t="s">
        <v>410</v>
      </c>
    </row>
    <row r="216" spans="1:6" ht="16.5" customHeight="1">
      <c r="A216" s="109">
        <v>213</v>
      </c>
      <c r="B216" s="110" t="s">
        <v>386</v>
      </c>
      <c r="C216" s="114" t="s">
        <v>402</v>
      </c>
      <c r="D216" s="114" t="s">
        <v>3</v>
      </c>
      <c r="E216" s="114" t="s">
        <v>29</v>
      </c>
      <c r="F216" s="115" t="s">
        <v>411</v>
      </c>
    </row>
    <row r="217" spans="1:6" ht="16.5" customHeight="1">
      <c r="A217" s="109">
        <v>214</v>
      </c>
      <c r="B217" s="110" t="s">
        <v>386</v>
      </c>
      <c r="C217" s="114" t="s">
        <v>402</v>
      </c>
      <c r="D217" s="114" t="s">
        <v>3</v>
      </c>
      <c r="E217" s="114" t="s">
        <v>29</v>
      </c>
      <c r="F217" s="115" t="s">
        <v>412</v>
      </c>
    </row>
    <row r="218" spans="1:6" ht="16.5" customHeight="1">
      <c r="A218" s="109">
        <v>215</v>
      </c>
      <c r="B218" s="110" t="s">
        <v>386</v>
      </c>
      <c r="C218" s="114" t="s">
        <v>402</v>
      </c>
      <c r="D218" s="114" t="s">
        <v>3</v>
      </c>
      <c r="E218" s="114" t="s">
        <v>29</v>
      </c>
      <c r="F218" s="115" t="s">
        <v>413</v>
      </c>
    </row>
    <row r="219" spans="1:6" ht="16.5" customHeight="1">
      <c r="A219" s="109">
        <v>216</v>
      </c>
      <c r="B219" s="110" t="s">
        <v>386</v>
      </c>
      <c r="C219" s="123" t="s">
        <v>402</v>
      </c>
      <c r="D219" s="123" t="s">
        <v>3</v>
      </c>
      <c r="E219" s="123" t="s">
        <v>29</v>
      </c>
      <c r="F219" s="124" t="s">
        <v>414</v>
      </c>
    </row>
    <row r="220" spans="1:6" ht="16.5" customHeight="1">
      <c r="A220" s="109">
        <v>217</v>
      </c>
      <c r="B220" s="110" t="s">
        <v>386</v>
      </c>
      <c r="C220" s="123" t="s">
        <v>415</v>
      </c>
      <c r="D220" s="123" t="s">
        <v>3</v>
      </c>
      <c r="E220" s="123" t="s">
        <v>29</v>
      </c>
      <c r="F220" s="124" t="s">
        <v>416</v>
      </c>
    </row>
    <row r="221" spans="1:6" ht="16.5" customHeight="1">
      <c r="A221" s="109">
        <v>218</v>
      </c>
      <c r="B221" s="110" t="s">
        <v>386</v>
      </c>
      <c r="C221" s="123" t="s">
        <v>415</v>
      </c>
      <c r="D221" s="123" t="s">
        <v>3</v>
      </c>
      <c r="E221" s="123" t="s">
        <v>29</v>
      </c>
      <c r="F221" s="124" t="s">
        <v>417</v>
      </c>
    </row>
    <row r="222" spans="1:6" ht="16.5" customHeight="1">
      <c r="A222" s="109">
        <v>219</v>
      </c>
      <c r="B222" s="110" t="s">
        <v>386</v>
      </c>
      <c r="C222" s="123" t="s">
        <v>415</v>
      </c>
      <c r="D222" s="123" t="s">
        <v>3</v>
      </c>
      <c r="E222" s="123" t="s">
        <v>29</v>
      </c>
      <c r="F222" s="124" t="s">
        <v>418</v>
      </c>
    </row>
    <row r="223" spans="1:6" ht="16.5" customHeight="1">
      <c r="A223" s="128">
        <v>220</v>
      </c>
      <c r="B223" s="125" t="s">
        <v>386</v>
      </c>
      <c r="C223" s="126" t="s">
        <v>415</v>
      </c>
      <c r="D223" s="126" t="s">
        <v>3</v>
      </c>
      <c r="E223" s="126" t="s">
        <v>29</v>
      </c>
      <c r="F223" s="127" t="s">
        <v>419</v>
      </c>
    </row>
    <row r="224" spans="1:6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A3:F223" xr:uid="{00000000-0009-0000-0000-000002000000}"/>
  <mergeCells count="1">
    <mergeCell ref="A1:F1"/>
  </mergeCells>
  <phoneticPr fontId="10" type="noConversion"/>
  <printOptions horizontalCentered="1"/>
  <pageMargins left="0.70866141732283472" right="0.70866141732283472" top="0.74803149606299213" bottom="0.74803149606299213" header="0" footer="0"/>
  <pageSetup paperSize="9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000"/>
  <sheetViews>
    <sheetView workbookViewId="0">
      <pane ySplit="1" topLeftCell="A2" activePane="bottomLeft" state="frozen"/>
      <selection pane="bottomLeft" activeCell="B3" sqref="B3"/>
    </sheetView>
  </sheetViews>
  <sheetFormatPr defaultColWidth="14.3984375" defaultRowHeight="15" customHeight="1"/>
  <cols>
    <col min="1" max="1" width="8.3984375" customWidth="1"/>
    <col min="2" max="2" width="10" customWidth="1"/>
    <col min="3" max="3" width="28.3984375" customWidth="1"/>
    <col min="4" max="4" width="11" customWidth="1"/>
    <col min="5" max="5" width="8.86328125" customWidth="1"/>
    <col min="6" max="6" width="15.73046875" customWidth="1"/>
    <col min="7" max="8" width="10.59765625" customWidth="1"/>
    <col min="9" max="9" width="20.59765625" customWidth="1"/>
    <col min="10" max="12" width="10.59765625" customWidth="1"/>
    <col min="13" max="13" width="20.59765625" customWidth="1"/>
    <col min="14" max="16" width="10.59765625" customWidth="1"/>
    <col min="17" max="17" width="20.59765625" customWidth="1"/>
    <col min="18" max="18" width="8.73046875" customWidth="1"/>
    <col min="19" max="19" width="10.59765625" customWidth="1"/>
    <col min="20" max="26" width="8.73046875" customWidth="1"/>
  </cols>
  <sheetData>
    <row r="1" spans="1:19" ht="39" customHeight="1">
      <c r="A1" s="142" t="s">
        <v>180</v>
      </c>
      <c r="B1" s="141"/>
      <c r="C1" s="141"/>
      <c r="D1" s="141"/>
      <c r="E1" s="141"/>
      <c r="F1" s="14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6.5" customHeight="1"/>
    <row r="3" spans="1:19" ht="23.25" customHeight="1">
      <c r="A3" s="107" t="s">
        <v>0</v>
      </c>
      <c r="B3" s="107" t="s">
        <v>1</v>
      </c>
      <c r="C3" s="107" t="s">
        <v>2</v>
      </c>
      <c r="D3" s="107" t="s">
        <v>3</v>
      </c>
      <c r="E3" s="107" t="s">
        <v>4</v>
      </c>
      <c r="F3" s="108" t="s">
        <v>5</v>
      </c>
    </row>
    <row r="4" spans="1:19" ht="16.5" customHeight="1">
      <c r="A4" s="109">
        <v>221</v>
      </c>
      <c r="B4" s="110" t="s">
        <v>420</v>
      </c>
      <c r="C4" s="114" t="s">
        <v>421</v>
      </c>
      <c r="D4" s="114" t="s">
        <v>3</v>
      </c>
      <c r="E4" s="114" t="s">
        <v>27</v>
      </c>
      <c r="F4" s="115" t="s">
        <v>422</v>
      </c>
    </row>
    <row r="5" spans="1:19" ht="16.5" customHeight="1">
      <c r="A5" s="109">
        <v>222</v>
      </c>
      <c r="B5" s="110" t="s">
        <v>420</v>
      </c>
      <c r="C5" s="114" t="s">
        <v>421</v>
      </c>
      <c r="D5" s="114" t="s">
        <v>3</v>
      </c>
      <c r="E5" s="114" t="s">
        <v>27</v>
      </c>
      <c r="F5" s="115" t="s">
        <v>423</v>
      </c>
    </row>
    <row r="6" spans="1:19" ht="16.5" customHeight="1">
      <c r="A6" s="109">
        <v>223</v>
      </c>
      <c r="B6" s="110" t="s">
        <v>420</v>
      </c>
      <c r="C6" s="114" t="s">
        <v>421</v>
      </c>
      <c r="D6" s="114" t="s">
        <v>3</v>
      </c>
      <c r="E6" s="114" t="s">
        <v>27</v>
      </c>
      <c r="F6" s="115" t="s">
        <v>424</v>
      </c>
    </row>
    <row r="7" spans="1:19" ht="16.5" customHeight="1">
      <c r="A7" s="109">
        <v>224</v>
      </c>
      <c r="B7" s="110" t="s">
        <v>420</v>
      </c>
      <c r="C7" s="123" t="s">
        <v>425</v>
      </c>
      <c r="D7" s="123" t="s">
        <v>3</v>
      </c>
      <c r="E7" s="123" t="s">
        <v>27</v>
      </c>
      <c r="F7" s="124" t="s">
        <v>426</v>
      </c>
    </row>
    <row r="8" spans="1:19" ht="16.5" customHeight="1">
      <c r="A8" s="109">
        <v>225</v>
      </c>
      <c r="B8" s="110" t="s">
        <v>420</v>
      </c>
      <c r="C8" s="123" t="s">
        <v>425</v>
      </c>
      <c r="D8" s="123" t="s">
        <v>3</v>
      </c>
      <c r="E8" s="123" t="s">
        <v>27</v>
      </c>
      <c r="F8" s="124" t="s">
        <v>427</v>
      </c>
    </row>
    <row r="9" spans="1:19" ht="16.5" customHeight="1">
      <c r="A9" s="109">
        <v>226</v>
      </c>
      <c r="B9" s="110" t="s">
        <v>420</v>
      </c>
      <c r="C9" s="123" t="s">
        <v>425</v>
      </c>
      <c r="D9" s="123" t="s">
        <v>3</v>
      </c>
      <c r="E9" s="123" t="s">
        <v>27</v>
      </c>
      <c r="F9" s="124" t="s">
        <v>428</v>
      </c>
    </row>
    <row r="10" spans="1:19" ht="16.5" customHeight="1">
      <c r="A10" s="109">
        <v>227</v>
      </c>
      <c r="B10" s="110" t="s">
        <v>420</v>
      </c>
      <c r="C10" s="123" t="s">
        <v>429</v>
      </c>
      <c r="D10" s="123" t="s">
        <v>3</v>
      </c>
      <c r="E10" s="123" t="s">
        <v>27</v>
      </c>
      <c r="F10" s="124" t="s">
        <v>430</v>
      </c>
    </row>
    <row r="11" spans="1:19" ht="16.5" customHeight="1">
      <c r="A11" s="109">
        <v>228</v>
      </c>
      <c r="B11" s="110" t="s">
        <v>420</v>
      </c>
      <c r="C11" s="123" t="s">
        <v>429</v>
      </c>
      <c r="D11" s="123" t="s">
        <v>3</v>
      </c>
      <c r="E11" s="123" t="s">
        <v>27</v>
      </c>
      <c r="F11" s="124" t="s">
        <v>431</v>
      </c>
    </row>
    <row r="12" spans="1:19" ht="16.5" customHeight="1">
      <c r="A12" s="109">
        <v>229</v>
      </c>
      <c r="B12" s="110" t="s">
        <v>420</v>
      </c>
      <c r="C12" s="123" t="s">
        <v>429</v>
      </c>
      <c r="D12" s="123" t="s">
        <v>3</v>
      </c>
      <c r="E12" s="123" t="s">
        <v>27</v>
      </c>
      <c r="F12" s="124" t="s">
        <v>432</v>
      </c>
    </row>
    <row r="13" spans="1:19" ht="16.5" customHeight="1">
      <c r="A13" s="109">
        <v>230</v>
      </c>
      <c r="B13" s="110" t="s">
        <v>420</v>
      </c>
      <c r="C13" s="123" t="s">
        <v>429</v>
      </c>
      <c r="D13" s="123" t="s">
        <v>3</v>
      </c>
      <c r="E13" s="123" t="s">
        <v>27</v>
      </c>
      <c r="F13" s="124" t="s">
        <v>433</v>
      </c>
    </row>
    <row r="14" spans="1:19" ht="16.5" customHeight="1">
      <c r="A14" s="109">
        <v>231</v>
      </c>
      <c r="B14" s="110" t="s">
        <v>420</v>
      </c>
      <c r="C14" s="123" t="s">
        <v>434</v>
      </c>
      <c r="D14" s="123" t="s">
        <v>3</v>
      </c>
      <c r="E14" s="123" t="s">
        <v>27</v>
      </c>
      <c r="F14" s="124" t="s">
        <v>435</v>
      </c>
    </row>
    <row r="15" spans="1:19" ht="16.5" customHeight="1">
      <c r="A15" s="109">
        <v>232</v>
      </c>
      <c r="B15" s="110" t="s">
        <v>420</v>
      </c>
      <c r="C15" s="123" t="s">
        <v>434</v>
      </c>
      <c r="D15" s="123" t="s">
        <v>3</v>
      </c>
      <c r="E15" s="123" t="s">
        <v>27</v>
      </c>
      <c r="F15" s="124" t="s">
        <v>436</v>
      </c>
    </row>
    <row r="16" spans="1:19" ht="16.5" customHeight="1">
      <c r="A16" s="109">
        <v>233</v>
      </c>
      <c r="B16" s="110" t="s">
        <v>420</v>
      </c>
      <c r="C16" s="123" t="s">
        <v>434</v>
      </c>
      <c r="D16" s="123" t="s">
        <v>3</v>
      </c>
      <c r="E16" s="123" t="s">
        <v>27</v>
      </c>
      <c r="F16" s="124" t="s">
        <v>437</v>
      </c>
    </row>
    <row r="17" spans="1:6" ht="16.5" customHeight="1">
      <c r="A17" s="109">
        <v>234</v>
      </c>
      <c r="B17" s="110" t="s">
        <v>420</v>
      </c>
      <c r="C17" s="123" t="s">
        <v>434</v>
      </c>
      <c r="D17" s="123" t="s">
        <v>3</v>
      </c>
      <c r="E17" s="123" t="s">
        <v>27</v>
      </c>
      <c r="F17" s="124" t="s">
        <v>162</v>
      </c>
    </row>
    <row r="18" spans="1:6" ht="16.5" customHeight="1">
      <c r="A18" s="109">
        <v>235</v>
      </c>
      <c r="B18" s="110" t="s">
        <v>420</v>
      </c>
      <c r="C18" s="123" t="s">
        <v>434</v>
      </c>
      <c r="D18" s="123" t="s">
        <v>3</v>
      </c>
      <c r="E18" s="123" t="s">
        <v>27</v>
      </c>
      <c r="F18" s="124" t="s">
        <v>438</v>
      </c>
    </row>
    <row r="19" spans="1:6" ht="16.5" customHeight="1">
      <c r="A19" s="109">
        <v>236</v>
      </c>
      <c r="B19" s="110" t="s">
        <v>420</v>
      </c>
      <c r="C19" s="123" t="s">
        <v>434</v>
      </c>
      <c r="D19" s="123" t="s">
        <v>3</v>
      </c>
      <c r="E19" s="123" t="s">
        <v>27</v>
      </c>
      <c r="F19" s="124" t="s">
        <v>439</v>
      </c>
    </row>
    <row r="20" spans="1:6" ht="16.5" customHeight="1">
      <c r="A20" s="109">
        <v>237</v>
      </c>
      <c r="B20" s="110" t="s">
        <v>420</v>
      </c>
      <c r="C20" s="123" t="s">
        <v>434</v>
      </c>
      <c r="D20" s="123" t="s">
        <v>3</v>
      </c>
      <c r="E20" s="123" t="s">
        <v>27</v>
      </c>
      <c r="F20" s="124" t="s">
        <v>440</v>
      </c>
    </row>
    <row r="21" spans="1:6" ht="16.5" customHeight="1">
      <c r="A21" s="109">
        <v>238</v>
      </c>
      <c r="B21" s="110" t="s">
        <v>420</v>
      </c>
      <c r="C21" s="123" t="s">
        <v>434</v>
      </c>
      <c r="D21" s="123" t="s">
        <v>3</v>
      </c>
      <c r="E21" s="123" t="s">
        <v>27</v>
      </c>
      <c r="F21" s="124" t="s">
        <v>441</v>
      </c>
    </row>
    <row r="22" spans="1:6" ht="16.5" customHeight="1">
      <c r="A22" s="109">
        <v>239</v>
      </c>
      <c r="B22" s="110" t="s">
        <v>420</v>
      </c>
      <c r="C22" s="123" t="s">
        <v>434</v>
      </c>
      <c r="D22" s="123" t="s">
        <v>3</v>
      </c>
      <c r="E22" s="123" t="s">
        <v>27</v>
      </c>
      <c r="F22" s="124" t="s">
        <v>442</v>
      </c>
    </row>
    <row r="23" spans="1:6" ht="16.5" customHeight="1">
      <c r="A23" s="109">
        <v>240</v>
      </c>
      <c r="B23" s="110" t="s">
        <v>420</v>
      </c>
      <c r="C23" s="123" t="s">
        <v>434</v>
      </c>
      <c r="D23" s="123" t="s">
        <v>3</v>
      </c>
      <c r="E23" s="123" t="s">
        <v>27</v>
      </c>
      <c r="F23" s="124" t="s">
        <v>443</v>
      </c>
    </row>
    <row r="24" spans="1:6" ht="16.5" customHeight="1">
      <c r="A24" s="109">
        <v>241</v>
      </c>
      <c r="B24" s="110" t="s">
        <v>420</v>
      </c>
      <c r="C24" s="123" t="s">
        <v>444</v>
      </c>
      <c r="D24" s="123" t="s">
        <v>3</v>
      </c>
      <c r="E24" s="123" t="s">
        <v>27</v>
      </c>
      <c r="F24" s="124" t="s">
        <v>445</v>
      </c>
    </row>
    <row r="25" spans="1:6" ht="16.5" customHeight="1">
      <c r="A25" s="109">
        <v>242</v>
      </c>
      <c r="B25" s="110" t="s">
        <v>420</v>
      </c>
      <c r="C25" s="123" t="s">
        <v>444</v>
      </c>
      <c r="D25" s="123" t="s">
        <v>3</v>
      </c>
      <c r="E25" s="123" t="s">
        <v>27</v>
      </c>
      <c r="F25" s="124" t="s">
        <v>446</v>
      </c>
    </row>
    <row r="26" spans="1:6" ht="16.5" customHeight="1">
      <c r="A26" s="109">
        <v>243</v>
      </c>
      <c r="B26" s="110" t="s">
        <v>420</v>
      </c>
      <c r="C26" s="123" t="s">
        <v>444</v>
      </c>
      <c r="D26" s="123" t="s">
        <v>3</v>
      </c>
      <c r="E26" s="123" t="s">
        <v>27</v>
      </c>
      <c r="F26" s="124" t="s">
        <v>447</v>
      </c>
    </row>
    <row r="27" spans="1:6" ht="16.5" customHeight="1">
      <c r="A27" s="109">
        <v>244</v>
      </c>
      <c r="B27" s="110" t="s">
        <v>420</v>
      </c>
      <c r="C27" s="123" t="s">
        <v>444</v>
      </c>
      <c r="D27" s="123" t="s">
        <v>3</v>
      </c>
      <c r="E27" s="123" t="s">
        <v>27</v>
      </c>
      <c r="F27" s="124" t="s">
        <v>279</v>
      </c>
    </row>
    <row r="28" spans="1:6" ht="16.5" customHeight="1">
      <c r="A28" s="109">
        <v>245</v>
      </c>
      <c r="B28" s="110" t="s">
        <v>420</v>
      </c>
      <c r="C28" s="123" t="s">
        <v>448</v>
      </c>
      <c r="D28" s="123" t="s">
        <v>3</v>
      </c>
      <c r="E28" s="123" t="s">
        <v>27</v>
      </c>
      <c r="F28" s="124" t="s">
        <v>449</v>
      </c>
    </row>
    <row r="29" spans="1:6" ht="16.5" customHeight="1">
      <c r="A29" s="109">
        <v>246</v>
      </c>
      <c r="B29" s="110" t="s">
        <v>420</v>
      </c>
      <c r="C29" s="123" t="s">
        <v>448</v>
      </c>
      <c r="D29" s="123" t="s">
        <v>3</v>
      </c>
      <c r="E29" s="123" t="s">
        <v>27</v>
      </c>
      <c r="F29" s="124" t="s">
        <v>450</v>
      </c>
    </row>
    <row r="30" spans="1:6" ht="16.5" customHeight="1">
      <c r="A30" s="109">
        <v>247</v>
      </c>
      <c r="B30" s="110" t="s">
        <v>420</v>
      </c>
      <c r="C30" s="123" t="s">
        <v>448</v>
      </c>
      <c r="D30" s="123" t="s">
        <v>3</v>
      </c>
      <c r="E30" s="123" t="s">
        <v>27</v>
      </c>
      <c r="F30" s="124" t="s">
        <v>36</v>
      </c>
    </row>
    <row r="31" spans="1:6" ht="16.5" customHeight="1">
      <c r="A31" s="109">
        <v>248</v>
      </c>
      <c r="B31" s="110" t="s">
        <v>420</v>
      </c>
      <c r="C31" s="123" t="s">
        <v>451</v>
      </c>
      <c r="D31" s="123" t="s">
        <v>3</v>
      </c>
      <c r="E31" s="123" t="s">
        <v>27</v>
      </c>
      <c r="F31" s="124" t="s">
        <v>452</v>
      </c>
    </row>
    <row r="32" spans="1:6" ht="16.5" customHeight="1">
      <c r="A32" s="109">
        <v>249</v>
      </c>
      <c r="B32" s="110" t="s">
        <v>420</v>
      </c>
      <c r="C32" s="123" t="s">
        <v>451</v>
      </c>
      <c r="D32" s="123" t="s">
        <v>3</v>
      </c>
      <c r="E32" s="123" t="s">
        <v>27</v>
      </c>
      <c r="F32" s="124" t="s">
        <v>453</v>
      </c>
    </row>
    <row r="33" spans="1:6" ht="16.5" customHeight="1">
      <c r="A33" s="109">
        <v>250</v>
      </c>
      <c r="B33" s="116" t="s">
        <v>420</v>
      </c>
      <c r="C33" s="123" t="s">
        <v>451</v>
      </c>
      <c r="D33" s="123" t="s">
        <v>3</v>
      </c>
      <c r="E33" s="123" t="s">
        <v>27</v>
      </c>
      <c r="F33" s="124" t="s">
        <v>454</v>
      </c>
    </row>
    <row r="34" spans="1:6" ht="16.5" customHeight="1">
      <c r="A34" s="109">
        <v>251</v>
      </c>
      <c r="B34" s="116" t="s">
        <v>420</v>
      </c>
      <c r="C34" s="132" t="s">
        <v>455</v>
      </c>
      <c r="D34" s="132" t="s">
        <v>3</v>
      </c>
      <c r="E34" s="132" t="s">
        <v>27</v>
      </c>
      <c r="F34" s="133" t="s">
        <v>456</v>
      </c>
    </row>
    <row r="35" spans="1:6" ht="16.5" customHeight="1">
      <c r="A35" s="119">
        <v>252</v>
      </c>
      <c r="B35" s="120" t="s">
        <v>420</v>
      </c>
      <c r="C35" s="126" t="s">
        <v>455</v>
      </c>
      <c r="D35" s="126" t="s">
        <v>3</v>
      </c>
      <c r="E35" s="126" t="s">
        <v>27</v>
      </c>
      <c r="F35" s="127" t="s">
        <v>457</v>
      </c>
    </row>
    <row r="36" spans="1:6" ht="16.5" customHeight="1">
      <c r="A36" s="122">
        <v>253</v>
      </c>
      <c r="B36" s="116" t="s">
        <v>458</v>
      </c>
      <c r="C36" s="123" t="s">
        <v>425</v>
      </c>
      <c r="D36" s="123" t="s">
        <v>3</v>
      </c>
      <c r="E36" s="123" t="s">
        <v>27</v>
      </c>
      <c r="F36" s="124" t="s">
        <v>459</v>
      </c>
    </row>
    <row r="37" spans="1:6" ht="16.5" customHeight="1">
      <c r="A37" s="109">
        <v>254</v>
      </c>
      <c r="B37" s="110" t="s">
        <v>458</v>
      </c>
      <c r="C37" s="123" t="s">
        <v>425</v>
      </c>
      <c r="D37" s="123" t="s">
        <v>3</v>
      </c>
      <c r="E37" s="123" t="s">
        <v>27</v>
      </c>
      <c r="F37" s="124" t="s">
        <v>460</v>
      </c>
    </row>
    <row r="38" spans="1:6" ht="16.5" customHeight="1">
      <c r="A38" s="109">
        <v>255</v>
      </c>
      <c r="B38" s="110" t="s">
        <v>458</v>
      </c>
      <c r="C38" s="123" t="s">
        <v>425</v>
      </c>
      <c r="D38" s="123" t="s">
        <v>3</v>
      </c>
      <c r="E38" s="123" t="s">
        <v>27</v>
      </c>
      <c r="F38" s="124" t="s">
        <v>461</v>
      </c>
    </row>
    <row r="39" spans="1:6" ht="16.5" customHeight="1">
      <c r="A39" s="109">
        <v>256</v>
      </c>
      <c r="B39" s="110" t="s">
        <v>458</v>
      </c>
      <c r="C39" s="123" t="s">
        <v>425</v>
      </c>
      <c r="D39" s="123" t="s">
        <v>3</v>
      </c>
      <c r="E39" s="123" t="s">
        <v>27</v>
      </c>
      <c r="F39" s="124" t="s">
        <v>462</v>
      </c>
    </row>
    <row r="40" spans="1:6" ht="16.5" customHeight="1">
      <c r="A40" s="109">
        <v>257</v>
      </c>
      <c r="B40" s="110" t="s">
        <v>458</v>
      </c>
      <c r="C40" s="123" t="s">
        <v>429</v>
      </c>
      <c r="D40" s="123" t="s">
        <v>3</v>
      </c>
      <c r="E40" s="123" t="s">
        <v>27</v>
      </c>
      <c r="F40" s="124" t="s">
        <v>463</v>
      </c>
    </row>
    <row r="41" spans="1:6" ht="16.5" customHeight="1">
      <c r="A41" s="109">
        <v>258</v>
      </c>
      <c r="B41" s="110" t="s">
        <v>458</v>
      </c>
      <c r="C41" s="123" t="s">
        <v>429</v>
      </c>
      <c r="D41" s="123" t="s">
        <v>3</v>
      </c>
      <c r="E41" s="123" t="s">
        <v>27</v>
      </c>
      <c r="F41" s="124" t="s">
        <v>464</v>
      </c>
    </row>
    <row r="42" spans="1:6" ht="16.5" customHeight="1">
      <c r="A42" s="109">
        <v>259</v>
      </c>
      <c r="B42" s="110" t="s">
        <v>458</v>
      </c>
      <c r="C42" s="123" t="s">
        <v>429</v>
      </c>
      <c r="D42" s="123" t="s">
        <v>3</v>
      </c>
      <c r="E42" s="123" t="s">
        <v>27</v>
      </c>
      <c r="F42" s="124" t="s">
        <v>465</v>
      </c>
    </row>
    <row r="43" spans="1:6" ht="16.5" customHeight="1">
      <c r="A43" s="109">
        <v>260</v>
      </c>
      <c r="B43" s="110" t="s">
        <v>458</v>
      </c>
      <c r="C43" s="123" t="s">
        <v>434</v>
      </c>
      <c r="D43" s="123" t="s">
        <v>3</v>
      </c>
      <c r="E43" s="123" t="s">
        <v>27</v>
      </c>
      <c r="F43" s="124" t="s">
        <v>466</v>
      </c>
    </row>
    <row r="44" spans="1:6" ht="16.5" customHeight="1">
      <c r="A44" s="109">
        <v>261</v>
      </c>
      <c r="B44" s="110" t="s">
        <v>458</v>
      </c>
      <c r="C44" s="123" t="s">
        <v>434</v>
      </c>
      <c r="D44" s="123" t="s">
        <v>3</v>
      </c>
      <c r="E44" s="123" t="s">
        <v>27</v>
      </c>
      <c r="F44" s="124" t="s">
        <v>467</v>
      </c>
    </row>
    <row r="45" spans="1:6" ht="16.5" customHeight="1">
      <c r="A45" s="109">
        <v>262</v>
      </c>
      <c r="B45" s="110" t="s">
        <v>458</v>
      </c>
      <c r="C45" s="123" t="s">
        <v>434</v>
      </c>
      <c r="D45" s="123" t="s">
        <v>3</v>
      </c>
      <c r="E45" s="123" t="s">
        <v>27</v>
      </c>
      <c r="F45" s="124" t="s">
        <v>468</v>
      </c>
    </row>
    <row r="46" spans="1:6" ht="16.5" customHeight="1">
      <c r="A46" s="109">
        <v>263</v>
      </c>
      <c r="B46" s="110" t="s">
        <v>458</v>
      </c>
      <c r="C46" s="123" t="s">
        <v>434</v>
      </c>
      <c r="D46" s="123" t="s">
        <v>3</v>
      </c>
      <c r="E46" s="123" t="s">
        <v>27</v>
      </c>
      <c r="F46" s="124" t="s">
        <v>469</v>
      </c>
    </row>
    <row r="47" spans="1:6" ht="16.5" customHeight="1">
      <c r="A47" s="109">
        <v>264</v>
      </c>
      <c r="B47" s="110" t="s">
        <v>458</v>
      </c>
      <c r="C47" s="123" t="s">
        <v>434</v>
      </c>
      <c r="D47" s="123" t="s">
        <v>3</v>
      </c>
      <c r="E47" s="123" t="s">
        <v>27</v>
      </c>
      <c r="F47" s="124" t="s">
        <v>470</v>
      </c>
    </row>
    <row r="48" spans="1:6" ht="16.5" customHeight="1">
      <c r="A48" s="109">
        <v>265</v>
      </c>
      <c r="B48" s="110" t="s">
        <v>458</v>
      </c>
      <c r="C48" s="123" t="s">
        <v>434</v>
      </c>
      <c r="D48" s="123" t="s">
        <v>3</v>
      </c>
      <c r="E48" s="123" t="s">
        <v>27</v>
      </c>
      <c r="F48" s="124" t="s">
        <v>471</v>
      </c>
    </row>
    <row r="49" spans="1:6" ht="16.5" customHeight="1">
      <c r="A49" s="109">
        <v>266</v>
      </c>
      <c r="B49" s="110" t="s">
        <v>458</v>
      </c>
      <c r="C49" s="123" t="s">
        <v>434</v>
      </c>
      <c r="D49" s="123" t="s">
        <v>3</v>
      </c>
      <c r="E49" s="123" t="s">
        <v>27</v>
      </c>
      <c r="F49" s="124" t="s">
        <v>472</v>
      </c>
    </row>
    <row r="50" spans="1:6" ht="16.5" customHeight="1">
      <c r="A50" s="109">
        <v>267</v>
      </c>
      <c r="B50" s="110" t="s">
        <v>458</v>
      </c>
      <c r="C50" s="123" t="s">
        <v>434</v>
      </c>
      <c r="D50" s="123" t="s">
        <v>3</v>
      </c>
      <c r="E50" s="123" t="s">
        <v>27</v>
      </c>
      <c r="F50" s="124" t="s">
        <v>36</v>
      </c>
    </row>
    <row r="51" spans="1:6" ht="16.5" customHeight="1">
      <c r="A51" s="109">
        <v>268</v>
      </c>
      <c r="B51" s="110" t="s">
        <v>458</v>
      </c>
      <c r="C51" s="123" t="s">
        <v>434</v>
      </c>
      <c r="D51" s="123" t="s">
        <v>3</v>
      </c>
      <c r="E51" s="123" t="s">
        <v>27</v>
      </c>
      <c r="F51" s="124" t="s">
        <v>473</v>
      </c>
    </row>
    <row r="52" spans="1:6" ht="16.5" customHeight="1">
      <c r="A52" s="109">
        <v>269</v>
      </c>
      <c r="B52" s="110" t="s">
        <v>458</v>
      </c>
      <c r="C52" s="123" t="s">
        <v>434</v>
      </c>
      <c r="D52" s="123" t="s">
        <v>3</v>
      </c>
      <c r="E52" s="123" t="s">
        <v>27</v>
      </c>
      <c r="F52" s="124" t="s">
        <v>474</v>
      </c>
    </row>
    <row r="53" spans="1:6" ht="16.5" customHeight="1">
      <c r="A53" s="109">
        <v>270</v>
      </c>
      <c r="B53" s="110" t="s">
        <v>458</v>
      </c>
      <c r="C53" s="123" t="s">
        <v>444</v>
      </c>
      <c r="D53" s="123" t="s">
        <v>3</v>
      </c>
      <c r="E53" s="123" t="s">
        <v>27</v>
      </c>
      <c r="F53" s="124" t="s">
        <v>475</v>
      </c>
    </row>
    <row r="54" spans="1:6" ht="16.5" customHeight="1">
      <c r="A54" s="109">
        <v>271</v>
      </c>
      <c r="B54" s="110" t="s">
        <v>458</v>
      </c>
      <c r="C54" s="123" t="s">
        <v>444</v>
      </c>
      <c r="D54" s="123" t="s">
        <v>3</v>
      </c>
      <c r="E54" s="123" t="s">
        <v>27</v>
      </c>
      <c r="F54" s="124" t="s">
        <v>476</v>
      </c>
    </row>
    <row r="55" spans="1:6" ht="16.5" customHeight="1">
      <c r="A55" s="109">
        <v>272</v>
      </c>
      <c r="B55" s="110" t="s">
        <v>458</v>
      </c>
      <c r="C55" s="123" t="s">
        <v>444</v>
      </c>
      <c r="D55" s="123" t="s">
        <v>3</v>
      </c>
      <c r="E55" s="123" t="s">
        <v>27</v>
      </c>
      <c r="F55" s="124" t="s">
        <v>477</v>
      </c>
    </row>
    <row r="56" spans="1:6" ht="16.5" customHeight="1">
      <c r="A56" s="109">
        <v>273</v>
      </c>
      <c r="B56" s="110" t="s">
        <v>458</v>
      </c>
      <c r="C56" s="123" t="s">
        <v>444</v>
      </c>
      <c r="D56" s="123" t="s">
        <v>3</v>
      </c>
      <c r="E56" s="123" t="s">
        <v>27</v>
      </c>
      <c r="F56" s="124" t="s">
        <v>478</v>
      </c>
    </row>
    <row r="57" spans="1:6" ht="16.5" customHeight="1">
      <c r="A57" s="109">
        <v>274</v>
      </c>
      <c r="B57" s="110" t="s">
        <v>458</v>
      </c>
      <c r="C57" s="123" t="s">
        <v>448</v>
      </c>
      <c r="D57" s="123" t="s">
        <v>3</v>
      </c>
      <c r="E57" s="123" t="s">
        <v>27</v>
      </c>
      <c r="F57" s="124" t="s">
        <v>479</v>
      </c>
    </row>
    <row r="58" spans="1:6" ht="16.5" customHeight="1">
      <c r="A58" s="109">
        <v>275</v>
      </c>
      <c r="B58" s="110" t="s">
        <v>458</v>
      </c>
      <c r="C58" s="123" t="s">
        <v>448</v>
      </c>
      <c r="D58" s="123" t="s">
        <v>3</v>
      </c>
      <c r="E58" s="123" t="s">
        <v>27</v>
      </c>
      <c r="F58" s="124" t="s">
        <v>480</v>
      </c>
    </row>
    <row r="59" spans="1:6" ht="16.5" customHeight="1">
      <c r="A59" s="109">
        <v>276</v>
      </c>
      <c r="B59" s="110" t="s">
        <v>458</v>
      </c>
      <c r="C59" s="123" t="s">
        <v>448</v>
      </c>
      <c r="D59" s="123" t="s">
        <v>3</v>
      </c>
      <c r="E59" s="123" t="s">
        <v>27</v>
      </c>
      <c r="F59" s="124" t="s">
        <v>481</v>
      </c>
    </row>
    <row r="60" spans="1:6" ht="16.5" customHeight="1">
      <c r="A60" s="109">
        <v>277</v>
      </c>
      <c r="B60" s="110" t="s">
        <v>458</v>
      </c>
      <c r="C60" s="123" t="s">
        <v>451</v>
      </c>
      <c r="D60" s="123" t="s">
        <v>3</v>
      </c>
      <c r="E60" s="123" t="s">
        <v>27</v>
      </c>
      <c r="F60" s="124" t="s">
        <v>482</v>
      </c>
    </row>
    <row r="61" spans="1:6" ht="16.5" customHeight="1">
      <c r="A61" s="109">
        <v>278</v>
      </c>
      <c r="B61" s="110" t="s">
        <v>458</v>
      </c>
      <c r="C61" s="123" t="s">
        <v>451</v>
      </c>
      <c r="D61" s="123" t="s">
        <v>3</v>
      </c>
      <c r="E61" s="123" t="s">
        <v>27</v>
      </c>
      <c r="F61" s="124" t="s">
        <v>483</v>
      </c>
    </row>
    <row r="62" spans="1:6" ht="16.5" customHeight="1">
      <c r="A62" s="109">
        <v>279</v>
      </c>
      <c r="B62" s="110" t="s">
        <v>458</v>
      </c>
      <c r="C62" s="123" t="s">
        <v>484</v>
      </c>
      <c r="D62" s="123" t="s">
        <v>3</v>
      </c>
      <c r="E62" s="123" t="s">
        <v>27</v>
      </c>
      <c r="F62" s="124" t="s">
        <v>485</v>
      </c>
    </row>
    <row r="63" spans="1:6" ht="16.5" customHeight="1">
      <c r="A63" s="109">
        <v>280</v>
      </c>
      <c r="B63" s="110" t="s">
        <v>458</v>
      </c>
      <c r="C63" s="123" t="s">
        <v>484</v>
      </c>
      <c r="D63" s="123" t="s">
        <v>3</v>
      </c>
      <c r="E63" s="123" t="s">
        <v>27</v>
      </c>
      <c r="F63" s="124" t="s">
        <v>486</v>
      </c>
    </row>
    <row r="64" spans="1:6" ht="16.5" customHeight="1">
      <c r="A64" s="109">
        <v>281</v>
      </c>
      <c r="B64" s="110" t="s">
        <v>458</v>
      </c>
      <c r="C64" s="123" t="s">
        <v>484</v>
      </c>
      <c r="D64" s="123" t="s">
        <v>3</v>
      </c>
      <c r="E64" s="123" t="s">
        <v>27</v>
      </c>
      <c r="F64" s="124" t="s">
        <v>487</v>
      </c>
    </row>
    <row r="65" spans="1:6" ht="16.5" customHeight="1">
      <c r="A65" s="109">
        <v>282</v>
      </c>
      <c r="B65" s="116" t="s">
        <v>458</v>
      </c>
      <c r="C65" s="111" t="s">
        <v>488</v>
      </c>
      <c r="D65" s="111" t="s">
        <v>3</v>
      </c>
      <c r="E65" s="111" t="s">
        <v>27</v>
      </c>
      <c r="F65" s="112" t="s">
        <v>489</v>
      </c>
    </row>
    <row r="66" spans="1:6" ht="16.5" customHeight="1">
      <c r="A66" s="109">
        <v>283</v>
      </c>
      <c r="B66" s="116" t="s">
        <v>458</v>
      </c>
      <c r="C66" s="111" t="s">
        <v>488</v>
      </c>
      <c r="D66" s="111" t="s">
        <v>3</v>
      </c>
      <c r="E66" s="111" t="s">
        <v>27</v>
      </c>
      <c r="F66" s="112" t="s">
        <v>490</v>
      </c>
    </row>
    <row r="67" spans="1:6" ht="16.5" customHeight="1">
      <c r="A67" s="109">
        <v>284</v>
      </c>
      <c r="B67" s="116" t="s">
        <v>458</v>
      </c>
      <c r="C67" s="123" t="s">
        <v>455</v>
      </c>
      <c r="D67" s="123" t="s">
        <v>3</v>
      </c>
      <c r="E67" s="123" t="s">
        <v>27</v>
      </c>
      <c r="F67" s="124" t="s">
        <v>491</v>
      </c>
    </row>
    <row r="68" spans="1:6" ht="16.5" customHeight="1">
      <c r="A68" s="128">
        <v>285</v>
      </c>
      <c r="B68" s="125" t="s">
        <v>458</v>
      </c>
      <c r="C68" s="126" t="s">
        <v>455</v>
      </c>
      <c r="D68" s="126" t="s">
        <v>3</v>
      </c>
      <c r="E68" s="126" t="s">
        <v>27</v>
      </c>
      <c r="F68" s="127" t="s">
        <v>492</v>
      </c>
    </row>
    <row r="69" spans="1:6" ht="16.5" customHeight="1">
      <c r="A69" s="129">
        <v>286</v>
      </c>
      <c r="B69" s="110" t="s">
        <v>493</v>
      </c>
      <c r="C69" s="123" t="s">
        <v>425</v>
      </c>
      <c r="D69" s="123" t="s">
        <v>3</v>
      </c>
      <c r="E69" s="123" t="s">
        <v>27</v>
      </c>
      <c r="F69" s="124" t="s">
        <v>494</v>
      </c>
    </row>
    <row r="70" spans="1:6" ht="16.5" customHeight="1">
      <c r="A70" s="109">
        <v>287</v>
      </c>
      <c r="B70" s="116" t="s">
        <v>493</v>
      </c>
      <c r="C70" s="123" t="s">
        <v>425</v>
      </c>
      <c r="D70" s="123" t="s">
        <v>3</v>
      </c>
      <c r="E70" s="123" t="s">
        <v>27</v>
      </c>
      <c r="F70" s="124" t="s">
        <v>495</v>
      </c>
    </row>
    <row r="71" spans="1:6" ht="16.5" customHeight="1">
      <c r="A71" s="109">
        <v>288</v>
      </c>
      <c r="B71" s="110" t="s">
        <v>493</v>
      </c>
      <c r="C71" s="123" t="s">
        <v>425</v>
      </c>
      <c r="D71" s="123" t="s">
        <v>3</v>
      </c>
      <c r="E71" s="123" t="s">
        <v>27</v>
      </c>
      <c r="F71" s="124" t="s">
        <v>496</v>
      </c>
    </row>
    <row r="72" spans="1:6" ht="16.5" customHeight="1">
      <c r="A72" s="109">
        <v>289</v>
      </c>
      <c r="B72" s="110" t="s">
        <v>493</v>
      </c>
      <c r="C72" s="123" t="s">
        <v>434</v>
      </c>
      <c r="D72" s="123" t="s">
        <v>3</v>
      </c>
      <c r="E72" s="123" t="s">
        <v>27</v>
      </c>
      <c r="F72" s="124" t="s">
        <v>497</v>
      </c>
    </row>
    <row r="73" spans="1:6" ht="16.5" customHeight="1">
      <c r="A73" s="109">
        <v>290</v>
      </c>
      <c r="B73" s="110" t="s">
        <v>493</v>
      </c>
      <c r="C73" s="123" t="s">
        <v>434</v>
      </c>
      <c r="D73" s="123" t="s">
        <v>3</v>
      </c>
      <c r="E73" s="123" t="s">
        <v>27</v>
      </c>
      <c r="F73" s="124" t="s">
        <v>498</v>
      </c>
    </row>
    <row r="74" spans="1:6" ht="16.5" customHeight="1">
      <c r="A74" s="109">
        <v>291</v>
      </c>
      <c r="B74" s="110" t="s">
        <v>493</v>
      </c>
      <c r="C74" s="123" t="s">
        <v>434</v>
      </c>
      <c r="D74" s="123" t="s">
        <v>3</v>
      </c>
      <c r="E74" s="123" t="s">
        <v>27</v>
      </c>
      <c r="F74" s="124" t="s">
        <v>499</v>
      </c>
    </row>
    <row r="75" spans="1:6" ht="16.5" customHeight="1">
      <c r="A75" s="109">
        <v>292</v>
      </c>
      <c r="B75" s="110" t="s">
        <v>493</v>
      </c>
      <c r="C75" s="123" t="s">
        <v>434</v>
      </c>
      <c r="D75" s="123" t="s">
        <v>3</v>
      </c>
      <c r="E75" s="123" t="s">
        <v>27</v>
      </c>
      <c r="F75" s="124" t="s">
        <v>500</v>
      </c>
    </row>
    <row r="76" spans="1:6" ht="16.5" customHeight="1">
      <c r="A76" s="109">
        <v>293</v>
      </c>
      <c r="B76" s="110" t="s">
        <v>493</v>
      </c>
      <c r="C76" s="123" t="s">
        <v>434</v>
      </c>
      <c r="D76" s="123" t="s">
        <v>3</v>
      </c>
      <c r="E76" s="123" t="s">
        <v>27</v>
      </c>
      <c r="F76" s="124" t="s">
        <v>501</v>
      </c>
    </row>
    <row r="77" spans="1:6" ht="16.5" customHeight="1">
      <c r="A77" s="109">
        <v>294</v>
      </c>
      <c r="B77" s="110" t="s">
        <v>493</v>
      </c>
      <c r="C77" s="123" t="s">
        <v>434</v>
      </c>
      <c r="D77" s="123" t="s">
        <v>3</v>
      </c>
      <c r="E77" s="123" t="s">
        <v>27</v>
      </c>
      <c r="F77" s="124" t="s">
        <v>502</v>
      </c>
    </row>
    <row r="78" spans="1:6" ht="16.5" customHeight="1">
      <c r="A78" s="109">
        <v>295</v>
      </c>
      <c r="B78" s="110" t="s">
        <v>493</v>
      </c>
      <c r="C78" s="123" t="s">
        <v>434</v>
      </c>
      <c r="D78" s="123" t="s">
        <v>3</v>
      </c>
      <c r="E78" s="123" t="s">
        <v>27</v>
      </c>
      <c r="F78" s="124" t="s">
        <v>503</v>
      </c>
    </row>
    <row r="79" spans="1:6" ht="16.5" customHeight="1">
      <c r="A79" s="109">
        <v>296</v>
      </c>
      <c r="B79" s="110" t="s">
        <v>493</v>
      </c>
      <c r="C79" s="123" t="s">
        <v>434</v>
      </c>
      <c r="D79" s="123" t="s">
        <v>3</v>
      </c>
      <c r="E79" s="123" t="s">
        <v>27</v>
      </c>
      <c r="F79" s="124" t="s">
        <v>504</v>
      </c>
    </row>
    <row r="80" spans="1:6" ht="16.5" customHeight="1">
      <c r="A80" s="109">
        <v>297</v>
      </c>
      <c r="B80" s="110" t="s">
        <v>493</v>
      </c>
      <c r="C80" s="123" t="s">
        <v>434</v>
      </c>
      <c r="D80" s="123" t="s">
        <v>3</v>
      </c>
      <c r="E80" s="123" t="s">
        <v>27</v>
      </c>
      <c r="F80" s="124" t="s">
        <v>505</v>
      </c>
    </row>
    <row r="81" spans="1:6" ht="16.5" customHeight="1">
      <c r="A81" s="109">
        <v>298</v>
      </c>
      <c r="B81" s="110" t="s">
        <v>493</v>
      </c>
      <c r="C81" s="123" t="s">
        <v>434</v>
      </c>
      <c r="D81" s="123" t="s">
        <v>3</v>
      </c>
      <c r="E81" s="123" t="s">
        <v>27</v>
      </c>
      <c r="F81" s="124" t="s">
        <v>506</v>
      </c>
    </row>
    <row r="82" spans="1:6" ht="16.5" customHeight="1">
      <c r="A82" s="109">
        <v>299</v>
      </c>
      <c r="B82" s="110" t="s">
        <v>493</v>
      </c>
      <c r="C82" s="123" t="s">
        <v>444</v>
      </c>
      <c r="D82" s="123" t="s">
        <v>3</v>
      </c>
      <c r="E82" s="123" t="s">
        <v>27</v>
      </c>
      <c r="F82" s="124" t="s">
        <v>507</v>
      </c>
    </row>
    <row r="83" spans="1:6" ht="16.5" customHeight="1">
      <c r="A83" s="109">
        <v>300</v>
      </c>
      <c r="B83" s="110" t="s">
        <v>493</v>
      </c>
      <c r="C83" s="123" t="s">
        <v>444</v>
      </c>
      <c r="D83" s="123" t="s">
        <v>3</v>
      </c>
      <c r="E83" s="123" t="s">
        <v>27</v>
      </c>
      <c r="F83" s="124" t="s">
        <v>508</v>
      </c>
    </row>
    <row r="84" spans="1:6" ht="16.5" customHeight="1">
      <c r="A84" s="109">
        <v>301</v>
      </c>
      <c r="B84" s="110" t="s">
        <v>493</v>
      </c>
      <c r="C84" s="123" t="s">
        <v>444</v>
      </c>
      <c r="D84" s="123" t="s">
        <v>3</v>
      </c>
      <c r="E84" s="123" t="s">
        <v>27</v>
      </c>
      <c r="F84" s="124" t="s">
        <v>509</v>
      </c>
    </row>
    <row r="85" spans="1:6" ht="16.5" customHeight="1">
      <c r="A85" s="109">
        <v>302</v>
      </c>
      <c r="B85" s="110" t="s">
        <v>493</v>
      </c>
      <c r="C85" s="123" t="s">
        <v>444</v>
      </c>
      <c r="D85" s="123" t="s">
        <v>3</v>
      </c>
      <c r="E85" s="123" t="s">
        <v>27</v>
      </c>
      <c r="F85" s="124" t="s">
        <v>510</v>
      </c>
    </row>
    <row r="86" spans="1:6" ht="16.5" customHeight="1">
      <c r="A86" s="109">
        <v>303</v>
      </c>
      <c r="B86" s="110" t="s">
        <v>493</v>
      </c>
      <c r="C86" s="123" t="s">
        <v>448</v>
      </c>
      <c r="D86" s="123" t="s">
        <v>3</v>
      </c>
      <c r="E86" s="123" t="s">
        <v>27</v>
      </c>
      <c r="F86" s="124" t="s">
        <v>511</v>
      </c>
    </row>
    <row r="87" spans="1:6" ht="16.5" customHeight="1">
      <c r="A87" s="109">
        <v>304</v>
      </c>
      <c r="B87" s="110" t="s">
        <v>493</v>
      </c>
      <c r="C87" s="123" t="s">
        <v>448</v>
      </c>
      <c r="D87" s="123" t="s">
        <v>3</v>
      </c>
      <c r="E87" s="123" t="s">
        <v>27</v>
      </c>
      <c r="F87" s="124" t="s">
        <v>512</v>
      </c>
    </row>
    <row r="88" spans="1:6" ht="16.5" customHeight="1">
      <c r="A88" s="109">
        <v>305</v>
      </c>
      <c r="B88" s="110" t="s">
        <v>493</v>
      </c>
      <c r="C88" s="123" t="s">
        <v>448</v>
      </c>
      <c r="D88" s="123" t="s">
        <v>3</v>
      </c>
      <c r="E88" s="123" t="s">
        <v>27</v>
      </c>
      <c r="F88" s="124" t="s">
        <v>321</v>
      </c>
    </row>
    <row r="89" spans="1:6" ht="16.5" customHeight="1">
      <c r="A89" s="109">
        <v>306</v>
      </c>
      <c r="B89" s="110" t="s">
        <v>493</v>
      </c>
      <c r="C89" s="123" t="s">
        <v>448</v>
      </c>
      <c r="D89" s="123" t="s">
        <v>3</v>
      </c>
      <c r="E89" s="123" t="s">
        <v>27</v>
      </c>
      <c r="F89" s="124" t="s">
        <v>513</v>
      </c>
    </row>
    <row r="90" spans="1:6" ht="16.5" customHeight="1">
      <c r="A90" s="109">
        <v>307</v>
      </c>
      <c r="B90" s="110" t="s">
        <v>493</v>
      </c>
      <c r="C90" s="123" t="s">
        <v>514</v>
      </c>
      <c r="D90" s="123" t="s">
        <v>3</v>
      </c>
      <c r="E90" s="123" t="s">
        <v>27</v>
      </c>
      <c r="F90" s="124" t="s">
        <v>515</v>
      </c>
    </row>
    <row r="91" spans="1:6" ht="16.5" customHeight="1">
      <c r="A91" s="109">
        <v>308</v>
      </c>
      <c r="B91" s="110" t="s">
        <v>493</v>
      </c>
      <c r="C91" s="123" t="s">
        <v>514</v>
      </c>
      <c r="D91" s="123" t="s">
        <v>3</v>
      </c>
      <c r="E91" s="123" t="s">
        <v>27</v>
      </c>
      <c r="F91" s="124" t="s">
        <v>516</v>
      </c>
    </row>
    <row r="92" spans="1:6" ht="16.5" customHeight="1">
      <c r="A92" s="109">
        <v>309</v>
      </c>
      <c r="B92" s="110" t="s">
        <v>493</v>
      </c>
      <c r="C92" s="123" t="s">
        <v>514</v>
      </c>
      <c r="D92" s="123" t="s">
        <v>3</v>
      </c>
      <c r="E92" s="123" t="s">
        <v>27</v>
      </c>
      <c r="F92" s="124" t="s">
        <v>517</v>
      </c>
    </row>
    <row r="93" spans="1:6" ht="16.5" customHeight="1">
      <c r="A93" s="109">
        <v>310</v>
      </c>
      <c r="B93" s="110" t="s">
        <v>493</v>
      </c>
      <c r="C93" s="123" t="s">
        <v>514</v>
      </c>
      <c r="D93" s="123" t="s">
        <v>3</v>
      </c>
      <c r="E93" s="123" t="s">
        <v>27</v>
      </c>
      <c r="F93" s="124" t="s">
        <v>518</v>
      </c>
    </row>
    <row r="94" spans="1:6" ht="16.5" customHeight="1">
      <c r="A94" s="109">
        <v>311</v>
      </c>
      <c r="B94" s="110" t="s">
        <v>493</v>
      </c>
      <c r="C94" s="123" t="s">
        <v>514</v>
      </c>
      <c r="D94" s="123" t="s">
        <v>3</v>
      </c>
      <c r="E94" s="123" t="s">
        <v>27</v>
      </c>
      <c r="F94" s="124" t="s">
        <v>519</v>
      </c>
    </row>
    <row r="95" spans="1:6" ht="16.5" customHeight="1">
      <c r="A95" s="109">
        <v>312</v>
      </c>
      <c r="B95" s="110" t="s">
        <v>493</v>
      </c>
      <c r="C95" s="111" t="s">
        <v>488</v>
      </c>
      <c r="D95" s="111" t="s">
        <v>3</v>
      </c>
      <c r="E95" s="111" t="s">
        <v>27</v>
      </c>
      <c r="F95" s="112" t="s">
        <v>520</v>
      </c>
    </row>
    <row r="96" spans="1:6" ht="16.5" customHeight="1">
      <c r="A96" s="109">
        <v>313</v>
      </c>
      <c r="B96" s="110" t="s">
        <v>493</v>
      </c>
      <c r="C96" s="111" t="s">
        <v>488</v>
      </c>
      <c r="D96" s="111" t="s">
        <v>3</v>
      </c>
      <c r="E96" s="111" t="s">
        <v>27</v>
      </c>
      <c r="F96" s="112" t="s">
        <v>521</v>
      </c>
    </row>
    <row r="97" spans="1:6" ht="16.5" customHeight="1">
      <c r="A97" s="109">
        <v>314</v>
      </c>
      <c r="B97" s="110" t="s">
        <v>493</v>
      </c>
      <c r="C97" s="111" t="s">
        <v>488</v>
      </c>
      <c r="D97" s="111" t="s">
        <v>3</v>
      </c>
      <c r="E97" s="111" t="s">
        <v>27</v>
      </c>
      <c r="F97" s="112" t="s">
        <v>522</v>
      </c>
    </row>
    <row r="98" spans="1:6" ht="16.5" customHeight="1">
      <c r="A98" s="109">
        <v>315</v>
      </c>
      <c r="B98" s="116" t="s">
        <v>493</v>
      </c>
      <c r="C98" s="111" t="s">
        <v>488</v>
      </c>
      <c r="D98" s="111" t="s">
        <v>3</v>
      </c>
      <c r="E98" s="111" t="s">
        <v>27</v>
      </c>
      <c r="F98" s="112" t="s">
        <v>523</v>
      </c>
    </row>
    <row r="99" spans="1:6" ht="16.5" customHeight="1">
      <c r="A99" s="109">
        <v>316</v>
      </c>
      <c r="B99" s="134" t="s">
        <v>493</v>
      </c>
      <c r="C99" s="114" t="s">
        <v>488</v>
      </c>
      <c r="D99" s="114" t="s">
        <v>3</v>
      </c>
      <c r="E99" s="114" t="s">
        <v>27</v>
      </c>
      <c r="F99" s="115" t="s">
        <v>524</v>
      </c>
    </row>
    <row r="100" spans="1:6" ht="16.5" customHeight="1">
      <c r="A100" s="119">
        <v>317</v>
      </c>
      <c r="B100" s="135" t="s">
        <v>493</v>
      </c>
      <c r="C100" s="120" t="s">
        <v>488</v>
      </c>
      <c r="D100" s="120" t="s">
        <v>3</v>
      </c>
      <c r="E100" s="120" t="s">
        <v>27</v>
      </c>
      <c r="F100" s="121" t="s">
        <v>525</v>
      </c>
    </row>
    <row r="101" spans="1:6" ht="16.5" customHeight="1">
      <c r="A101" s="122">
        <v>318</v>
      </c>
      <c r="B101" s="110" t="s">
        <v>526</v>
      </c>
      <c r="C101" s="123" t="s">
        <v>425</v>
      </c>
      <c r="D101" s="123" t="s">
        <v>3</v>
      </c>
      <c r="E101" s="123" t="s">
        <v>27</v>
      </c>
      <c r="F101" s="124" t="s">
        <v>527</v>
      </c>
    </row>
    <row r="102" spans="1:6" ht="16.5" customHeight="1">
      <c r="A102" s="109">
        <v>319</v>
      </c>
      <c r="B102" s="110" t="s">
        <v>526</v>
      </c>
      <c r="C102" s="123" t="s">
        <v>425</v>
      </c>
      <c r="D102" s="123" t="s">
        <v>3</v>
      </c>
      <c r="E102" s="123" t="s">
        <v>27</v>
      </c>
      <c r="F102" s="124" t="s">
        <v>528</v>
      </c>
    </row>
    <row r="103" spans="1:6" ht="16.5" customHeight="1">
      <c r="A103" s="109">
        <v>320</v>
      </c>
      <c r="B103" s="116" t="s">
        <v>526</v>
      </c>
      <c r="C103" s="123" t="s">
        <v>425</v>
      </c>
      <c r="D103" s="123" t="s">
        <v>3</v>
      </c>
      <c r="E103" s="123" t="s">
        <v>27</v>
      </c>
      <c r="F103" s="124" t="s">
        <v>185</v>
      </c>
    </row>
    <row r="104" spans="1:6" ht="16.5" customHeight="1">
      <c r="A104" s="109">
        <v>321</v>
      </c>
      <c r="B104" s="114" t="s">
        <v>526</v>
      </c>
      <c r="C104" s="123" t="s">
        <v>434</v>
      </c>
      <c r="D104" s="123" t="s">
        <v>3</v>
      </c>
      <c r="E104" s="123" t="s">
        <v>27</v>
      </c>
      <c r="F104" s="124" t="s">
        <v>529</v>
      </c>
    </row>
    <row r="105" spans="1:6" ht="16.5" customHeight="1">
      <c r="A105" s="109">
        <v>322</v>
      </c>
      <c r="B105" s="114" t="s">
        <v>526</v>
      </c>
      <c r="C105" s="123" t="s">
        <v>434</v>
      </c>
      <c r="D105" s="123" t="s">
        <v>3</v>
      </c>
      <c r="E105" s="123" t="s">
        <v>27</v>
      </c>
      <c r="F105" s="124" t="s">
        <v>530</v>
      </c>
    </row>
    <row r="106" spans="1:6" ht="16.5" customHeight="1">
      <c r="A106" s="109">
        <v>323</v>
      </c>
      <c r="B106" s="114" t="s">
        <v>526</v>
      </c>
      <c r="C106" s="123" t="s">
        <v>434</v>
      </c>
      <c r="D106" s="123" t="s">
        <v>3</v>
      </c>
      <c r="E106" s="123" t="s">
        <v>27</v>
      </c>
      <c r="F106" s="124" t="s">
        <v>531</v>
      </c>
    </row>
    <row r="107" spans="1:6" ht="16.5" customHeight="1">
      <c r="A107" s="109">
        <v>324</v>
      </c>
      <c r="B107" s="114" t="s">
        <v>526</v>
      </c>
      <c r="C107" s="123" t="s">
        <v>434</v>
      </c>
      <c r="D107" s="123" t="s">
        <v>3</v>
      </c>
      <c r="E107" s="123" t="s">
        <v>27</v>
      </c>
      <c r="F107" s="124" t="s">
        <v>532</v>
      </c>
    </row>
    <row r="108" spans="1:6" ht="16.5" customHeight="1">
      <c r="A108" s="109">
        <v>325</v>
      </c>
      <c r="B108" s="114" t="s">
        <v>526</v>
      </c>
      <c r="C108" s="123" t="s">
        <v>434</v>
      </c>
      <c r="D108" s="123" t="s">
        <v>3</v>
      </c>
      <c r="E108" s="123" t="s">
        <v>27</v>
      </c>
      <c r="F108" s="124" t="s">
        <v>175</v>
      </c>
    </row>
    <row r="109" spans="1:6" ht="16.5" customHeight="1">
      <c r="A109" s="109">
        <v>326</v>
      </c>
      <c r="B109" s="114" t="s">
        <v>526</v>
      </c>
      <c r="C109" s="123" t="s">
        <v>434</v>
      </c>
      <c r="D109" s="123" t="s">
        <v>3</v>
      </c>
      <c r="E109" s="123" t="s">
        <v>27</v>
      </c>
      <c r="F109" s="124" t="s">
        <v>533</v>
      </c>
    </row>
    <row r="110" spans="1:6" ht="16.5" customHeight="1">
      <c r="A110" s="109">
        <v>327</v>
      </c>
      <c r="B110" s="114" t="s">
        <v>526</v>
      </c>
      <c r="C110" s="123" t="s">
        <v>434</v>
      </c>
      <c r="D110" s="123" t="s">
        <v>3</v>
      </c>
      <c r="E110" s="123" t="s">
        <v>27</v>
      </c>
      <c r="F110" s="124" t="s">
        <v>534</v>
      </c>
    </row>
    <row r="111" spans="1:6" ht="16.5" customHeight="1">
      <c r="A111" s="109">
        <v>328</v>
      </c>
      <c r="B111" s="114" t="s">
        <v>526</v>
      </c>
      <c r="C111" s="123" t="s">
        <v>434</v>
      </c>
      <c r="D111" s="123" t="s">
        <v>3</v>
      </c>
      <c r="E111" s="123" t="s">
        <v>27</v>
      </c>
      <c r="F111" s="124" t="s">
        <v>535</v>
      </c>
    </row>
    <row r="112" spans="1:6" ht="16.5" customHeight="1">
      <c r="A112" s="109">
        <v>329</v>
      </c>
      <c r="B112" s="114" t="s">
        <v>526</v>
      </c>
      <c r="C112" s="123" t="s">
        <v>434</v>
      </c>
      <c r="D112" s="123" t="s">
        <v>3</v>
      </c>
      <c r="E112" s="123" t="s">
        <v>27</v>
      </c>
      <c r="F112" s="124" t="s">
        <v>536</v>
      </c>
    </row>
    <row r="113" spans="1:6" ht="16.5" customHeight="1">
      <c r="A113" s="109">
        <v>330</v>
      </c>
      <c r="B113" s="114" t="s">
        <v>526</v>
      </c>
      <c r="C113" s="123" t="s">
        <v>434</v>
      </c>
      <c r="D113" s="123" t="s">
        <v>3</v>
      </c>
      <c r="E113" s="123" t="s">
        <v>27</v>
      </c>
      <c r="F113" s="124" t="s">
        <v>537</v>
      </c>
    </row>
    <row r="114" spans="1:6" ht="16.5" customHeight="1">
      <c r="A114" s="109">
        <v>331</v>
      </c>
      <c r="B114" s="114" t="s">
        <v>526</v>
      </c>
      <c r="C114" s="123" t="s">
        <v>434</v>
      </c>
      <c r="D114" s="123" t="s">
        <v>3</v>
      </c>
      <c r="E114" s="123" t="s">
        <v>27</v>
      </c>
      <c r="F114" s="124" t="s">
        <v>538</v>
      </c>
    </row>
    <row r="115" spans="1:6" ht="16.5" customHeight="1">
      <c r="A115" s="109">
        <v>332</v>
      </c>
      <c r="B115" s="114" t="s">
        <v>526</v>
      </c>
      <c r="C115" s="123" t="s">
        <v>434</v>
      </c>
      <c r="D115" s="123" t="s">
        <v>3</v>
      </c>
      <c r="E115" s="123" t="s">
        <v>27</v>
      </c>
      <c r="F115" s="124" t="s">
        <v>539</v>
      </c>
    </row>
    <row r="116" spans="1:6" ht="16.5" customHeight="1">
      <c r="A116" s="109">
        <v>333</v>
      </c>
      <c r="B116" s="114" t="s">
        <v>526</v>
      </c>
      <c r="C116" s="123" t="s">
        <v>434</v>
      </c>
      <c r="D116" s="123" t="s">
        <v>3</v>
      </c>
      <c r="E116" s="123" t="s">
        <v>27</v>
      </c>
      <c r="F116" s="124" t="s">
        <v>540</v>
      </c>
    </row>
    <row r="117" spans="1:6" ht="16.5" customHeight="1">
      <c r="A117" s="109">
        <v>334</v>
      </c>
      <c r="B117" s="114" t="s">
        <v>526</v>
      </c>
      <c r="C117" s="123" t="s">
        <v>434</v>
      </c>
      <c r="D117" s="123" t="s">
        <v>3</v>
      </c>
      <c r="E117" s="123" t="s">
        <v>27</v>
      </c>
      <c r="F117" s="124" t="s">
        <v>541</v>
      </c>
    </row>
    <row r="118" spans="1:6" ht="16.5" customHeight="1">
      <c r="A118" s="109">
        <v>335</v>
      </c>
      <c r="B118" s="114" t="s">
        <v>526</v>
      </c>
      <c r="C118" s="123" t="s">
        <v>434</v>
      </c>
      <c r="D118" s="123" t="s">
        <v>3</v>
      </c>
      <c r="E118" s="123" t="s">
        <v>27</v>
      </c>
      <c r="F118" s="124" t="s">
        <v>542</v>
      </c>
    </row>
    <row r="119" spans="1:6" ht="16.5" customHeight="1">
      <c r="A119" s="109">
        <v>336</v>
      </c>
      <c r="B119" s="114" t="s">
        <v>526</v>
      </c>
      <c r="C119" s="123" t="s">
        <v>434</v>
      </c>
      <c r="D119" s="123" t="s">
        <v>3</v>
      </c>
      <c r="E119" s="123" t="s">
        <v>27</v>
      </c>
      <c r="F119" s="124" t="s">
        <v>543</v>
      </c>
    </row>
    <row r="120" spans="1:6" ht="16.5" customHeight="1">
      <c r="A120" s="109">
        <v>337</v>
      </c>
      <c r="B120" s="114" t="s">
        <v>526</v>
      </c>
      <c r="C120" s="123" t="s">
        <v>444</v>
      </c>
      <c r="D120" s="123" t="s">
        <v>3</v>
      </c>
      <c r="E120" s="123" t="s">
        <v>27</v>
      </c>
      <c r="F120" s="124" t="s">
        <v>544</v>
      </c>
    </row>
    <row r="121" spans="1:6" ht="16.5" customHeight="1">
      <c r="A121" s="109">
        <v>338</v>
      </c>
      <c r="B121" s="114" t="s">
        <v>526</v>
      </c>
      <c r="C121" s="123" t="s">
        <v>444</v>
      </c>
      <c r="D121" s="123" t="s">
        <v>3</v>
      </c>
      <c r="E121" s="123" t="s">
        <v>27</v>
      </c>
      <c r="F121" s="124" t="s">
        <v>545</v>
      </c>
    </row>
    <row r="122" spans="1:6" ht="16.5" customHeight="1">
      <c r="A122" s="109">
        <v>339</v>
      </c>
      <c r="B122" s="114" t="s">
        <v>526</v>
      </c>
      <c r="C122" s="123" t="s">
        <v>444</v>
      </c>
      <c r="D122" s="123" t="s">
        <v>3</v>
      </c>
      <c r="E122" s="123" t="s">
        <v>27</v>
      </c>
      <c r="F122" s="124" t="s">
        <v>546</v>
      </c>
    </row>
    <row r="123" spans="1:6" ht="16.5" customHeight="1">
      <c r="A123" s="109">
        <v>340</v>
      </c>
      <c r="B123" s="114" t="s">
        <v>526</v>
      </c>
      <c r="C123" s="123" t="s">
        <v>444</v>
      </c>
      <c r="D123" s="123" t="s">
        <v>3</v>
      </c>
      <c r="E123" s="123" t="s">
        <v>27</v>
      </c>
      <c r="F123" s="124" t="s">
        <v>547</v>
      </c>
    </row>
    <row r="124" spans="1:6" ht="16.5" customHeight="1">
      <c r="A124" s="109">
        <v>341</v>
      </c>
      <c r="B124" s="114" t="s">
        <v>526</v>
      </c>
      <c r="C124" s="123" t="s">
        <v>444</v>
      </c>
      <c r="D124" s="123" t="s">
        <v>3</v>
      </c>
      <c r="E124" s="123" t="s">
        <v>27</v>
      </c>
      <c r="F124" s="124" t="s">
        <v>548</v>
      </c>
    </row>
    <row r="125" spans="1:6" ht="16.5" customHeight="1">
      <c r="A125" s="109">
        <v>342</v>
      </c>
      <c r="B125" s="114" t="s">
        <v>526</v>
      </c>
      <c r="C125" s="123" t="s">
        <v>444</v>
      </c>
      <c r="D125" s="123" t="s">
        <v>3</v>
      </c>
      <c r="E125" s="123" t="s">
        <v>27</v>
      </c>
      <c r="F125" s="124" t="s">
        <v>549</v>
      </c>
    </row>
    <row r="126" spans="1:6" ht="16.5" customHeight="1">
      <c r="A126" s="109">
        <v>343</v>
      </c>
      <c r="B126" s="114" t="s">
        <v>526</v>
      </c>
      <c r="C126" s="123" t="s">
        <v>444</v>
      </c>
      <c r="D126" s="123" t="s">
        <v>3</v>
      </c>
      <c r="E126" s="123" t="s">
        <v>27</v>
      </c>
      <c r="F126" s="124" t="s">
        <v>550</v>
      </c>
    </row>
    <row r="127" spans="1:6" ht="16.5" customHeight="1">
      <c r="A127" s="109">
        <v>344</v>
      </c>
      <c r="B127" s="114" t="s">
        <v>526</v>
      </c>
      <c r="C127" s="123" t="s">
        <v>448</v>
      </c>
      <c r="D127" s="123" t="s">
        <v>3</v>
      </c>
      <c r="E127" s="123" t="s">
        <v>27</v>
      </c>
      <c r="F127" s="124" t="s">
        <v>551</v>
      </c>
    </row>
    <row r="128" spans="1:6" ht="16.5" customHeight="1">
      <c r="A128" s="109">
        <v>345</v>
      </c>
      <c r="B128" s="114" t="s">
        <v>526</v>
      </c>
      <c r="C128" s="123" t="s">
        <v>448</v>
      </c>
      <c r="D128" s="123" t="s">
        <v>3</v>
      </c>
      <c r="E128" s="123" t="s">
        <v>27</v>
      </c>
      <c r="F128" s="124" t="s">
        <v>552</v>
      </c>
    </row>
    <row r="129" spans="1:6" ht="16.5" customHeight="1">
      <c r="A129" s="109">
        <v>346</v>
      </c>
      <c r="B129" s="114" t="s">
        <v>526</v>
      </c>
      <c r="C129" s="123" t="s">
        <v>448</v>
      </c>
      <c r="D129" s="123" t="s">
        <v>3</v>
      </c>
      <c r="E129" s="123" t="s">
        <v>27</v>
      </c>
      <c r="F129" s="124" t="s">
        <v>553</v>
      </c>
    </row>
    <row r="130" spans="1:6" ht="16.5" customHeight="1">
      <c r="A130" s="109">
        <v>347</v>
      </c>
      <c r="B130" s="114" t="s">
        <v>526</v>
      </c>
      <c r="C130" s="123" t="s">
        <v>448</v>
      </c>
      <c r="D130" s="123" t="s">
        <v>3</v>
      </c>
      <c r="E130" s="123" t="s">
        <v>27</v>
      </c>
      <c r="F130" s="124" t="s">
        <v>554</v>
      </c>
    </row>
    <row r="131" spans="1:6" ht="16.5" customHeight="1">
      <c r="A131" s="109">
        <v>348</v>
      </c>
      <c r="B131" s="114" t="s">
        <v>526</v>
      </c>
      <c r="C131" s="123" t="s">
        <v>455</v>
      </c>
      <c r="D131" s="123" t="s">
        <v>3</v>
      </c>
      <c r="E131" s="123" t="s">
        <v>27</v>
      </c>
      <c r="F131" s="124" t="s">
        <v>555</v>
      </c>
    </row>
    <row r="132" spans="1:6" ht="16.5" customHeight="1">
      <c r="A132" s="119">
        <v>349</v>
      </c>
      <c r="B132" s="135" t="s">
        <v>526</v>
      </c>
      <c r="C132" s="126" t="s">
        <v>455</v>
      </c>
      <c r="D132" s="126" t="s">
        <v>3</v>
      </c>
      <c r="E132" s="126" t="s">
        <v>27</v>
      </c>
      <c r="F132" s="127" t="s">
        <v>556</v>
      </c>
    </row>
    <row r="133" spans="1:6" ht="16.5" customHeight="1">
      <c r="A133" s="122">
        <v>350</v>
      </c>
      <c r="B133" s="110" t="s">
        <v>557</v>
      </c>
      <c r="C133" s="123" t="s">
        <v>558</v>
      </c>
      <c r="D133" s="123" t="s">
        <v>3</v>
      </c>
      <c r="E133" s="123" t="s">
        <v>29</v>
      </c>
      <c r="F133" s="124" t="s">
        <v>559</v>
      </c>
    </row>
    <row r="134" spans="1:6" ht="16.5" customHeight="1">
      <c r="A134" s="109">
        <v>351</v>
      </c>
      <c r="B134" s="110" t="s">
        <v>557</v>
      </c>
      <c r="C134" s="123" t="s">
        <v>558</v>
      </c>
      <c r="D134" s="123" t="s">
        <v>3</v>
      </c>
      <c r="E134" s="123" t="s">
        <v>29</v>
      </c>
      <c r="F134" s="124" t="s">
        <v>560</v>
      </c>
    </row>
    <row r="135" spans="1:6" ht="16.5" customHeight="1">
      <c r="A135" s="109">
        <v>352</v>
      </c>
      <c r="B135" s="110" t="s">
        <v>557</v>
      </c>
      <c r="C135" s="123" t="s">
        <v>558</v>
      </c>
      <c r="D135" s="123" t="s">
        <v>3</v>
      </c>
      <c r="E135" s="123" t="s">
        <v>29</v>
      </c>
      <c r="F135" s="124" t="s">
        <v>395</v>
      </c>
    </row>
    <row r="136" spans="1:6" ht="16.5" customHeight="1">
      <c r="A136" s="109">
        <v>353</v>
      </c>
      <c r="B136" s="110" t="s">
        <v>557</v>
      </c>
      <c r="C136" s="123" t="s">
        <v>558</v>
      </c>
      <c r="D136" s="123" t="s">
        <v>3</v>
      </c>
      <c r="E136" s="123" t="s">
        <v>29</v>
      </c>
      <c r="F136" s="124" t="s">
        <v>561</v>
      </c>
    </row>
    <row r="137" spans="1:6" ht="16.5" customHeight="1">
      <c r="A137" s="109">
        <v>354</v>
      </c>
      <c r="B137" s="110" t="s">
        <v>557</v>
      </c>
      <c r="C137" s="123" t="s">
        <v>558</v>
      </c>
      <c r="D137" s="123" t="s">
        <v>3</v>
      </c>
      <c r="E137" s="123" t="s">
        <v>29</v>
      </c>
      <c r="F137" s="124" t="s">
        <v>562</v>
      </c>
    </row>
    <row r="138" spans="1:6" ht="16.5" customHeight="1">
      <c r="A138" s="109">
        <v>355</v>
      </c>
      <c r="B138" s="110" t="s">
        <v>557</v>
      </c>
      <c r="C138" s="123" t="s">
        <v>558</v>
      </c>
      <c r="D138" s="123" t="s">
        <v>3</v>
      </c>
      <c r="E138" s="123" t="s">
        <v>29</v>
      </c>
      <c r="F138" s="124" t="s">
        <v>279</v>
      </c>
    </row>
    <row r="139" spans="1:6" ht="16.5" customHeight="1">
      <c r="A139" s="109">
        <v>356</v>
      </c>
      <c r="B139" s="110" t="s">
        <v>557</v>
      </c>
      <c r="C139" s="123" t="s">
        <v>558</v>
      </c>
      <c r="D139" s="123" t="s">
        <v>3</v>
      </c>
      <c r="E139" s="123" t="s">
        <v>29</v>
      </c>
      <c r="F139" s="124" t="s">
        <v>563</v>
      </c>
    </row>
    <row r="140" spans="1:6" ht="16.5" customHeight="1">
      <c r="A140" s="109">
        <v>357</v>
      </c>
      <c r="B140" s="110" t="s">
        <v>557</v>
      </c>
      <c r="C140" s="123" t="s">
        <v>558</v>
      </c>
      <c r="D140" s="123" t="s">
        <v>3</v>
      </c>
      <c r="E140" s="123" t="s">
        <v>29</v>
      </c>
      <c r="F140" s="124" t="s">
        <v>564</v>
      </c>
    </row>
    <row r="141" spans="1:6" ht="16.5" customHeight="1">
      <c r="A141" s="109">
        <v>358</v>
      </c>
      <c r="B141" s="110" t="s">
        <v>557</v>
      </c>
      <c r="C141" s="123" t="s">
        <v>558</v>
      </c>
      <c r="D141" s="123" t="s">
        <v>3</v>
      </c>
      <c r="E141" s="123" t="s">
        <v>29</v>
      </c>
      <c r="F141" s="124" t="s">
        <v>565</v>
      </c>
    </row>
    <row r="142" spans="1:6" ht="16.5" customHeight="1">
      <c r="A142" s="109">
        <v>359</v>
      </c>
      <c r="B142" s="110" t="s">
        <v>557</v>
      </c>
      <c r="C142" s="114" t="s">
        <v>566</v>
      </c>
      <c r="D142" s="114" t="s">
        <v>3</v>
      </c>
      <c r="E142" s="114" t="s">
        <v>29</v>
      </c>
      <c r="F142" s="115" t="s">
        <v>567</v>
      </c>
    </row>
    <row r="143" spans="1:6" ht="16.5" customHeight="1">
      <c r="A143" s="109">
        <v>360</v>
      </c>
      <c r="B143" s="110" t="s">
        <v>557</v>
      </c>
      <c r="C143" s="114" t="s">
        <v>566</v>
      </c>
      <c r="D143" s="114" t="s">
        <v>3</v>
      </c>
      <c r="E143" s="114" t="s">
        <v>29</v>
      </c>
      <c r="F143" s="115" t="s">
        <v>568</v>
      </c>
    </row>
    <row r="144" spans="1:6" ht="16.5" customHeight="1">
      <c r="A144" s="109">
        <v>361</v>
      </c>
      <c r="B144" s="110" t="s">
        <v>557</v>
      </c>
      <c r="C144" s="114" t="s">
        <v>566</v>
      </c>
      <c r="D144" s="114" t="s">
        <v>3</v>
      </c>
      <c r="E144" s="114" t="s">
        <v>29</v>
      </c>
      <c r="F144" s="115" t="s">
        <v>569</v>
      </c>
    </row>
    <row r="145" spans="1:6" ht="16.5" customHeight="1">
      <c r="A145" s="109">
        <v>362</v>
      </c>
      <c r="B145" s="110" t="s">
        <v>557</v>
      </c>
      <c r="C145" s="114" t="s">
        <v>566</v>
      </c>
      <c r="D145" s="114" t="s">
        <v>3</v>
      </c>
      <c r="E145" s="114" t="s">
        <v>29</v>
      </c>
      <c r="F145" s="115" t="s">
        <v>570</v>
      </c>
    </row>
    <row r="146" spans="1:6" ht="16.5" customHeight="1">
      <c r="A146" s="109">
        <v>363</v>
      </c>
      <c r="B146" s="110" t="s">
        <v>557</v>
      </c>
      <c r="C146" s="114" t="s">
        <v>566</v>
      </c>
      <c r="D146" s="114" t="s">
        <v>3</v>
      </c>
      <c r="E146" s="114" t="s">
        <v>29</v>
      </c>
      <c r="F146" s="115" t="s">
        <v>571</v>
      </c>
    </row>
    <row r="147" spans="1:6" ht="16.5" customHeight="1">
      <c r="A147" s="109">
        <v>364</v>
      </c>
      <c r="B147" s="110" t="s">
        <v>557</v>
      </c>
      <c r="C147" s="114" t="s">
        <v>572</v>
      </c>
      <c r="D147" s="114" t="s">
        <v>3</v>
      </c>
      <c r="E147" s="114" t="s">
        <v>29</v>
      </c>
      <c r="F147" s="115" t="s">
        <v>573</v>
      </c>
    </row>
    <row r="148" spans="1:6" ht="16.5" customHeight="1">
      <c r="A148" s="109">
        <v>365</v>
      </c>
      <c r="B148" s="110" t="s">
        <v>557</v>
      </c>
      <c r="C148" s="114" t="s">
        <v>572</v>
      </c>
      <c r="D148" s="114" t="s">
        <v>3</v>
      </c>
      <c r="E148" s="114" t="s">
        <v>29</v>
      </c>
      <c r="F148" s="115" t="s">
        <v>574</v>
      </c>
    </row>
    <row r="149" spans="1:6" ht="16.5" customHeight="1">
      <c r="A149" s="109">
        <v>366</v>
      </c>
      <c r="B149" s="110" t="s">
        <v>557</v>
      </c>
      <c r="C149" s="114" t="s">
        <v>572</v>
      </c>
      <c r="D149" s="114" t="s">
        <v>3</v>
      </c>
      <c r="E149" s="114" t="s">
        <v>29</v>
      </c>
      <c r="F149" s="115" t="s">
        <v>575</v>
      </c>
    </row>
    <row r="150" spans="1:6" ht="16.5" customHeight="1">
      <c r="A150" s="109">
        <v>367</v>
      </c>
      <c r="B150" s="110" t="s">
        <v>557</v>
      </c>
      <c r="C150" s="114" t="s">
        <v>572</v>
      </c>
      <c r="D150" s="114" t="s">
        <v>3</v>
      </c>
      <c r="E150" s="114" t="s">
        <v>29</v>
      </c>
      <c r="F150" s="115" t="s">
        <v>576</v>
      </c>
    </row>
    <row r="151" spans="1:6" ht="16.5" customHeight="1">
      <c r="A151" s="109">
        <v>368</v>
      </c>
      <c r="B151" s="110" t="s">
        <v>557</v>
      </c>
      <c r="C151" s="123" t="s">
        <v>577</v>
      </c>
      <c r="D151" s="123" t="s">
        <v>3</v>
      </c>
      <c r="E151" s="123" t="s">
        <v>29</v>
      </c>
      <c r="F151" s="124" t="s">
        <v>578</v>
      </c>
    </row>
    <row r="152" spans="1:6" ht="16.5" customHeight="1">
      <c r="A152" s="109">
        <v>369</v>
      </c>
      <c r="B152" s="110" t="s">
        <v>557</v>
      </c>
      <c r="C152" s="123" t="s">
        <v>577</v>
      </c>
      <c r="D152" s="123" t="s">
        <v>3</v>
      </c>
      <c r="E152" s="123" t="s">
        <v>29</v>
      </c>
      <c r="F152" s="124" t="s">
        <v>579</v>
      </c>
    </row>
    <row r="153" spans="1:6" ht="16.5" customHeight="1">
      <c r="A153" s="109">
        <v>370</v>
      </c>
      <c r="B153" s="110" t="s">
        <v>557</v>
      </c>
      <c r="C153" s="123" t="s">
        <v>577</v>
      </c>
      <c r="D153" s="123" t="s">
        <v>3</v>
      </c>
      <c r="E153" s="123" t="s">
        <v>29</v>
      </c>
      <c r="F153" s="124" t="s">
        <v>548</v>
      </c>
    </row>
    <row r="154" spans="1:6" ht="16.5" customHeight="1">
      <c r="A154" s="109">
        <v>371</v>
      </c>
      <c r="B154" s="110" t="s">
        <v>557</v>
      </c>
      <c r="C154" s="123" t="s">
        <v>577</v>
      </c>
      <c r="D154" s="123" t="s">
        <v>3</v>
      </c>
      <c r="E154" s="123" t="s">
        <v>29</v>
      </c>
      <c r="F154" s="124" t="s">
        <v>580</v>
      </c>
    </row>
    <row r="155" spans="1:6" ht="16.5" customHeight="1">
      <c r="A155" s="109">
        <v>372</v>
      </c>
      <c r="B155" s="110" t="s">
        <v>557</v>
      </c>
      <c r="C155" s="123" t="s">
        <v>581</v>
      </c>
      <c r="D155" s="123" t="s">
        <v>3</v>
      </c>
      <c r="E155" s="123" t="s">
        <v>29</v>
      </c>
      <c r="F155" s="124" t="s">
        <v>582</v>
      </c>
    </row>
    <row r="156" spans="1:6" ht="16.5" customHeight="1">
      <c r="A156" s="109">
        <v>373</v>
      </c>
      <c r="B156" s="110" t="s">
        <v>557</v>
      </c>
      <c r="C156" s="123" t="s">
        <v>581</v>
      </c>
      <c r="D156" s="123" t="s">
        <v>3</v>
      </c>
      <c r="E156" s="123" t="s">
        <v>29</v>
      </c>
      <c r="F156" s="124" t="s">
        <v>583</v>
      </c>
    </row>
    <row r="157" spans="1:6" ht="16.5" customHeight="1">
      <c r="A157" s="109">
        <v>374</v>
      </c>
      <c r="B157" s="110" t="s">
        <v>557</v>
      </c>
      <c r="C157" s="123" t="s">
        <v>581</v>
      </c>
      <c r="D157" s="123" t="s">
        <v>3</v>
      </c>
      <c r="E157" s="123" t="s">
        <v>29</v>
      </c>
      <c r="F157" s="124" t="s">
        <v>584</v>
      </c>
    </row>
    <row r="158" spans="1:6" ht="16.5" customHeight="1">
      <c r="A158" s="109">
        <v>375</v>
      </c>
      <c r="B158" s="116" t="s">
        <v>557</v>
      </c>
      <c r="C158" s="123" t="s">
        <v>581</v>
      </c>
      <c r="D158" s="123" t="s">
        <v>3</v>
      </c>
      <c r="E158" s="123" t="s">
        <v>29</v>
      </c>
      <c r="F158" s="124" t="s">
        <v>585</v>
      </c>
    </row>
    <row r="159" spans="1:6" ht="16.5" customHeight="1">
      <c r="A159" s="109">
        <v>376</v>
      </c>
      <c r="B159" s="110" t="s">
        <v>557</v>
      </c>
      <c r="C159" s="123" t="s">
        <v>455</v>
      </c>
      <c r="D159" s="123" t="s">
        <v>3</v>
      </c>
      <c r="E159" s="123" t="s">
        <v>29</v>
      </c>
      <c r="F159" s="124" t="s">
        <v>586</v>
      </c>
    </row>
    <row r="160" spans="1:6" ht="16.5" customHeight="1">
      <c r="A160" s="109">
        <v>377</v>
      </c>
      <c r="B160" s="110" t="s">
        <v>557</v>
      </c>
      <c r="C160" s="123" t="s">
        <v>455</v>
      </c>
      <c r="D160" s="123" t="s">
        <v>3</v>
      </c>
      <c r="E160" s="123" t="s">
        <v>29</v>
      </c>
      <c r="F160" s="124" t="s">
        <v>587</v>
      </c>
    </row>
    <row r="161" spans="1:6" ht="16.5" customHeight="1">
      <c r="A161" s="128">
        <v>378</v>
      </c>
      <c r="B161" s="125" t="s">
        <v>557</v>
      </c>
      <c r="C161" s="126" t="s">
        <v>455</v>
      </c>
      <c r="D161" s="126" t="s">
        <v>3</v>
      </c>
      <c r="E161" s="126" t="s">
        <v>29</v>
      </c>
      <c r="F161" s="127" t="s">
        <v>588</v>
      </c>
    </row>
    <row r="162" spans="1:6" ht="16.5" customHeight="1">
      <c r="A162" s="129">
        <v>379</v>
      </c>
      <c r="B162" s="110" t="s">
        <v>589</v>
      </c>
      <c r="C162" s="114" t="s">
        <v>590</v>
      </c>
      <c r="D162" s="114" t="s">
        <v>3</v>
      </c>
      <c r="E162" s="114" t="s">
        <v>29</v>
      </c>
      <c r="F162" s="115" t="s">
        <v>591</v>
      </c>
    </row>
    <row r="163" spans="1:6" ht="16.5" customHeight="1">
      <c r="A163" s="109">
        <v>380</v>
      </c>
      <c r="B163" s="110" t="s">
        <v>589</v>
      </c>
      <c r="C163" s="114" t="s">
        <v>590</v>
      </c>
      <c r="D163" s="114" t="s">
        <v>3</v>
      </c>
      <c r="E163" s="114" t="s">
        <v>29</v>
      </c>
      <c r="F163" s="115" t="s">
        <v>592</v>
      </c>
    </row>
    <row r="164" spans="1:6" ht="16.5" customHeight="1">
      <c r="A164" s="109">
        <v>381</v>
      </c>
      <c r="B164" s="110" t="s">
        <v>589</v>
      </c>
      <c r="C164" s="114" t="s">
        <v>590</v>
      </c>
      <c r="D164" s="114" t="s">
        <v>3</v>
      </c>
      <c r="E164" s="114" t="s">
        <v>29</v>
      </c>
      <c r="F164" s="115" t="s">
        <v>593</v>
      </c>
    </row>
    <row r="165" spans="1:6" ht="16.5" customHeight="1">
      <c r="A165" s="109">
        <v>382</v>
      </c>
      <c r="B165" s="110" t="s">
        <v>589</v>
      </c>
      <c r="C165" s="114" t="s">
        <v>590</v>
      </c>
      <c r="D165" s="114" t="s">
        <v>3</v>
      </c>
      <c r="E165" s="114" t="s">
        <v>29</v>
      </c>
      <c r="F165" s="115" t="s">
        <v>594</v>
      </c>
    </row>
    <row r="166" spans="1:6" ht="16.5" customHeight="1">
      <c r="A166" s="109">
        <v>383</v>
      </c>
      <c r="B166" s="110" t="s">
        <v>589</v>
      </c>
      <c r="C166" s="114" t="s">
        <v>590</v>
      </c>
      <c r="D166" s="114" t="s">
        <v>3</v>
      </c>
      <c r="E166" s="114" t="s">
        <v>29</v>
      </c>
      <c r="F166" s="115" t="s">
        <v>595</v>
      </c>
    </row>
    <row r="167" spans="1:6" ht="16.5" customHeight="1">
      <c r="A167" s="109">
        <v>384</v>
      </c>
      <c r="B167" s="110" t="s">
        <v>589</v>
      </c>
      <c r="C167" s="114" t="s">
        <v>590</v>
      </c>
      <c r="D167" s="114" t="s">
        <v>3</v>
      </c>
      <c r="E167" s="114" t="s">
        <v>29</v>
      </c>
      <c r="F167" s="115" t="s">
        <v>596</v>
      </c>
    </row>
    <row r="168" spans="1:6" ht="16.5" customHeight="1">
      <c r="A168" s="109">
        <v>385</v>
      </c>
      <c r="B168" s="110" t="s">
        <v>589</v>
      </c>
      <c r="C168" s="114" t="s">
        <v>421</v>
      </c>
      <c r="D168" s="114" t="s">
        <v>597</v>
      </c>
      <c r="E168" s="114" t="s">
        <v>29</v>
      </c>
      <c r="F168" s="115" t="s">
        <v>598</v>
      </c>
    </row>
    <row r="169" spans="1:6" ht="16.5" customHeight="1">
      <c r="A169" s="109">
        <v>386</v>
      </c>
      <c r="B169" s="110" t="s">
        <v>589</v>
      </c>
      <c r="C169" s="114" t="s">
        <v>421</v>
      </c>
      <c r="D169" s="114" t="s">
        <v>3</v>
      </c>
      <c r="E169" s="114" t="s">
        <v>29</v>
      </c>
      <c r="F169" s="115" t="s">
        <v>599</v>
      </c>
    </row>
    <row r="170" spans="1:6" ht="16.5" customHeight="1">
      <c r="A170" s="109">
        <v>387</v>
      </c>
      <c r="B170" s="110" t="s">
        <v>589</v>
      </c>
      <c r="C170" s="123" t="s">
        <v>600</v>
      </c>
      <c r="D170" s="123" t="s">
        <v>3</v>
      </c>
      <c r="E170" s="123" t="s">
        <v>29</v>
      </c>
      <c r="F170" s="124" t="s">
        <v>601</v>
      </c>
    </row>
    <row r="171" spans="1:6" ht="16.5" customHeight="1">
      <c r="A171" s="109">
        <v>388</v>
      </c>
      <c r="B171" s="110" t="s">
        <v>589</v>
      </c>
      <c r="C171" s="123" t="s">
        <v>600</v>
      </c>
      <c r="D171" s="123" t="s">
        <v>3</v>
      </c>
      <c r="E171" s="123" t="s">
        <v>29</v>
      </c>
      <c r="F171" s="124" t="s">
        <v>602</v>
      </c>
    </row>
    <row r="172" spans="1:6" ht="16.5" customHeight="1">
      <c r="A172" s="109">
        <v>389</v>
      </c>
      <c r="B172" s="110" t="s">
        <v>589</v>
      </c>
      <c r="C172" s="123" t="s">
        <v>600</v>
      </c>
      <c r="D172" s="123" t="s">
        <v>3</v>
      </c>
      <c r="E172" s="123" t="s">
        <v>29</v>
      </c>
      <c r="F172" s="124" t="s">
        <v>603</v>
      </c>
    </row>
    <row r="173" spans="1:6" ht="16.5" customHeight="1">
      <c r="A173" s="109">
        <v>390</v>
      </c>
      <c r="B173" s="110" t="s">
        <v>589</v>
      </c>
      <c r="C173" s="123" t="s">
        <v>558</v>
      </c>
      <c r="D173" s="123" t="s">
        <v>3</v>
      </c>
      <c r="E173" s="123" t="s">
        <v>29</v>
      </c>
      <c r="F173" s="124" t="s">
        <v>604</v>
      </c>
    </row>
    <row r="174" spans="1:6" ht="16.5" customHeight="1">
      <c r="A174" s="109">
        <v>391</v>
      </c>
      <c r="B174" s="110" t="s">
        <v>589</v>
      </c>
      <c r="C174" s="123" t="s">
        <v>558</v>
      </c>
      <c r="D174" s="123" t="s">
        <v>3</v>
      </c>
      <c r="E174" s="123" t="s">
        <v>29</v>
      </c>
      <c r="F174" s="124" t="s">
        <v>368</v>
      </c>
    </row>
    <row r="175" spans="1:6" ht="16.5" customHeight="1">
      <c r="A175" s="109">
        <v>392</v>
      </c>
      <c r="B175" s="110" t="s">
        <v>589</v>
      </c>
      <c r="C175" s="123" t="s">
        <v>558</v>
      </c>
      <c r="D175" s="123" t="s">
        <v>3</v>
      </c>
      <c r="E175" s="123" t="s">
        <v>29</v>
      </c>
      <c r="F175" s="124" t="s">
        <v>605</v>
      </c>
    </row>
    <row r="176" spans="1:6" ht="16.5" customHeight="1">
      <c r="A176" s="109">
        <v>393</v>
      </c>
      <c r="B176" s="110" t="s">
        <v>589</v>
      </c>
      <c r="C176" s="123" t="s">
        <v>558</v>
      </c>
      <c r="D176" s="123" t="s">
        <v>3</v>
      </c>
      <c r="E176" s="123" t="s">
        <v>29</v>
      </c>
      <c r="F176" s="124" t="s">
        <v>596</v>
      </c>
    </row>
    <row r="177" spans="1:6" ht="16.5" customHeight="1">
      <c r="A177" s="109">
        <v>394</v>
      </c>
      <c r="B177" s="110" t="s">
        <v>589</v>
      </c>
      <c r="C177" s="123" t="s">
        <v>558</v>
      </c>
      <c r="D177" s="123" t="s">
        <v>3</v>
      </c>
      <c r="E177" s="123" t="s">
        <v>29</v>
      </c>
      <c r="F177" s="124" t="s">
        <v>606</v>
      </c>
    </row>
    <row r="178" spans="1:6" ht="16.5" customHeight="1">
      <c r="A178" s="109">
        <v>395</v>
      </c>
      <c r="B178" s="110" t="s">
        <v>589</v>
      </c>
      <c r="C178" s="123" t="s">
        <v>558</v>
      </c>
      <c r="D178" s="123" t="s">
        <v>3</v>
      </c>
      <c r="E178" s="123" t="s">
        <v>29</v>
      </c>
      <c r="F178" s="124" t="s">
        <v>607</v>
      </c>
    </row>
    <row r="179" spans="1:6" ht="16.5" customHeight="1">
      <c r="A179" s="109">
        <v>396</v>
      </c>
      <c r="B179" s="110" t="s">
        <v>589</v>
      </c>
      <c r="C179" s="123" t="s">
        <v>558</v>
      </c>
      <c r="D179" s="123" t="s">
        <v>3</v>
      </c>
      <c r="E179" s="123" t="s">
        <v>29</v>
      </c>
      <c r="F179" s="124" t="s">
        <v>608</v>
      </c>
    </row>
    <row r="180" spans="1:6" ht="16.5" customHeight="1">
      <c r="A180" s="109">
        <v>397</v>
      </c>
      <c r="B180" s="110" t="s">
        <v>589</v>
      </c>
      <c r="C180" s="123" t="s">
        <v>484</v>
      </c>
      <c r="D180" s="123" t="s">
        <v>3</v>
      </c>
      <c r="E180" s="123" t="s">
        <v>29</v>
      </c>
      <c r="F180" s="124" t="s">
        <v>609</v>
      </c>
    </row>
    <row r="181" spans="1:6" ht="16.5" customHeight="1">
      <c r="A181" s="109">
        <v>398</v>
      </c>
      <c r="B181" s="110" t="s">
        <v>589</v>
      </c>
      <c r="C181" s="123" t="s">
        <v>484</v>
      </c>
      <c r="D181" s="123" t="s">
        <v>3</v>
      </c>
      <c r="E181" s="123" t="s">
        <v>29</v>
      </c>
      <c r="F181" s="124" t="s">
        <v>610</v>
      </c>
    </row>
    <row r="182" spans="1:6" ht="16.5" customHeight="1">
      <c r="A182" s="109">
        <v>399</v>
      </c>
      <c r="B182" s="110" t="s">
        <v>589</v>
      </c>
      <c r="C182" s="123" t="s">
        <v>484</v>
      </c>
      <c r="D182" s="123" t="s">
        <v>3</v>
      </c>
      <c r="E182" s="123" t="s">
        <v>29</v>
      </c>
      <c r="F182" s="124" t="s">
        <v>611</v>
      </c>
    </row>
    <row r="183" spans="1:6" ht="16.5" customHeight="1">
      <c r="A183" s="109">
        <v>400</v>
      </c>
      <c r="B183" s="110" t="s">
        <v>589</v>
      </c>
      <c r="C183" s="114" t="s">
        <v>566</v>
      </c>
      <c r="D183" s="114" t="s">
        <v>3</v>
      </c>
      <c r="E183" s="114" t="s">
        <v>29</v>
      </c>
      <c r="F183" s="115" t="s">
        <v>612</v>
      </c>
    </row>
    <row r="184" spans="1:6" ht="16.5" customHeight="1">
      <c r="A184" s="109">
        <v>401</v>
      </c>
      <c r="B184" s="110" t="s">
        <v>589</v>
      </c>
      <c r="C184" s="114" t="s">
        <v>566</v>
      </c>
      <c r="D184" s="114" t="s">
        <v>3</v>
      </c>
      <c r="E184" s="114" t="s">
        <v>29</v>
      </c>
      <c r="F184" s="115" t="s">
        <v>613</v>
      </c>
    </row>
    <row r="185" spans="1:6" ht="16.5" customHeight="1">
      <c r="A185" s="109">
        <v>402</v>
      </c>
      <c r="B185" s="110" t="s">
        <v>589</v>
      </c>
      <c r="C185" s="114" t="s">
        <v>566</v>
      </c>
      <c r="D185" s="114" t="s">
        <v>3</v>
      </c>
      <c r="E185" s="114" t="s">
        <v>29</v>
      </c>
      <c r="F185" s="115" t="s">
        <v>88</v>
      </c>
    </row>
    <row r="186" spans="1:6" ht="16.5" customHeight="1">
      <c r="A186" s="109">
        <v>403</v>
      </c>
      <c r="B186" s="110" t="s">
        <v>589</v>
      </c>
      <c r="C186" s="114" t="s">
        <v>566</v>
      </c>
      <c r="D186" s="114" t="s">
        <v>3</v>
      </c>
      <c r="E186" s="114" t="s">
        <v>29</v>
      </c>
      <c r="F186" s="115" t="s">
        <v>134</v>
      </c>
    </row>
    <row r="187" spans="1:6" ht="16.5" customHeight="1">
      <c r="A187" s="109">
        <v>404</v>
      </c>
      <c r="B187" s="110" t="s">
        <v>589</v>
      </c>
      <c r="C187" s="114" t="s">
        <v>572</v>
      </c>
      <c r="D187" s="114" t="s">
        <v>3</v>
      </c>
      <c r="E187" s="114" t="s">
        <v>29</v>
      </c>
      <c r="F187" s="115" t="s">
        <v>614</v>
      </c>
    </row>
    <row r="188" spans="1:6" ht="16.5" customHeight="1">
      <c r="A188" s="109">
        <v>405</v>
      </c>
      <c r="B188" s="110" t="s">
        <v>589</v>
      </c>
      <c r="C188" s="114" t="s">
        <v>572</v>
      </c>
      <c r="D188" s="114" t="s">
        <v>3</v>
      </c>
      <c r="E188" s="114" t="s">
        <v>29</v>
      </c>
      <c r="F188" s="115" t="s">
        <v>615</v>
      </c>
    </row>
    <row r="189" spans="1:6" ht="16.5" customHeight="1">
      <c r="A189" s="109">
        <v>406</v>
      </c>
      <c r="B189" s="116" t="s">
        <v>589</v>
      </c>
      <c r="C189" s="114" t="s">
        <v>572</v>
      </c>
      <c r="D189" s="114" t="s">
        <v>3</v>
      </c>
      <c r="E189" s="114" t="s">
        <v>29</v>
      </c>
      <c r="F189" s="115" t="s">
        <v>616</v>
      </c>
    </row>
    <row r="190" spans="1:6" ht="16.5" customHeight="1">
      <c r="A190" s="128">
        <v>407</v>
      </c>
      <c r="B190" s="120" t="s">
        <v>589</v>
      </c>
      <c r="C190" s="120" t="s">
        <v>572</v>
      </c>
      <c r="D190" s="120" t="s">
        <v>3</v>
      </c>
      <c r="E190" s="120" t="s">
        <v>29</v>
      </c>
      <c r="F190" s="121" t="s">
        <v>617</v>
      </c>
    </row>
    <row r="191" spans="1:6" ht="16.5" customHeight="1">
      <c r="A191" s="129">
        <v>408</v>
      </c>
      <c r="B191" s="110" t="s">
        <v>618</v>
      </c>
      <c r="C191" s="114" t="s">
        <v>590</v>
      </c>
      <c r="D191" s="114" t="s">
        <v>3</v>
      </c>
      <c r="E191" s="114" t="s">
        <v>29</v>
      </c>
      <c r="F191" s="115" t="s">
        <v>619</v>
      </c>
    </row>
    <row r="192" spans="1:6" ht="16.5" customHeight="1">
      <c r="A192" s="109">
        <v>409</v>
      </c>
      <c r="B192" s="110" t="s">
        <v>618</v>
      </c>
      <c r="C192" s="114" t="s">
        <v>590</v>
      </c>
      <c r="D192" s="114" t="s">
        <v>3</v>
      </c>
      <c r="E192" s="114" t="s">
        <v>29</v>
      </c>
      <c r="F192" s="115" t="s">
        <v>620</v>
      </c>
    </row>
    <row r="193" spans="1:6" ht="16.5" customHeight="1">
      <c r="A193" s="109">
        <v>410</v>
      </c>
      <c r="B193" s="110" t="s">
        <v>618</v>
      </c>
      <c r="C193" s="114" t="s">
        <v>590</v>
      </c>
      <c r="D193" s="114" t="s">
        <v>3</v>
      </c>
      <c r="E193" s="114" t="s">
        <v>29</v>
      </c>
      <c r="F193" s="115" t="s">
        <v>621</v>
      </c>
    </row>
    <row r="194" spans="1:6" ht="16.5" customHeight="1">
      <c r="A194" s="109">
        <v>411</v>
      </c>
      <c r="B194" s="110" t="s">
        <v>618</v>
      </c>
      <c r="C194" s="114" t="s">
        <v>590</v>
      </c>
      <c r="D194" s="114" t="s">
        <v>3</v>
      </c>
      <c r="E194" s="114" t="s">
        <v>29</v>
      </c>
      <c r="F194" s="115" t="s">
        <v>622</v>
      </c>
    </row>
    <row r="195" spans="1:6" ht="16.5" customHeight="1">
      <c r="A195" s="109">
        <v>412</v>
      </c>
      <c r="B195" s="110" t="s">
        <v>618</v>
      </c>
      <c r="C195" s="114" t="s">
        <v>590</v>
      </c>
      <c r="D195" s="114" t="s">
        <v>3</v>
      </c>
      <c r="E195" s="114" t="s">
        <v>29</v>
      </c>
      <c r="F195" s="115" t="s">
        <v>623</v>
      </c>
    </row>
    <row r="196" spans="1:6" ht="16.5" customHeight="1">
      <c r="A196" s="109">
        <v>413</v>
      </c>
      <c r="B196" s="110" t="s">
        <v>618</v>
      </c>
      <c r="C196" s="123" t="s">
        <v>600</v>
      </c>
      <c r="D196" s="123" t="s">
        <v>3</v>
      </c>
      <c r="E196" s="123" t="s">
        <v>29</v>
      </c>
      <c r="F196" s="124" t="s">
        <v>624</v>
      </c>
    </row>
    <row r="197" spans="1:6" ht="16.5" customHeight="1">
      <c r="A197" s="109">
        <v>414</v>
      </c>
      <c r="B197" s="110" t="s">
        <v>618</v>
      </c>
      <c r="C197" s="123" t="s">
        <v>600</v>
      </c>
      <c r="D197" s="123" t="s">
        <v>3</v>
      </c>
      <c r="E197" s="123" t="s">
        <v>29</v>
      </c>
      <c r="F197" s="124" t="s">
        <v>625</v>
      </c>
    </row>
    <row r="198" spans="1:6" ht="16.5" customHeight="1">
      <c r="A198" s="109">
        <v>415</v>
      </c>
      <c r="B198" s="110" t="s">
        <v>618</v>
      </c>
      <c r="C198" s="123" t="s">
        <v>600</v>
      </c>
      <c r="D198" s="123" t="s">
        <v>3</v>
      </c>
      <c r="E198" s="123" t="s">
        <v>29</v>
      </c>
      <c r="F198" s="124" t="s">
        <v>626</v>
      </c>
    </row>
    <row r="199" spans="1:6" ht="16.5" customHeight="1">
      <c r="A199" s="109">
        <v>416</v>
      </c>
      <c r="B199" s="110" t="s">
        <v>618</v>
      </c>
      <c r="C199" s="123" t="s">
        <v>455</v>
      </c>
      <c r="D199" s="123" t="s">
        <v>3</v>
      </c>
      <c r="E199" s="123" t="s">
        <v>29</v>
      </c>
      <c r="F199" s="124" t="s">
        <v>627</v>
      </c>
    </row>
    <row r="200" spans="1:6" ht="16.5" customHeight="1">
      <c r="A200" s="109">
        <v>417</v>
      </c>
      <c r="B200" s="110" t="s">
        <v>618</v>
      </c>
      <c r="C200" s="123" t="s">
        <v>455</v>
      </c>
      <c r="D200" s="123" t="s">
        <v>3</v>
      </c>
      <c r="E200" s="123" t="s">
        <v>29</v>
      </c>
      <c r="F200" s="124" t="s">
        <v>628</v>
      </c>
    </row>
    <row r="201" spans="1:6" ht="16.5" customHeight="1">
      <c r="A201" s="109">
        <v>418</v>
      </c>
      <c r="B201" s="110" t="s">
        <v>618</v>
      </c>
      <c r="C201" s="123" t="s">
        <v>558</v>
      </c>
      <c r="D201" s="123" t="s">
        <v>3</v>
      </c>
      <c r="E201" s="123" t="s">
        <v>29</v>
      </c>
      <c r="F201" s="124" t="s">
        <v>629</v>
      </c>
    </row>
    <row r="202" spans="1:6" ht="16.5" customHeight="1">
      <c r="A202" s="109">
        <v>419</v>
      </c>
      <c r="B202" s="110" t="s">
        <v>618</v>
      </c>
      <c r="C202" s="123" t="s">
        <v>558</v>
      </c>
      <c r="D202" s="123" t="s">
        <v>3</v>
      </c>
      <c r="E202" s="123" t="s">
        <v>29</v>
      </c>
      <c r="F202" s="124" t="s">
        <v>630</v>
      </c>
    </row>
    <row r="203" spans="1:6" ht="16.5" customHeight="1">
      <c r="A203" s="109">
        <v>420</v>
      </c>
      <c r="B203" s="110" t="s">
        <v>618</v>
      </c>
      <c r="C203" s="123" t="s">
        <v>558</v>
      </c>
      <c r="D203" s="123" t="s">
        <v>3</v>
      </c>
      <c r="E203" s="123" t="s">
        <v>29</v>
      </c>
      <c r="F203" s="124" t="s">
        <v>631</v>
      </c>
    </row>
    <row r="204" spans="1:6" ht="16.5" customHeight="1">
      <c r="A204" s="109">
        <v>421</v>
      </c>
      <c r="B204" s="110" t="s">
        <v>618</v>
      </c>
      <c r="C204" s="123" t="s">
        <v>558</v>
      </c>
      <c r="D204" s="123" t="s">
        <v>3</v>
      </c>
      <c r="E204" s="123" t="s">
        <v>29</v>
      </c>
      <c r="F204" s="124" t="s">
        <v>632</v>
      </c>
    </row>
    <row r="205" spans="1:6" ht="16.5" customHeight="1">
      <c r="A205" s="109">
        <v>422</v>
      </c>
      <c r="B205" s="110" t="s">
        <v>618</v>
      </c>
      <c r="C205" s="123" t="s">
        <v>558</v>
      </c>
      <c r="D205" s="123" t="s">
        <v>3</v>
      </c>
      <c r="E205" s="123" t="s">
        <v>29</v>
      </c>
      <c r="F205" s="124" t="s">
        <v>633</v>
      </c>
    </row>
    <row r="206" spans="1:6" ht="16.5" customHeight="1">
      <c r="A206" s="109">
        <v>423</v>
      </c>
      <c r="B206" s="110" t="s">
        <v>618</v>
      </c>
      <c r="C206" s="123" t="s">
        <v>558</v>
      </c>
      <c r="D206" s="123" t="s">
        <v>3</v>
      </c>
      <c r="E206" s="123" t="s">
        <v>29</v>
      </c>
      <c r="F206" s="124" t="s">
        <v>634</v>
      </c>
    </row>
    <row r="207" spans="1:6" ht="16.5" customHeight="1">
      <c r="A207" s="109">
        <v>424</v>
      </c>
      <c r="B207" s="110" t="s">
        <v>618</v>
      </c>
      <c r="C207" s="123" t="s">
        <v>558</v>
      </c>
      <c r="D207" s="123" t="s">
        <v>3</v>
      </c>
      <c r="E207" s="123" t="s">
        <v>29</v>
      </c>
      <c r="F207" s="124" t="s">
        <v>635</v>
      </c>
    </row>
    <row r="208" spans="1:6" ht="16.5" customHeight="1">
      <c r="A208" s="109">
        <v>425</v>
      </c>
      <c r="B208" s="110" t="s">
        <v>618</v>
      </c>
      <c r="C208" s="134" t="s">
        <v>636</v>
      </c>
      <c r="D208" s="134" t="s">
        <v>3</v>
      </c>
      <c r="E208" s="134" t="s">
        <v>29</v>
      </c>
      <c r="F208" s="136" t="s">
        <v>637</v>
      </c>
    </row>
    <row r="209" spans="1:7" ht="16.5" customHeight="1">
      <c r="A209" s="109">
        <v>426</v>
      </c>
      <c r="B209" s="110" t="s">
        <v>618</v>
      </c>
      <c r="C209" s="134" t="s">
        <v>636</v>
      </c>
      <c r="D209" s="134" t="s">
        <v>3</v>
      </c>
      <c r="E209" s="134" t="s">
        <v>29</v>
      </c>
      <c r="F209" s="136" t="s">
        <v>638</v>
      </c>
    </row>
    <row r="210" spans="1:7" ht="16.5" customHeight="1">
      <c r="A210" s="109">
        <v>427</v>
      </c>
      <c r="B210" s="110" t="s">
        <v>618</v>
      </c>
      <c r="C210" s="134" t="s">
        <v>636</v>
      </c>
      <c r="D210" s="134" t="s">
        <v>3</v>
      </c>
      <c r="E210" s="134" t="s">
        <v>29</v>
      </c>
      <c r="F210" s="136" t="s">
        <v>639</v>
      </c>
    </row>
    <row r="211" spans="1:7" ht="16.5" customHeight="1">
      <c r="A211" s="109">
        <v>428</v>
      </c>
      <c r="B211" s="110" t="s">
        <v>618</v>
      </c>
      <c r="C211" s="134" t="s">
        <v>636</v>
      </c>
      <c r="D211" s="134" t="s">
        <v>3</v>
      </c>
      <c r="E211" s="134" t="s">
        <v>29</v>
      </c>
      <c r="F211" s="136" t="s">
        <v>640</v>
      </c>
    </row>
    <row r="212" spans="1:7" ht="16.5" customHeight="1">
      <c r="A212" s="109">
        <v>429</v>
      </c>
      <c r="B212" s="110" t="s">
        <v>618</v>
      </c>
      <c r="C212" s="123" t="s">
        <v>641</v>
      </c>
      <c r="D212" s="123" t="s">
        <v>3</v>
      </c>
      <c r="E212" s="123" t="s">
        <v>29</v>
      </c>
      <c r="F212" s="124" t="s">
        <v>642</v>
      </c>
    </row>
    <row r="213" spans="1:7" ht="16.5" customHeight="1">
      <c r="A213" s="109">
        <v>430</v>
      </c>
      <c r="B213" s="110" t="s">
        <v>618</v>
      </c>
      <c r="C213" s="114" t="s">
        <v>643</v>
      </c>
      <c r="D213" s="114" t="s">
        <v>3</v>
      </c>
      <c r="E213" s="114" t="s">
        <v>29</v>
      </c>
      <c r="F213" s="115" t="s">
        <v>132</v>
      </c>
    </row>
    <row r="214" spans="1:7" ht="16.5" customHeight="1">
      <c r="A214" s="109">
        <v>431</v>
      </c>
      <c r="B214" s="110" t="s">
        <v>618</v>
      </c>
      <c r="C214" s="114" t="s">
        <v>643</v>
      </c>
      <c r="D214" s="114" t="s">
        <v>3</v>
      </c>
      <c r="E214" s="114" t="s">
        <v>29</v>
      </c>
      <c r="F214" s="115" t="s">
        <v>644</v>
      </c>
    </row>
    <row r="215" spans="1:7" ht="16.5" customHeight="1">
      <c r="A215" s="109">
        <v>432</v>
      </c>
      <c r="B215" s="110" t="s">
        <v>618</v>
      </c>
      <c r="C215" s="114" t="s">
        <v>643</v>
      </c>
      <c r="D215" s="114" t="s">
        <v>3</v>
      </c>
      <c r="E215" s="114" t="s">
        <v>29</v>
      </c>
      <c r="F215" s="115" t="s">
        <v>645</v>
      </c>
    </row>
    <row r="216" spans="1:7" ht="16.5" customHeight="1">
      <c r="A216" s="109">
        <v>433</v>
      </c>
      <c r="B216" s="110" t="s">
        <v>618</v>
      </c>
      <c r="C216" s="114" t="s">
        <v>643</v>
      </c>
      <c r="D216" s="114" t="s">
        <v>3</v>
      </c>
      <c r="E216" s="114" t="s">
        <v>29</v>
      </c>
      <c r="F216" s="115" t="s">
        <v>646</v>
      </c>
    </row>
    <row r="217" spans="1:7" ht="16.5" customHeight="1">
      <c r="A217" s="109">
        <v>434</v>
      </c>
      <c r="B217" s="110" t="s">
        <v>618</v>
      </c>
      <c r="C217" s="111" t="s">
        <v>488</v>
      </c>
      <c r="D217" s="111" t="s">
        <v>3</v>
      </c>
      <c r="E217" s="111" t="s">
        <v>29</v>
      </c>
      <c r="F217" s="112" t="s">
        <v>647</v>
      </c>
    </row>
    <row r="218" spans="1:7" ht="16.5" customHeight="1">
      <c r="A218" s="109">
        <v>435</v>
      </c>
      <c r="B218" s="110" t="s">
        <v>618</v>
      </c>
      <c r="C218" s="111" t="s">
        <v>488</v>
      </c>
      <c r="D218" s="111" t="s">
        <v>3</v>
      </c>
      <c r="E218" s="111" t="s">
        <v>29</v>
      </c>
      <c r="F218" s="112" t="s">
        <v>648</v>
      </c>
    </row>
    <row r="219" spans="1:7" ht="16.5" customHeight="1">
      <c r="A219" s="128">
        <v>436</v>
      </c>
      <c r="B219" s="125" t="s">
        <v>618</v>
      </c>
      <c r="C219" s="137" t="s">
        <v>488</v>
      </c>
      <c r="D219" s="137" t="s">
        <v>3</v>
      </c>
      <c r="E219" s="137" t="s">
        <v>29</v>
      </c>
      <c r="F219" s="138" t="s">
        <v>649</v>
      </c>
    </row>
    <row r="220" spans="1:7" ht="16.5" customHeight="1">
      <c r="G220" s="139"/>
    </row>
    <row r="221" spans="1:7" ht="16.5" customHeight="1"/>
    <row r="222" spans="1:7" ht="16.5" customHeight="1"/>
    <row r="223" spans="1:7" ht="16.5" customHeight="1"/>
    <row r="224" spans="1:7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autoFilter ref="A3:F219" xr:uid="{00000000-0009-0000-0000-000003000000}"/>
  <mergeCells count="1">
    <mergeCell ref="A1:F1"/>
  </mergeCells>
  <phoneticPr fontId="10" type="noConversion"/>
  <printOptions horizontalCentered="1"/>
  <pageMargins left="0.70866141732283472" right="0.70866141732283472" top="0.74803149606299213" bottom="0.74803149606299213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일반학생 기록</vt:lpstr>
      <vt:lpstr>학생선수 기록</vt:lpstr>
      <vt:lpstr>A조 전체</vt:lpstr>
      <vt:lpstr>B조 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장지우</cp:lastModifiedBy>
  <dcterms:created xsi:type="dcterms:W3CDTF">2022-09-07T08:02:16Z</dcterms:created>
  <dcterms:modified xsi:type="dcterms:W3CDTF">2025-10-23T13:16:20Z</dcterms:modified>
</cp:coreProperties>
</file>